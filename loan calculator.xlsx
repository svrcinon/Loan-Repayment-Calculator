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b6871\Desktop\"/>
    </mc:Choice>
  </mc:AlternateContent>
  <xr:revisionPtr revIDLastSave="0" documentId="13_ncr:1_{BDE282C0-4A03-498B-8AF4-CA75B029366C}" xr6:coauthVersionLast="47" xr6:coauthVersionMax="47" xr10:uidLastSave="{00000000-0000-0000-0000-000000000000}"/>
  <bookViews>
    <workbookView xWindow="-120" yWindow="-120" windowWidth="51840" windowHeight="21120" activeTab="3" xr2:uid="{00000000-000D-0000-FFFF-FFFF00000000}"/>
  </bookViews>
  <sheets>
    <sheet name="APR and payment" sheetId="1" r:id="rId1"/>
    <sheet name="Remaining debt" sheetId="2" r:id="rId2"/>
    <sheet name="Remaining debt - chart" sheetId="3" r:id="rId3"/>
    <sheet name="Payment breakdown - chart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21" i="1" l="1"/>
  <c r="J20" i="1"/>
  <c r="R107" i="1"/>
  <c r="R209" i="1"/>
  <c r="R311" i="1"/>
  <c r="R413" i="1"/>
  <c r="R515" i="1"/>
  <c r="R617" i="1"/>
  <c r="R719" i="1"/>
  <c r="R821" i="1"/>
  <c r="R923" i="1"/>
  <c r="R1025" i="1"/>
  <c r="R1127" i="1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C501" i="2"/>
  <c r="C502" i="2"/>
  <c r="C50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J24" i="1"/>
  <c r="J23" i="1"/>
  <c r="J22" i="1"/>
  <c r="C28" i="1"/>
  <c r="L9" i="1"/>
  <c r="E4" i="2" s="1"/>
  <c r="C21" i="1"/>
  <c r="C20" i="1"/>
  <c r="C19" i="1"/>
  <c r="C18" i="1"/>
  <c r="C17" i="1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4" i="2"/>
  <c r="B3" i="2"/>
  <c r="F3" i="2"/>
  <c r="E28" i="1" l="1"/>
  <c r="R5" i="1"/>
  <c r="L10" i="1" l="1"/>
  <c r="E24" i="1" s="1"/>
  <c r="C4" i="2" s="1"/>
  <c r="D4" i="2" s="1"/>
  <c r="S311" i="1" l="1"/>
  <c r="T515" i="1"/>
  <c r="S1127" i="1"/>
  <c r="S107" i="1"/>
  <c r="T311" i="1"/>
  <c r="S821" i="1"/>
  <c r="P822" i="1" s="1"/>
  <c r="S1025" i="1"/>
  <c r="P1026" i="1" s="1"/>
  <c r="T1127" i="1"/>
  <c r="Q1128" i="1" s="1"/>
  <c r="T1128" i="1" s="1"/>
  <c r="U209" i="1"/>
  <c r="U719" i="1"/>
  <c r="T107" i="1"/>
  <c r="U311" i="1"/>
  <c r="S617" i="1"/>
  <c r="T821" i="1"/>
  <c r="Q822" i="1" s="1"/>
  <c r="T822" i="1" s="1"/>
  <c r="T1025" i="1"/>
  <c r="Q1026" i="1" s="1"/>
  <c r="T1026" i="1" s="1"/>
  <c r="T923" i="1"/>
  <c r="S515" i="1"/>
  <c r="T617" i="1"/>
  <c r="U821" i="1"/>
  <c r="U1025" i="1"/>
  <c r="S209" i="1"/>
  <c r="S413" i="1"/>
  <c r="T719" i="1"/>
  <c r="Q720" i="1" s="1"/>
  <c r="T720" i="1" s="1"/>
  <c r="T209" i="1"/>
  <c r="T413" i="1"/>
  <c r="S719" i="1"/>
  <c r="P720" i="1" s="1"/>
  <c r="S923" i="1"/>
  <c r="U923" i="1"/>
  <c r="U515" i="1"/>
  <c r="U413" i="1"/>
  <c r="P414" i="1" s="1"/>
  <c r="U1127" i="1"/>
  <c r="U107" i="1"/>
  <c r="U617" i="1"/>
  <c r="C188" i="2"/>
  <c r="C196" i="2"/>
  <c r="C204" i="2"/>
  <c r="C212" i="2"/>
  <c r="C220" i="2"/>
  <c r="C228" i="2"/>
  <c r="C236" i="2"/>
  <c r="C244" i="2"/>
  <c r="C252" i="2"/>
  <c r="C260" i="2"/>
  <c r="C268" i="2"/>
  <c r="C276" i="2"/>
  <c r="C284" i="2"/>
  <c r="C292" i="2"/>
  <c r="C300" i="2"/>
  <c r="C308" i="2"/>
  <c r="C316" i="2"/>
  <c r="C324" i="2"/>
  <c r="C332" i="2"/>
  <c r="C340" i="2"/>
  <c r="C348" i="2"/>
  <c r="C356" i="2"/>
  <c r="C191" i="2"/>
  <c r="C215" i="2"/>
  <c r="C239" i="2"/>
  <c r="C263" i="2"/>
  <c r="C287" i="2"/>
  <c r="C311" i="2"/>
  <c r="C335" i="2"/>
  <c r="C359" i="2"/>
  <c r="C200" i="2"/>
  <c r="C232" i="2"/>
  <c r="C256" i="2"/>
  <c r="C280" i="2"/>
  <c r="C304" i="2"/>
  <c r="C328" i="2"/>
  <c r="C185" i="2"/>
  <c r="C217" i="2"/>
  <c r="C249" i="2"/>
  <c r="C273" i="2"/>
  <c r="C313" i="2"/>
  <c r="C337" i="2"/>
  <c r="C361" i="2"/>
  <c r="C189" i="2"/>
  <c r="C197" i="2"/>
  <c r="C205" i="2"/>
  <c r="C213" i="2"/>
  <c r="C221" i="2"/>
  <c r="C229" i="2"/>
  <c r="C237" i="2"/>
  <c r="C245" i="2"/>
  <c r="C253" i="2"/>
  <c r="C261" i="2"/>
  <c r="C269" i="2"/>
  <c r="C277" i="2"/>
  <c r="C285" i="2"/>
  <c r="C293" i="2"/>
  <c r="C301" i="2"/>
  <c r="C309" i="2"/>
  <c r="C317" i="2"/>
  <c r="C325" i="2"/>
  <c r="C333" i="2"/>
  <c r="C341" i="2"/>
  <c r="C349" i="2"/>
  <c r="C357" i="2"/>
  <c r="C207" i="2"/>
  <c r="C231" i="2"/>
  <c r="C247" i="2"/>
  <c r="C279" i="2"/>
  <c r="C303" i="2"/>
  <c r="C327" i="2"/>
  <c r="C343" i="2"/>
  <c r="C192" i="2"/>
  <c r="C216" i="2"/>
  <c r="C240" i="2"/>
  <c r="C264" i="2"/>
  <c r="C296" i="2"/>
  <c r="C320" i="2"/>
  <c r="C344" i="2"/>
  <c r="C360" i="2"/>
  <c r="C201" i="2"/>
  <c r="C225" i="2"/>
  <c r="C241" i="2"/>
  <c r="C257" i="2"/>
  <c r="C289" i="2"/>
  <c r="C297" i="2"/>
  <c r="C321" i="2"/>
  <c r="C345" i="2"/>
  <c r="C194" i="2"/>
  <c r="C210" i="2"/>
  <c r="C226" i="2"/>
  <c r="C242" i="2"/>
  <c r="C258" i="2"/>
  <c r="C274" i="2"/>
  <c r="C290" i="2"/>
  <c r="C306" i="2"/>
  <c r="C322" i="2"/>
  <c r="C338" i="2"/>
  <c r="C354" i="2"/>
  <c r="C190" i="2"/>
  <c r="C198" i="2"/>
  <c r="C206" i="2"/>
  <c r="C214" i="2"/>
  <c r="C222" i="2"/>
  <c r="C230" i="2"/>
  <c r="C238" i="2"/>
  <c r="C246" i="2"/>
  <c r="C254" i="2"/>
  <c r="C262" i="2"/>
  <c r="C270" i="2"/>
  <c r="C278" i="2"/>
  <c r="C286" i="2"/>
  <c r="C294" i="2"/>
  <c r="C302" i="2"/>
  <c r="C310" i="2"/>
  <c r="C318" i="2"/>
  <c r="C326" i="2"/>
  <c r="C334" i="2"/>
  <c r="C342" i="2"/>
  <c r="C350" i="2"/>
  <c r="C358" i="2"/>
  <c r="C199" i="2"/>
  <c r="C223" i="2"/>
  <c r="C255" i="2"/>
  <c r="C271" i="2"/>
  <c r="C295" i="2"/>
  <c r="C319" i="2"/>
  <c r="C351" i="2"/>
  <c r="C184" i="2"/>
  <c r="C208" i="2"/>
  <c r="C224" i="2"/>
  <c r="C248" i="2"/>
  <c r="C272" i="2"/>
  <c r="C288" i="2"/>
  <c r="C312" i="2"/>
  <c r="C336" i="2"/>
  <c r="C352" i="2"/>
  <c r="C193" i="2"/>
  <c r="C209" i="2"/>
  <c r="C233" i="2"/>
  <c r="C265" i="2"/>
  <c r="C281" i="2"/>
  <c r="C305" i="2"/>
  <c r="C329" i="2"/>
  <c r="C353" i="2"/>
  <c r="C186" i="2"/>
  <c r="C202" i="2"/>
  <c r="C218" i="2"/>
  <c r="C234" i="2"/>
  <c r="C250" i="2"/>
  <c r="C266" i="2"/>
  <c r="C282" i="2"/>
  <c r="C298" i="2"/>
  <c r="C314" i="2"/>
  <c r="C330" i="2"/>
  <c r="C346" i="2"/>
  <c r="C362" i="2"/>
  <c r="C187" i="2"/>
  <c r="C195" i="2"/>
  <c r="C203" i="2"/>
  <c r="C211" i="2"/>
  <c r="C219" i="2"/>
  <c r="C227" i="2"/>
  <c r="C235" i="2"/>
  <c r="C243" i="2"/>
  <c r="C251" i="2"/>
  <c r="C259" i="2"/>
  <c r="C267" i="2"/>
  <c r="C275" i="2"/>
  <c r="C283" i="2"/>
  <c r="C291" i="2"/>
  <c r="C299" i="2"/>
  <c r="C307" i="2"/>
  <c r="C315" i="2"/>
  <c r="C323" i="2"/>
  <c r="C331" i="2"/>
  <c r="C339" i="2"/>
  <c r="C347" i="2"/>
  <c r="C355" i="2"/>
  <c r="C363" i="2"/>
  <c r="C129" i="2"/>
  <c r="C137" i="2"/>
  <c r="C145" i="2"/>
  <c r="C153" i="2"/>
  <c r="C161" i="2"/>
  <c r="C169" i="2"/>
  <c r="C177" i="2"/>
  <c r="C130" i="2"/>
  <c r="C138" i="2"/>
  <c r="C146" i="2"/>
  <c r="C154" i="2"/>
  <c r="C162" i="2"/>
  <c r="C170" i="2"/>
  <c r="C178" i="2"/>
  <c r="C131" i="2"/>
  <c r="C139" i="2"/>
  <c r="C147" i="2"/>
  <c r="C155" i="2"/>
  <c r="C163" i="2"/>
  <c r="C171" i="2"/>
  <c r="C179" i="2"/>
  <c r="C124" i="2"/>
  <c r="C132" i="2"/>
  <c r="C140" i="2"/>
  <c r="C148" i="2"/>
  <c r="C156" i="2"/>
  <c r="C164" i="2"/>
  <c r="C172" i="2"/>
  <c r="C180" i="2"/>
  <c r="C125" i="2"/>
  <c r="C133" i="2"/>
  <c r="C141" i="2"/>
  <c r="C149" i="2"/>
  <c r="C157" i="2"/>
  <c r="C165" i="2"/>
  <c r="C173" i="2"/>
  <c r="C181" i="2"/>
  <c r="C126" i="2"/>
  <c r="C134" i="2"/>
  <c r="C142" i="2"/>
  <c r="C150" i="2"/>
  <c r="C158" i="2"/>
  <c r="C166" i="2"/>
  <c r="C174" i="2"/>
  <c r="C182" i="2"/>
  <c r="C127" i="2"/>
  <c r="C135" i="2"/>
  <c r="C143" i="2"/>
  <c r="C151" i="2"/>
  <c r="C159" i="2"/>
  <c r="C167" i="2"/>
  <c r="C175" i="2"/>
  <c r="C183" i="2"/>
  <c r="C128" i="2"/>
  <c r="C136" i="2"/>
  <c r="C144" i="2"/>
  <c r="C152" i="2"/>
  <c r="C160" i="2"/>
  <c r="C168" i="2"/>
  <c r="C176" i="2"/>
  <c r="C69" i="2"/>
  <c r="C77" i="2"/>
  <c r="C85" i="2"/>
  <c r="C93" i="2"/>
  <c r="C101" i="2"/>
  <c r="C109" i="2"/>
  <c r="C117" i="2"/>
  <c r="C70" i="2"/>
  <c r="C78" i="2"/>
  <c r="C86" i="2"/>
  <c r="C94" i="2"/>
  <c r="C102" i="2"/>
  <c r="C110" i="2"/>
  <c r="C118" i="2"/>
  <c r="C71" i="2"/>
  <c r="C79" i="2"/>
  <c r="C87" i="2"/>
  <c r="C95" i="2"/>
  <c r="C103" i="2"/>
  <c r="C111" i="2"/>
  <c r="C119" i="2"/>
  <c r="C64" i="2"/>
  <c r="C72" i="2"/>
  <c r="C80" i="2"/>
  <c r="C88" i="2"/>
  <c r="C96" i="2"/>
  <c r="C104" i="2"/>
  <c r="C112" i="2"/>
  <c r="C120" i="2"/>
  <c r="C89" i="2"/>
  <c r="C97" i="2"/>
  <c r="C105" i="2"/>
  <c r="C113" i="2"/>
  <c r="C121" i="2"/>
  <c r="C65" i="2"/>
  <c r="C73" i="2"/>
  <c r="C81" i="2"/>
  <c r="C66" i="2"/>
  <c r="C74" i="2"/>
  <c r="C82" i="2"/>
  <c r="C90" i="2"/>
  <c r="C98" i="2"/>
  <c r="C106" i="2"/>
  <c r="C114" i="2"/>
  <c r="C122" i="2"/>
  <c r="C67" i="2"/>
  <c r="C75" i="2"/>
  <c r="C83" i="2"/>
  <c r="C91" i="2"/>
  <c r="C99" i="2"/>
  <c r="C107" i="2"/>
  <c r="C115" i="2"/>
  <c r="C123" i="2"/>
  <c r="C68" i="2"/>
  <c r="C76" i="2"/>
  <c r="C84" i="2"/>
  <c r="C92" i="2"/>
  <c r="C100" i="2"/>
  <c r="C108" i="2"/>
  <c r="C116" i="2"/>
  <c r="C57" i="2"/>
  <c r="C58" i="2"/>
  <c r="C59" i="2"/>
  <c r="C56" i="2"/>
  <c r="C52" i="2"/>
  <c r="C60" i="2"/>
  <c r="C53" i="2"/>
  <c r="C61" i="2"/>
  <c r="C54" i="2"/>
  <c r="C62" i="2"/>
  <c r="C55" i="2"/>
  <c r="C63" i="2"/>
  <c r="C45" i="2"/>
  <c r="C46" i="2"/>
  <c r="C47" i="2"/>
  <c r="C40" i="2"/>
  <c r="C48" i="2"/>
  <c r="C41" i="2"/>
  <c r="C49" i="2"/>
  <c r="C42" i="2"/>
  <c r="C50" i="2"/>
  <c r="C43" i="2"/>
  <c r="C51" i="2"/>
  <c r="C44" i="2"/>
  <c r="C33" i="2"/>
  <c r="C34" i="2"/>
  <c r="C35" i="2"/>
  <c r="C28" i="2"/>
  <c r="C36" i="2"/>
  <c r="C29" i="2"/>
  <c r="C37" i="2"/>
  <c r="C30" i="2"/>
  <c r="C38" i="2"/>
  <c r="C31" i="2"/>
  <c r="C39" i="2"/>
  <c r="C32" i="2"/>
  <c r="C10" i="2"/>
  <c r="C18" i="2"/>
  <c r="C26" i="2"/>
  <c r="C11" i="2"/>
  <c r="C19" i="2"/>
  <c r="C27" i="2"/>
  <c r="C8" i="2"/>
  <c r="C12" i="2"/>
  <c r="C20" i="2"/>
  <c r="C5" i="2"/>
  <c r="C13" i="2"/>
  <c r="C21" i="2"/>
  <c r="C15" i="2"/>
  <c r="C23" i="2"/>
  <c r="C16" i="2"/>
  <c r="C6" i="2"/>
  <c r="C14" i="2"/>
  <c r="C22" i="2"/>
  <c r="C7" i="2"/>
  <c r="C24" i="2"/>
  <c r="C9" i="2"/>
  <c r="C17" i="2"/>
  <c r="C25" i="2"/>
  <c r="T5" i="1"/>
  <c r="S5" i="1"/>
  <c r="U5" i="1"/>
  <c r="P516" i="1" l="1"/>
  <c r="P210" i="1"/>
  <c r="S210" i="1" s="1"/>
  <c r="Q210" i="1"/>
  <c r="T210" i="1" s="1"/>
  <c r="S1026" i="1"/>
  <c r="R1026" i="1"/>
  <c r="U1026" i="1" s="1"/>
  <c r="Q1027" i="1" s="1"/>
  <c r="T1027" i="1" s="1"/>
  <c r="S822" i="1"/>
  <c r="R822" i="1"/>
  <c r="U822" i="1" s="1"/>
  <c r="Q823" i="1" s="1"/>
  <c r="T823" i="1" s="1"/>
  <c r="S516" i="1"/>
  <c r="P618" i="1"/>
  <c r="Q312" i="1"/>
  <c r="T312" i="1" s="1"/>
  <c r="P924" i="1"/>
  <c r="Q108" i="1"/>
  <c r="T108" i="1" s="1"/>
  <c r="P1128" i="1"/>
  <c r="P108" i="1"/>
  <c r="S720" i="1"/>
  <c r="R720" i="1"/>
  <c r="U720" i="1" s="1"/>
  <c r="Q721" i="1" s="1"/>
  <c r="T721" i="1" s="1"/>
  <c r="Q618" i="1"/>
  <c r="T618" i="1" s="1"/>
  <c r="Q516" i="1"/>
  <c r="T516" i="1" s="1"/>
  <c r="S414" i="1"/>
  <c r="Q924" i="1"/>
  <c r="T924" i="1" s="1"/>
  <c r="Q414" i="1"/>
  <c r="T414" i="1" s="1"/>
  <c r="P312" i="1"/>
  <c r="F4" i="2"/>
  <c r="E5" i="2" s="1"/>
  <c r="D5" i="2" s="1"/>
  <c r="F5" i="2" s="1"/>
  <c r="E6" i="2" s="1"/>
  <c r="D6" i="2" s="1"/>
  <c r="F6" i="2" s="1"/>
  <c r="E7" i="2" s="1"/>
  <c r="D7" i="2" s="1"/>
  <c r="F7" i="2" s="1"/>
  <c r="P6" i="1"/>
  <c r="S6" i="1" s="1"/>
  <c r="Q6" i="1"/>
  <c r="T6" i="1" s="1"/>
  <c r="R210" i="1" l="1"/>
  <c r="U210" i="1" s="1"/>
  <c r="Q211" i="1" s="1"/>
  <c r="T211" i="1" s="1"/>
  <c r="R516" i="1"/>
  <c r="U516" i="1" s="1"/>
  <c r="P517" i="1" s="1"/>
  <c r="S517" i="1" s="1"/>
  <c r="P1027" i="1"/>
  <c r="P721" i="1"/>
  <c r="R414" i="1"/>
  <c r="U414" i="1" s="1"/>
  <c r="P415" i="1" s="1"/>
  <c r="R108" i="1"/>
  <c r="U108" i="1" s="1"/>
  <c r="Q109" i="1" s="1"/>
  <c r="T109" i="1" s="1"/>
  <c r="S108" i="1"/>
  <c r="R924" i="1"/>
  <c r="U924" i="1" s="1"/>
  <c r="Q925" i="1" s="1"/>
  <c r="T925" i="1" s="1"/>
  <c r="S924" i="1"/>
  <c r="P823" i="1"/>
  <c r="R1027" i="1"/>
  <c r="U1027" i="1" s="1"/>
  <c r="Q1028" i="1" s="1"/>
  <c r="T1028" i="1" s="1"/>
  <c r="S1027" i="1"/>
  <c r="S1128" i="1"/>
  <c r="R1128" i="1"/>
  <c r="U1128" i="1" s="1"/>
  <c r="Q1129" i="1" s="1"/>
  <c r="T1129" i="1" s="1"/>
  <c r="S312" i="1"/>
  <c r="R312" i="1"/>
  <c r="U312" i="1" s="1"/>
  <c r="Q313" i="1" s="1"/>
  <c r="T313" i="1" s="1"/>
  <c r="R618" i="1"/>
  <c r="U618" i="1" s="1"/>
  <c r="Q619" i="1" s="1"/>
  <c r="T619" i="1" s="1"/>
  <c r="S618" i="1"/>
  <c r="R6" i="1"/>
  <c r="E8" i="2"/>
  <c r="D8" i="2" s="1"/>
  <c r="F8" i="2" s="1"/>
  <c r="Q517" i="1" l="1"/>
  <c r="T517" i="1" s="1"/>
  <c r="P211" i="1"/>
  <c r="S211" i="1" s="1"/>
  <c r="Q415" i="1"/>
  <c r="T415" i="1" s="1"/>
  <c r="P925" i="1"/>
  <c r="R925" i="1" s="1"/>
  <c r="U925" i="1" s="1"/>
  <c r="Q926" i="1" s="1"/>
  <c r="T926" i="1" s="1"/>
  <c r="P313" i="1"/>
  <c r="S313" i="1" s="1"/>
  <c r="P109" i="1"/>
  <c r="R109" i="1" s="1"/>
  <c r="U109" i="1" s="1"/>
  <c r="Q110" i="1" s="1"/>
  <c r="T110" i="1" s="1"/>
  <c r="P619" i="1"/>
  <c r="S619" i="1" s="1"/>
  <c r="P1028" i="1"/>
  <c r="R1028" i="1" s="1"/>
  <c r="U1028" i="1" s="1"/>
  <c r="Q1029" i="1" s="1"/>
  <c r="T1029" i="1" s="1"/>
  <c r="S721" i="1"/>
  <c r="R721" i="1"/>
  <c r="U721" i="1" s="1"/>
  <c r="Q722" i="1" s="1"/>
  <c r="T722" i="1" s="1"/>
  <c r="S925" i="1"/>
  <c r="P1129" i="1"/>
  <c r="R313" i="1"/>
  <c r="U313" i="1" s="1"/>
  <c r="Q314" i="1" s="1"/>
  <c r="T314" i="1" s="1"/>
  <c r="S823" i="1"/>
  <c r="R823" i="1"/>
  <c r="U823" i="1" s="1"/>
  <c r="Q824" i="1" s="1"/>
  <c r="T824" i="1" s="1"/>
  <c r="R211" i="1"/>
  <c r="U211" i="1" s="1"/>
  <c r="Q212" i="1" s="1"/>
  <c r="T212" i="1" s="1"/>
  <c r="S415" i="1"/>
  <c r="R415" i="1"/>
  <c r="U415" i="1" s="1"/>
  <c r="Q416" i="1" s="1"/>
  <c r="T416" i="1" s="1"/>
  <c r="U6" i="1"/>
  <c r="P7" i="1" s="1"/>
  <c r="S7" i="1" s="1"/>
  <c r="E9" i="2"/>
  <c r="D9" i="2" s="1"/>
  <c r="F9" i="2" s="1"/>
  <c r="R517" i="1" l="1"/>
  <c r="U517" i="1" s="1"/>
  <c r="Q518" i="1" s="1"/>
  <c r="T518" i="1" s="1"/>
  <c r="S109" i="1"/>
  <c r="S1028" i="1"/>
  <c r="P1029" i="1" s="1"/>
  <c r="R619" i="1"/>
  <c r="U619" i="1" s="1"/>
  <c r="Q620" i="1" s="1"/>
  <c r="T620" i="1" s="1"/>
  <c r="P722" i="1"/>
  <c r="R722" i="1" s="1"/>
  <c r="U722" i="1" s="1"/>
  <c r="Q723" i="1" s="1"/>
  <c r="T723" i="1" s="1"/>
  <c r="P110" i="1"/>
  <c r="S110" i="1" s="1"/>
  <c r="P314" i="1"/>
  <c r="R314" i="1" s="1"/>
  <c r="U314" i="1" s="1"/>
  <c r="Q315" i="1" s="1"/>
  <c r="T315" i="1" s="1"/>
  <c r="P926" i="1"/>
  <c r="R926" i="1" s="1"/>
  <c r="U926" i="1" s="1"/>
  <c r="Q927" i="1" s="1"/>
  <c r="T927" i="1" s="1"/>
  <c r="P212" i="1"/>
  <c r="P824" i="1"/>
  <c r="R1129" i="1"/>
  <c r="U1129" i="1" s="1"/>
  <c r="Q1130" i="1" s="1"/>
  <c r="T1130" i="1" s="1"/>
  <c r="S1129" i="1"/>
  <c r="P416" i="1"/>
  <c r="Q7" i="1"/>
  <c r="T7" i="1" s="1"/>
  <c r="E10" i="2"/>
  <c r="D10" i="2" s="1"/>
  <c r="F10" i="2" s="1"/>
  <c r="P518" i="1" l="1"/>
  <c r="S722" i="1"/>
  <c r="P723" i="1" s="1"/>
  <c r="R1029" i="1"/>
  <c r="U1029" i="1" s="1"/>
  <c r="Q1030" i="1" s="1"/>
  <c r="T1030" i="1" s="1"/>
  <c r="S1029" i="1"/>
  <c r="S314" i="1"/>
  <c r="P315" i="1" s="1"/>
  <c r="R315" i="1" s="1"/>
  <c r="U315" i="1" s="1"/>
  <c r="Q316" i="1" s="1"/>
  <c r="T316" i="1" s="1"/>
  <c r="S926" i="1"/>
  <c r="P927" i="1" s="1"/>
  <c r="R110" i="1"/>
  <c r="U110" i="1" s="1"/>
  <c r="Q111" i="1" s="1"/>
  <c r="T111" i="1" s="1"/>
  <c r="P620" i="1"/>
  <c r="P1130" i="1"/>
  <c r="S1130" i="1" s="1"/>
  <c r="R824" i="1"/>
  <c r="U824" i="1" s="1"/>
  <c r="Q825" i="1" s="1"/>
  <c r="T825" i="1" s="1"/>
  <c r="S824" i="1"/>
  <c r="S212" i="1"/>
  <c r="R212" i="1"/>
  <c r="U212" i="1" s="1"/>
  <c r="Q213" i="1" s="1"/>
  <c r="T213" i="1" s="1"/>
  <c r="S416" i="1"/>
  <c r="R416" i="1"/>
  <c r="U416" i="1" s="1"/>
  <c r="Q417" i="1" s="1"/>
  <c r="T417" i="1" s="1"/>
  <c r="R7" i="1"/>
  <c r="U7" i="1" s="1"/>
  <c r="Q8" i="1" s="1"/>
  <c r="T8" i="1" s="1"/>
  <c r="E11" i="2"/>
  <c r="D11" i="2" s="1"/>
  <c r="F11" i="2" s="1"/>
  <c r="R518" i="1" l="1"/>
  <c r="U518" i="1" s="1"/>
  <c r="Q519" i="1" s="1"/>
  <c r="T519" i="1" s="1"/>
  <c r="S518" i="1"/>
  <c r="P1030" i="1"/>
  <c r="S315" i="1"/>
  <c r="P316" i="1" s="1"/>
  <c r="P111" i="1"/>
  <c r="R1130" i="1"/>
  <c r="U1130" i="1" s="1"/>
  <c r="Q1131" i="1" s="1"/>
  <c r="T1131" i="1" s="1"/>
  <c r="S620" i="1"/>
  <c r="R620" i="1"/>
  <c r="U620" i="1" s="1"/>
  <c r="Q621" i="1" s="1"/>
  <c r="T621" i="1" s="1"/>
  <c r="S723" i="1"/>
  <c r="R723" i="1"/>
  <c r="U723" i="1" s="1"/>
  <c r="Q724" i="1" s="1"/>
  <c r="T724" i="1" s="1"/>
  <c r="P417" i="1"/>
  <c r="P825" i="1"/>
  <c r="S1030" i="1"/>
  <c r="R1030" i="1"/>
  <c r="U1030" i="1" s="1"/>
  <c r="Q1031" i="1" s="1"/>
  <c r="T1031" i="1" s="1"/>
  <c r="S927" i="1"/>
  <c r="R927" i="1"/>
  <c r="U927" i="1" s="1"/>
  <c r="Q928" i="1" s="1"/>
  <c r="T928" i="1" s="1"/>
  <c r="P213" i="1"/>
  <c r="P8" i="1"/>
  <c r="S8" i="1" s="1"/>
  <c r="E12" i="2"/>
  <c r="D12" i="2" s="1"/>
  <c r="F12" i="2" s="1"/>
  <c r="P519" i="1" l="1"/>
  <c r="R316" i="1"/>
  <c r="U316" i="1" s="1"/>
  <c r="Q317" i="1" s="1"/>
  <c r="T317" i="1" s="1"/>
  <c r="S316" i="1"/>
  <c r="P1131" i="1"/>
  <c r="R111" i="1"/>
  <c r="U111" i="1" s="1"/>
  <c r="Q112" i="1" s="1"/>
  <c r="T112" i="1" s="1"/>
  <c r="S111" i="1"/>
  <c r="P112" i="1" s="1"/>
  <c r="S112" i="1" s="1"/>
  <c r="P621" i="1"/>
  <c r="P724" i="1"/>
  <c r="R213" i="1"/>
  <c r="U213" i="1" s="1"/>
  <c r="Q214" i="1" s="1"/>
  <c r="T214" i="1" s="1"/>
  <c r="S213" i="1"/>
  <c r="P1031" i="1"/>
  <c r="S825" i="1"/>
  <c r="R825" i="1"/>
  <c r="U825" i="1" s="1"/>
  <c r="Q826" i="1" s="1"/>
  <c r="T826" i="1" s="1"/>
  <c r="P928" i="1"/>
  <c r="R417" i="1"/>
  <c r="U417" i="1" s="1"/>
  <c r="Q418" i="1" s="1"/>
  <c r="T418" i="1" s="1"/>
  <c r="S417" i="1"/>
  <c r="R8" i="1"/>
  <c r="U8" i="1" s="1"/>
  <c r="E13" i="2"/>
  <c r="D13" i="2" s="1"/>
  <c r="F13" i="2" s="1"/>
  <c r="R519" i="1" l="1"/>
  <c r="U519" i="1" s="1"/>
  <c r="Q520" i="1" s="1"/>
  <c r="T520" i="1" s="1"/>
  <c r="S519" i="1"/>
  <c r="P520" i="1" s="1"/>
  <c r="P317" i="1"/>
  <c r="R317" i="1" s="1"/>
  <c r="U317" i="1" s="1"/>
  <c r="Q318" i="1" s="1"/>
  <c r="T318" i="1" s="1"/>
  <c r="R1131" i="1"/>
  <c r="U1131" i="1" s="1"/>
  <c r="Q1132" i="1" s="1"/>
  <c r="T1132" i="1" s="1"/>
  <c r="S1131" i="1"/>
  <c r="R112" i="1"/>
  <c r="U112" i="1" s="1"/>
  <c r="Q113" i="1" s="1"/>
  <c r="T113" i="1" s="1"/>
  <c r="S621" i="1"/>
  <c r="R621" i="1"/>
  <c r="U621" i="1" s="1"/>
  <c r="Q622" i="1" s="1"/>
  <c r="T622" i="1" s="1"/>
  <c r="P418" i="1"/>
  <c r="P214" i="1"/>
  <c r="S214" i="1" s="1"/>
  <c r="S724" i="1"/>
  <c r="R724" i="1"/>
  <c r="U724" i="1" s="1"/>
  <c r="Q725" i="1" s="1"/>
  <c r="T725" i="1" s="1"/>
  <c r="R928" i="1"/>
  <c r="U928" i="1" s="1"/>
  <c r="Q929" i="1" s="1"/>
  <c r="T929" i="1" s="1"/>
  <c r="S928" i="1"/>
  <c r="R1031" i="1"/>
  <c r="U1031" i="1" s="1"/>
  <c r="Q1032" i="1" s="1"/>
  <c r="T1032" i="1" s="1"/>
  <c r="S1031" i="1"/>
  <c r="P826" i="1"/>
  <c r="Q9" i="1"/>
  <c r="T9" i="1" s="1"/>
  <c r="E14" i="2"/>
  <c r="D14" i="2" s="1"/>
  <c r="F14" i="2" s="1"/>
  <c r="S520" i="1" l="1"/>
  <c r="R520" i="1"/>
  <c r="U520" i="1" s="1"/>
  <c r="Q521" i="1" s="1"/>
  <c r="T521" i="1" s="1"/>
  <c r="S317" i="1"/>
  <c r="P318" i="1" s="1"/>
  <c r="R318" i="1" s="1"/>
  <c r="U318" i="1" s="1"/>
  <c r="Q319" i="1" s="1"/>
  <c r="T319" i="1" s="1"/>
  <c r="P113" i="1"/>
  <c r="P1132" i="1"/>
  <c r="P929" i="1"/>
  <c r="S929" i="1" s="1"/>
  <c r="R214" i="1"/>
  <c r="U214" i="1" s="1"/>
  <c r="Q215" i="1" s="1"/>
  <c r="T215" i="1" s="1"/>
  <c r="P622" i="1"/>
  <c r="P1032" i="1"/>
  <c r="R1032" i="1" s="1"/>
  <c r="U1032" i="1" s="1"/>
  <c r="Q1033" i="1" s="1"/>
  <c r="T1033" i="1" s="1"/>
  <c r="S418" i="1"/>
  <c r="R418" i="1"/>
  <c r="U418" i="1" s="1"/>
  <c r="Q419" i="1" s="1"/>
  <c r="T419" i="1" s="1"/>
  <c r="P725" i="1"/>
  <c r="R113" i="1"/>
  <c r="U113" i="1" s="1"/>
  <c r="Q114" i="1" s="1"/>
  <c r="T114" i="1" s="1"/>
  <c r="S113" i="1"/>
  <c r="S826" i="1"/>
  <c r="R826" i="1"/>
  <c r="U826" i="1" s="1"/>
  <c r="Q827" i="1" s="1"/>
  <c r="T827" i="1" s="1"/>
  <c r="P9" i="1"/>
  <c r="S9" i="1" s="1"/>
  <c r="E15" i="2"/>
  <c r="D15" i="2" s="1"/>
  <c r="F15" i="2" s="1"/>
  <c r="P521" i="1" l="1"/>
  <c r="S1132" i="1"/>
  <c r="R1132" i="1"/>
  <c r="U1132" i="1" s="1"/>
  <c r="Q1133" i="1" s="1"/>
  <c r="T1133" i="1" s="1"/>
  <c r="S1032" i="1"/>
  <c r="P1033" i="1" s="1"/>
  <c r="R929" i="1"/>
  <c r="U929" i="1" s="1"/>
  <c r="Q930" i="1" s="1"/>
  <c r="T930" i="1" s="1"/>
  <c r="P215" i="1"/>
  <c r="S215" i="1" s="1"/>
  <c r="S622" i="1"/>
  <c r="R622" i="1"/>
  <c r="U622" i="1" s="1"/>
  <c r="Q623" i="1" s="1"/>
  <c r="T623" i="1" s="1"/>
  <c r="P114" i="1"/>
  <c r="S114" i="1" s="1"/>
  <c r="P419" i="1"/>
  <c r="S419" i="1" s="1"/>
  <c r="S318" i="1"/>
  <c r="P319" i="1" s="1"/>
  <c r="S319" i="1" s="1"/>
  <c r="R419" i="1"/>
  <c r="U419" i="1" s="1"/>
  <c r="Q420" i="1" s="1"/>
  <c r="T420" i="1" s="1"/>
  <c r="P827" i="1"/>
  <c r="S827" i="1" s="1"/>
  <c r="R725" i="1"/>
  <c r="U725" i="1" s="1"/>
  <c r="Q726" i="1" s="1"/>
  <c r="T726" i="1" s="1"/>
  <c r="S725" i="1"/>
  <c r="R9" i="1"/>
  <c r="U9" i="1" s="1"/>
  <c r="E16" i="2"/>
  <c r="D16" i="2" s="1"/>
  <c r="F16" i="2" s="1"/>
  <c r="R521" i="1" l="1"/>
  <c r="U521" i="1" s="1"/>
  <c r="Q522" i="1" s="1"/>
  <c r="T522" i="1" s="1"/>
  <c r="S521" i="1"/>
  <c r="P522" i="1" s="1"/>
  <c r="R215" i="1"/>
  <c r="U215" i="1" s="1"/>
  <c r="Q216" i="1" s="1"/>
  <c r="T216" i="1" s="1"/>
  <c r="P930" i="1"/>
  <c r="S930" i="1" s="1"/>
  <c r="P1133" i="1"/>
  <c r="R827" i="1"/>
  <c r="U827" i="1" s="1"/>
  <c r="Q828" i="1" s="1"/>
  <c r="T828" i="1" s="1"/>
  <c r="P420" i="1"/>
  <c r="R420" i="1" s="1"/>
  <c r="U420" i="1" s="1"/>
  <c r="Q421" i="1" s="1"/>
  <c r="T421" i="1" s="1"/>
  <c r="R114" i="1"/>
  <c r="U114" i="1" s="1"/>
  <c r="Q115" i="1" s="1"/>
  <c r="T115" i="1" s="1"/>
  <c r="P623" i="1"/>
  <c r="R319" i="1"/>
  <c r="U319" i="1" s="1"/>
  <c r="Q320" i="1" s="1"/>
  <c r="T320" i="1" s="1"/>
  <c r="P726" i="1"/>
  <c r="S1033" i="1"/>
  <c r="R1033" i="1"/>
  <c r="U1033" i="1" s="1"/>
  <c r="Q1034" i="1" s="1"/>
  <c r="T1034" i="1" s="1"/>
  <c r="P10" i="1"/>
  <c r="S10" i="1" s="1"/>
  <c r="E17" i="2"/>
  <c r="D17" i="2" s="1"/>
  <c r="F17" i="2" s="1"/>
  <c r="S522" i="1" l="1"/>
  <c r="R522" i="1"/>
  <c r="U522" i="1" s="1"/>
  <c r="Q523" i="1" s="1"/>
  <c r="T523" i="1" s="1"/>
  <c r="R930" i="1"/>
  <c r="U930" i="1" s="1"/>
  <c r="Q931" i="1" s="1"/>
  <c r="T931" i="1" s="1"/>
  <c r="P216" i="1"/>
  <c r="S216" i="1" s="1"/>
  <c r="P115" i="1"/>
  <c r="R115" i="1" s="1"/>
  <c r="U115" i="1" s="1"/>
  <c r="Q116" i="1" s="1"/>
  <c r="T116" i="1" s="1"/>
  <c r="R1133" i="1"/>
  <c r="U1133" i="1" s="1"/>
  <c r="Q1134" i="1" s="1"/>
  <c r="T1134" i="1" s="1"/>
  <c r="S1133" i="1"/>
  <c r="S420" i="1"/>
  <c r="P421" i="1" s="1"/>
  <c r="S421" i="1" s="1"/>
  <c r="P828" i="1"/>
  <c r="P320" i="1"/>
  <c r="S320" i="1" s="1"/>
  <c r="S623" i="1"/>
  <c r="R623" i="1"/>
  <c r="U623" i="1" s="1"/>
  <c r="Q624" i="1" s="1"/>
  <c r="T624" i="1" s="1"/>
  <c r="R216" i="1"/>
  <c r="U216" i="1" s="1"/>
  <c r="Q217" i="1" s="1"/>
  <c r="T217" i="1" s="1"/>
  <c r="P1034" i="1"/>
  <c r="S1034" i="1" s="1"/>
  <c r="S726" i="1"/>
  <c r="R726" i="1"/>
  <c r="U726" i="1" s="1"/>
  <c r="Q727" i="1" s="1"/>
  <c r="T727" i="1" s="1"/>
  <c r="P931" i="1"/>
  <c r="Q10" i="1"/>
  <c r="T10" i="1" s="1"/>
  <c r="E18" i="2"/>
  <c r="D18" i="2" s="1"/>
  <c r="F18" i="2" s="1"/>
  <c r="E19" i="2" s="1"/>
  <c r="D19" i="2" s="1"/>
  <c r="F19" i="2" s="1"/>
  <c r="E20" i="2" s="1"/>
  <c r="D20" i="2" s="1"/>
  <c r="P523" i="1" l="1"/>
  <c r="S115" i="1"/>
  <c r="P1134" i="1"/>
  <c r="R320" i="1"/>
  <c r="U320" i="1" s="1"/>
  <c r="Q321" i="1" s="1"/>
  <c r="T321" i="1" s="1"/>
  <c r="R421" i="1"/>
  <c r="U421" i="1" s="1"/>
  <c r="Q422" i="1" s="1"/>
  <c r="T422" i="1" s="1"/>
  <c r="S1134" i="1"/>
  <c r="R1134" i="1"/>
  <c r="U1134" i="1" s="1"/>
  <c r="Q1135" i="1" s="1"/>
  <c r="T1135" i="1" s="1"/>
  <c r="P116" i="1"/>
  <c r="S116" i="1" s="1"/>
  <c r="R828" i="1"/>
  <c r="U828" i="1" s="1"/>
  <c r="Q829" i="1" s="1"/>
  <c r="T829" i="1" s="1"/>
  <c r="S828" i="1"/>
  <c r="P321" i="1"/>
  <c r="S321" i="1" s="1"/>
  <c r="R1034" i="1"/>
  <c r="U1034" i="1" s="1"/>
  <c r="Q1035" i="1" s="1"/>
  <c r="T1035" i="1" s="1"/>
  <c r="P624" i="1"/>
  <c r="P422" i="1"/>
  <c r="P217" i="1"/>
  <c r="S217" i="1" s="1"/>
  <c r="P727" i="1"/>
  <c r="R931" i="1"/>
  <c r="U931" i="1" s="1"/>
  <c r="Q932" i="1" s="1"/>
  <c r="T932" i="1" s="1"/>
  <c r="S931" i="1"/>
  <c r="P932" i="1" s="1"/>
  <c r="R932" i="1" s="1"/>
  <c r="U932" i="1" s="1"/>
  <c r="Q933" i="1" s="1"/>
  <c r="T933" i="1" s="1"/>
  <c r="R10" i="1"/>
  <c r="U10" i="1" s="1"/>
  <c r="F20" i="2"/>
  <c r="S523" i="1" l="1"/>
  <c r="R523" i="1"/>
  <c r="U523" i="1" s="1"/>
  <c r="Q524" i="1" s="1"/>
  <c r="T524" i="1" s="1"/>
  <c r="R321" i="1"/>
  <c r="U321" i="1" s="1"/>
  <c r="Q322" i="1" s="1"/>
  <c r="T322" i="1" s="1"/>
  <c r="R116" i="1"/>
  <c r="U116" i="1" s="1"/>
  <c r="Q117" i="1" s="1"/>
  <c r="T117" i="1" s="1"/>
  <c r="R217" i="1"/>
  <c r="U217" i="1" s="1"/>
  <c r="Q218" i="1" s="1"/>
  <c r="T218" i="1" s="1"/>
  <c r="P1135" i="1"/>
  <c r="P1035" i="1"/>
  <c r="S1035" i="1" s="1"/>
  <c r="P829" i="1"/>
  <c r="R422" i="1"/>
  <c r="U422" i="1" s="1"/>
  <c r="Q423" i="1" s="1"/>
  <c r="T423" i="1" s="1"/>
  <c r="S422" i="1"/>
  <c r="R624" i="1"/>
  <c r="U624" i="1" s="1"/>
  <c r="Q625" i="1" s="1"/>
  <c r="T625" i="1" s="1"/>
  <c r="S624" i="1"/>
  <c r="P322" i="1"/>
  <c r="R322" i="1" s="1"/>
  <c r="U322" i="1" s="1"/>
  <c r="Q323" i="1" s="1"/>
  <c r="T323" i="1" s="1"/>
  <c r="S727" i="1"/>
  <c r="R727" i="1"/>
  <c r="U727" i="1" s="1"/>
  <c r="Q728" i="1" s="1"/>
  <c r="T728" i="1" s="1"/>
  <c r="S932" i="1"/>
  <c r="P933" i="1" s="1"/>
  <c r="R933" i="1" s="1"/>
  <c r="U933" i="1" s="1"/>
  <c r="Q934" i="1" s="1"/>
  <c r="T934" i="1" s="1"/>
  <c r="P117" i="1"/>
  <c r="Q11" i="1"/>
  <c r="T11" i="1" s="1"/>
  <c r="E21" i="2"/>
  <c r="D21" i="2" s="1"/>
  <c r="P524" i="1" l="1"/>
  <c r="P218" i="1"/>
  <c r="R1035" i="1"/>
  <c r="U1035" i="1" s="1"/>
  <c r="Q1036" i="1" s="1"/>
  <c r="T1036" i="1" s="1"/>
  <c r="P423" i="1"/>
  <c r="R423" i="1" s="1"/>
  <c r="U423" i="1" s="1"/>
  <c r="Q424" i="1" s="1"/>
  <c r="T424" i="1" s="1"/>
  <c r="S423" i="1"/>
  <c r="R1135" i="1"/>
  <c r="U1135" i="1" s="1"/>
  <c r="Q1136" i="1" s="1"/>
  <c r="T1136" i="1" s="1"/>
  <c r="S1135" i="1"/>
  <c r="P1136" i="1" s="1"/>
  <c r="R829" i="1"/>
  <c r="U829" i="1" s="1"/>
  <c r="Q830" i="1" s="1"/>
  <c r="T830" i="1" s="1"/>
  <c r="S829" i="1"/>
  <c r="P1036" i="1"/>
  <c r="S1036" i="1" s="1"/>
  <c r="P625" i="1"/>
  <c r="S933" i="1"/>
  <c r="P934" i="1" s="1"/>
  <c r="S934" i="1" s="1"/>
  <c r="P728" i="1"/>
  <c r="S728" i="1" s="1"/>
  <c r="S322" i="1"/>
  <c r="P323" i="1" s="1"/>
  <c r="R218" i="1"/>
  <c r="U218" i="1" s="1"/>
  <c r="Q219" i="1" s="1"/>
  <c r="T219" i="1" s="1"/>
  <c r="S218" i="1"/>
  <c r="R117" i="1"/>
  <c r="U117" i="1" s="1"/>
  <c r="Q118" i="1" s="1"/>
  <c r="T118" i="1" s="1"/>
  <c r="S117" i="1"/>
  <c r="P11" i="1"/>
  <c r="S11" i="1" s="1"/>
  <c r="F21" i="2"/>
  <c r="S524" i="1" l="1"/>
  <c r="R524" i="1"/>
  <c r="U524" i="1" s="1"/>
  <c r="Q525" i="1" s="1"/>
  <c r="T525" i="1" s="1"/>
  <c r="P424" i="1"/>
  <c r="R424" i="1" s="1"/>
  <c r="U424" i="1" s="1"/>
  <c r="Q425" i="1" s="1"/>
  <c r="T425" i="1" s="1"/>
  <c r="P830" i="1"/>
  <c r="R830" i="1" s="1"/>
  <c r="U830" i="1" s="1"/>
  <c r="Q831" i="1" s="1"/>
  <c r="T831" i="1" s="1"/>
  <c r="S1136" i="1"/>
  <c r="R1136" i="1"/>
  <c r="U1136" i="1" s="1"/>
  <c r="Q1137" i="1" s="1"/>
  <c r="T1137" i="1" s="1"/>
  <c r="R1036" i="1"/>
  <c r="U1036" i="1" s="1"/>
  <c r="Q1037" i="1" s="1"/>
  <c r="T1037" i="1" s="1"/>
  <c r="R934" i="1"/>
  <c r="U934" i="1" s="1"/>
  <c r="Q935" i="1" s="1"/>
  <c r="T935" i="1" s="1"/>
  <c r="R728" i="1"/>
  <c r="U728" i="1" s="1"/>
  <c r="Q729" i="1" s="1"/>
  <c r="T729" i="1" s="1"/>
  <c r="S625" i="1"/>
  <c r="R625" i="1"/>
  <c r="U625" i="1" s="1"/>
  <c r="Q626" i="1" s="1"/>
  <c r="T626" i="1" s="1"/>
  <c r="P118" i="1"/>
  <c r="R118" i="1" s="1"/>
  <c r="U118" i="1" s="1"/>
  <c r="Q119" i="1" s="1"/>
  <c r="T119" i="1" s="1"/>
  <c r="P219" i="1"/>
  <c r="S323" i="1"/>
  <c r="R323" i="1"/>
  <c r="U323" i="1" s="1"/>
  <c r="Q324" i="1" s="1"/>
  <c r="T324" i="1" s="1"/>
  <c r="R11" i="1"/>
  <c r="E22" i="2"/>
  <c r="D22" i="2" s="1"/>
  <c r="S830" i="1" l="1"/>
  <c r="P831" i="1" s="1"/>
  <c r="P525" i="1"/>
  <c r="S424" i="1"/>
  <c r="P425" i="1" s="1"/>
  <c r="S425" i="1" s="1"/>
  <c r="P1037" i="1"/>
  <c r="P935" i="1"/>
  <c r="S935" i="1" s="1"/>
  <c r="P1137" i="1"/>
  <c r="P626" i="1"/>
  <c r="R626" i="1" s="1"/>
  <c r="U626" i="1" s="1"/>
  <c r="Q627" i="1" s="1"/>
  <c r="T627" i="1" s="1"/>
  <c r="P729" i="1"/>
  <c r="S729" i="1" s="1"/>
  <c r="S118" i="1"/>
  <c r="P119" i="1" s="1"/>
  <c r="R119" i="1" s="1"/>
  <c r="U119" i="1" s="1"/>
  <c r="Q120" i="1" s="1"/>
  <c r="T120" i="1" s="1"/>
  <c r="S1037" i="1"/>
  <c r="R1037" i="1"/>
  <c r="U1037" i="1" s="1"/>
  <c r="Q1038" i="1" s="1"/>
  <c r="T1038" i="1" s="1"/>
  <c r="P324" i="1"/>
  <c r="R219" i="1"/>
  <c r="U219" i="1" s="1"/>
  <c r="Q220" i="1" s="1"/>
  <c r="T220" i="1" s="1"/>
  <c r="S219" i="1"/>
  <c r="U11" i="1"/>
  <c r="P12" i="1" s="1"/>
  <c r="S12" i="1" s="1"/>
  <c r="F22" i="2"/>
  <c r="R525" i="1" l="1"/>
  <c r="U525" i="1" s="1"/>
  <c r="Q526" i="1" s="1"/>
  <c r="T526" i="1" s="1"/>
  <c r="S525" i="1"/>
  <c r="P526" i="1" s="1"/>
  <c r="R425" i="1"/>
  <c r="U425" i="1" s="1"/>
  <c r="R935" i="1"/>
  <c r="U935" i="1" s="1"/>
  <c r="Q936" i="1" s="1"/>
  <c r="T936" i="1" s="1"/>
  <c r="R729" i="1"/>
  <c r="U729" i="1" s="1"/>
  <c r="Q730" i="1" s="1"/>
  <c r="T730" i="1" s="1"/>
  <c r="R1137" i="1"/>
  <c r="U1137" i="1" s="1"/>
  <c r="Q1138" i="1" s="1"/>
  <c r="T1138" i="1" s="1"/>
  <c r="S1137" i="1"/>
  <c r="P1138" i="1" s="1"/>
  <c r="S626" i="1"/>
  <c r="P627" i="1" s="1"/>
  <c r="R627" i="1" s="1"/>
  <c r="U627" i="1" s="1"/>
  <c r="Q628" i="1" s="1"/>
  <c r="T628" i="1" s="1"/>
  <c r="R831" i="1"/>
  <c r="U831" i="1" s="1"/>
  <c r="Q832" i="1" s="1"/>
  <c r="T832" i="1" s="1"/>
  <c r="S831" i="1"/>
  <c r="S119" i="1"/>
  <c r="P120" i="1" s="1"/>
  <c r="P936" i="1"/>
  <c r="R936" i="1" s="1"/>
  <c r="U936" i="1" s="1"/>
  <c r="Q937" i="1" s="1"/>
  <c r="T937" i="1" s="1"/>
  <c r="P1038" i="1"/>
  <c r="P220" i="1"/>
  <c r="S324" i="1"/>
  <c r="R324" i="1"/>
  <c r="U324" i="1" s="1"/>
  <c r="Q325" i="1" s="1"/>
  <c r="T325" i="1" s="1"/>
  <c r="Q12" i="1"/>
  <c r="T12" i="1" s="1"/>
  <c r="E23" i="2"/>
  <c r="D23" i="2" s="1"/>
  <c r="P730" i="1" l="1"/>
  <c r="S730" i="1" s="1"/>
  <c r="R526" i="1"/>
  <c r="U526" i="1" s="1"/>
  <c r="Q527" i="1" s="1"/>
  <c r="T527" i="1" s="1"/>
  <c r="S526" i="1"/>
  <c r="P527" i="1" s="1"/>
  <c r="P832" i="1"/>
  <c r="Q426" i="1"/>
  <c r="T426" i="1" s="1"/>
  <c r="P426" i="1"/>
  <c r="S936" i="1"/>
  <c r="P937" i="1" s="1"/>
  <c r="S937" i="1" s="1"/>
  <c r="S627" i="1"/>
  <c r="P628" i="1" s="1"/>
  <c r="R1138" i="1"/>
  <c r="U1138" i="1" s="1"/>
  <c r="Q1139" i="1" s="1"/>
  <c r="T1139" i="1" s="1"/>
  <c r="S1138" i="1"/>
  <c r="S120" i="1"/>
  <c r="R120" i="1"/>
  <c r="U120" i="1" s="1"/>
  <c r="Q121" i="1" s="1"/>
  <c r="T121" i="1" s="1"/>
  <c r="R730" i="1"/>
  <c r="U730" i="1" s="1"/>
  <c r="Q731" i="1" s="1"/>
  <c r="T731" i="1" s="1"/>
  <c r="S832" i="1"/>
  <c r="R832" i="1"/>
  <c r="U832" i="1" s="1"/>
  <c r="Q833" i="1" s="1"/>
  <c r="T833" i="1" s="1"/>
  <c r="R1038" i="1"/>
  <c r="U1038" i="1" s="1"/>
  <c r="Q1039" i="1" s="1"/>
  <c r="T1039" i="1" s="1"/>
  <c r="S1038" i="1"/>
  <c r="P325" i="1"/>
  <c r="S220" i="1"/>
  <c r="R220" i="1"/>
  <c r="U220" i="1" s="1"/>
  <c r="Q221" i="1" s="1"/>
  <c r="T221" i="1" s="1"/>
  <c r="R12" i="1"/>
  <c r="U12" i="1" s="1"/>
  <c r="P13" i="1" s="1"/>
  <c r="S13" i="1" s="1"/>
  <c r="F23" i="2"/>
  <c r="R527" i="1" l="1"/>
  <c r="U527" i="1" s="1"/>
  <c r="Q528" i="1" s="1"/>
  <c r="T528" i="1" s="1"/>
  <c r="S527" i="1"/>
  <c r="P528" i="1" s="1"/>
  <c r="R426" i="1"/>
  <c r="U426" i="1" s="1"/>
  <c r="Q427" i="1" s="1"/>
  <c r="T427" i="1" s="1"/>
  <c r="S426" i="1"/>
  <c r="P427" i="1" s="1"/>
  <c r="S427" i="1" s="1"/>
  <c r="P1039" i="1"/>
  <c r="P1139" i="1"/>
  <c r="S1139" i="1" s="1"/>
  <c r="P1140" i="1" s="1"/>
  <c r="R937" i="1"/>
  <c r="U937" i="1" s="1"/>
  <c r="Q938" i="1" s="1"/>
  <c r="T938" i="1" s="1"/>
  <c r="R1139" i="1"/>
  <c r="U1139" i="1" s="1"/>
  <c r="Q1140" i="1" s="1"/>
  <c r="T1140" i="1" s="1"/>
  <c r="P731" i="1"/>
  <c r="R731" i="1" s="1"/>
  <c r="U731" i="1" s="1"/>
  <c r="Q732" i="1" s="1"/>
  <c r="T732" i="1" s="1"/>
  <c r="P833" i="1"/>
  <c r="P121" i="1"/>
  <c r="R628" i="1"/>
  <c r="U628" i="1" s="1"/>
  <c r="Q629" i="1" s="1"/>
  <c r="T629" i="1" s="1"/>
  <c r="S628" i="1"/>
  <c r="P629" i="1" s="1"/>
  <c r="S1039" i="1"/>
  <c r="R1039" i="1"/>
  <c r="U1039" i="1" s="1"/>
  <c r="Q1040" i="1" s="1"/>
  <c r="T1040" i="1" s="1"/>
  <c r="S731" i="1"/>
  <c r="P221" i="1"/>
  <c r="S325" i="1"/>
  <c r="R325" i="1"/>
  <c r="U325" i="1" s="1"/>
  <c r="Q326" i="1" s="1"/>
  <c r="T326" i="1" s="1"/>
  <c r="R427" i="1"/>
  <c r="U427" i="1" s="1"/>
  <c r="Q428" i="1" s="1"/>
  <c r="T428" i="1" s="1"/>
  <c r="Q13" i="1"/>
  <c r="T13" i="1" s="1"/>
  <c r="E24" i="2"/>
  <c r="D24" i="2" s="1"/>
  <c r="R528" i="1" l="1"/>
  <c r="U528" i="1" s="1"/>
  <c r="Q529" i="1" s="1"/>
  <c r="T529" i="1" s="1"/>
  <c r="S528" i="1"/>
  <c r="P529" i="1" s="1"/>
  <c r="P938" i="1"/>
  <c r="S938" i="1" s="1"/>
  <c r="R1140" i="1"/>
  <c r="U1140" i="1" s="1"/>
  <c r="Q1141" i="1" s="1"/>
  <c r="T1141" i="1" s="1"/>
  <c r="S1140" i="1"/>
  <c r="P1141" i="1" s="1"/>
  <c r="R938" i="1"/>
  <c r="U938" i="1" s="1"/>
  <c r="Q939" i="1" s="1"/>
  <c r="T939" i="1" s="1"/>
  <c r="R121" i="1"/>
  <c r="U121" i="1" s="1"/>
  <c r="Q122" i="1" s="1"/>
  <c r="T122" i="1" s="1"/>
  <c r="S121" i="1"/>
  <c r="P122" i="1" s="1"/>
  <c r="S122" i="1" s="1"/>
  <c r="S833" i="1"/>
  <c r="R833" i="1"/>
  <c r="U833" i="1" s="1"/>
  <c r="Q834" i="1" s="1"/>
  <c r="T834" i="1" s="1"/>
  <c r="R629" i="1"/>
  <c r="U629" i="1" s="1"/>
  <c r="Q630" i="1" s="1"/>
  <c r="T630" i="1" s="1"/>
  <c r="S629" i="1"/>
  <c r="P1040" i="1"/>
  <c r="P732" i="1"/>
  <c r="S732" i="1" s="1"/>
  <c r="R732" i="1"/>
  <c r="U732" i="1" s="1"/>
  <c r="Q733" i="1" s="1"/>
  <c r="T733" i="1" s="1"/>
  <c r="P428" i="1"/>
  <c r="S428" i="1" s="1"/>
  <c r="P326" i="1"/>
  <c r="R221" i="1"/>
  <c r="U221" i="1" s="1"/>
  <c r="Q222" i="1" s="1"/>
  <c r="T222" i="1" s="1"/>
  <c r="S221" i="1"/>
  <c r="P939" i="1"/>
  <c r="R13" i="1"/>
  <c r="U13" i="1" s="1"/>
  <c r="F24" i="2"/>
  <c r="R529" i="1" l="1"/>
  <c r="U529" i="1" s="1"/>
  <c r="Q530" i="1" s="1"/>
  <c r="T530" i="1" s="1"/>
  <c r="S529" i="1"/>
  <c r="P530" i="1" s="1"/>
  <c r="R122" i="1"/>
  <c r="U122" i="1" s="1"/>
  <c r="Q123" i="1" s="1"/>
  <c r="T123" i="1" s="1"/>
  <c r="R1141" i="1"/>
  <c r="U1141" i="1" s="1"/>
  <c r="Q1142" i="1" s="1"/>
  <c r="T1142" i="1" s="1"/>
  <c r="S1141" i="1"/>
  <c r="P1142" i="1" s="1"/>
  <c r="S1142" i="1" s="1"/>
  <c r="P630" i="1"/>
  <c r="S630" i="1" s="1"/>
  <c r="P834" i="1"/>
  <c r="R428" i="1"/>
  <c r="U428" i="1" s="1"/>
  <c r="Q429" i="1" s="1"/>
  <c r="T429" i="1" s="1"/>
  <c r="S1040" i="1"/>
  <c r="R1040" i="1"/>
  <c r="U1040" i="1" s="1"/>
  <c r="Q1041" i="1" s="1"/>
  <c r="T1041" i="1" s="1"/>
  <c r="P733" i="1"/>
  <c r="P123" i="1"/>
  <c r="S326" i="1"/>
  <c r="R326" i="1"/>
  <c r="U326" i="1" s="1"/>
  <c r="Q327" i="1" s="1"/>
  <c r="T327" i="1" s="1"/>
  <c r="P222" i="1"/>
  <c r="R939" i="1"/>
  <c r="U939" i="1" s="1"/>
  <c r="Q940" i="1" s="1"/>
  <c r="T940" i="1" s="1"/>
  <c r="S939" i="1"/>
  <c r="Q14" i="1"/>
  <c r="T14" i="1" s="1"/>
  <c r="E25" i="2"/>
  <c r="D25" i="2" s="1"/>
  <c r="R630" i="1" l="1"/>
  <c r="U630" i="1" s="1"/>
  <c r="Q631" i="1" s="1"/>
  <c r="T631" i="1" s="1"/>
  <c r="R530" i="1"/>
  <c r="U530" i="1" s="1"/>
  <c r="Q531" i="1" s="1"/>
  <c r="T531" i="1" s="1"/>
  <c r="S530" i="1"/>
  <c r="P531" i="1" s="1"/>
  <c r="P940" i="1"/>
  <c r="S940" i="1" s="1"/>
  <c r="R1142" i="1"/>
  <c r="U1142" i="1" s="1"/>
  <c r="Q1143" i="1" s="1"/>
  <c r="T1143" i="1" s="1"/>
  <c r="P429" i="1"/>
  <c r="R429" i="1" s="1"/>
  <c r="U429" i="1" s="1"/>
  <c r="Q430" i="1" s="1"/>
  <c r="T430" i="1" s="1"/>
  <c r="S834" i="1"/>
  <c r="R834" i="1"/>
  <c r="U834" i="1" s="1"/>
  <c r="Q835" i="1" s="1"/>
  <c r="T835" i="1" s="1"/>
  <c r="P631" i="1"/>
  <c r="P1041" i="1"/>
  <c r="R733" i="1"/>
  <c r="U733" i="1" s="1"/>
  <c r="Q734" i="1" s="1"/>
  <c r="T734" i="1" s="1"/>
  <c r="S733" i="1"/>
  <c r="S222" i="1"/>
  <c r="R222" i="1"/>
  <c r="U222" i="1" s="1"/>
  <c r="Q223" i="1" s="1"/>
  <c r="T223" i="1" s="1"/>
  <c r="P327" i="1"/>
  <c r="R123" i="1"/>
  <c r="U123" i="1" s="1"/>
  <c r="Q124" i="1" s="1"/>
  <c r="T124" i="1" s="1"/>
  <c r="S123" i="1"/>
  <c r="R940" i="1"/>
  <c r="U940" i="1" s="1"/>
  <c r="Q941" i="1" s="1"/>
  <c r="T941" i="1" s="1"/>
  <c r="P14" i="1"/>
  <c r="S14" i="1" s="1"/>
  <c r="F25" i="2"/>
  <c r="R531" i="1" l="1"/>
  <c r="U531" i="1" s="1"/>
  <c r="Q532" i="1" s="1"/>
  <c r="T532" i="1" s="1"/>
  <c r="S531" i="1"/>
  <c r="P532" i="1" s="1"/>
  <c r="S429" i="1"/>
  <c r="P430" i="1" s="1"/>
  <c r="P1143" i="1"/>
  <c r="P835" i="1"/>
  <c r="P941" i="1"/>
  <c r="S941" i="1" s="1"/>
  <c r="R631" i="1"/>
  <c r="U631" i="1" s="1"/>
  <c r="Q632" i="1" s="1"/>
  <c r="T632" i="1" s="1"/>
  <c r="S631" i="1"/>
  <c r="P632" i="1" s="1"/>
  <c r="R632" i="1" s="1"/>
  <c r="U632" i="1" s="1"/>
  <c r="Q633" i="1" s="1"/>
  <c r="T633" i="1" s="1"/>
  <c r="S1041" i="1"/>
  <c r="R1041" i="1"/>
  <c r="U1041" i="1" s="1"/>
  <c r="Q1042" i="1" s="1"/>
  <c r="T1042" i="1" s="1"/>
  <c r="P734" i="1"/>
  <c r="P223" i="1"/>
  <c r="S327" i="1"/>
  <c r="R327" i="1"/>
  <c r="U327" i="1" s="1"/>
  <c r="Q328" i="1" s="1"/>
  <c r="T328" i="1" s="1"/>
  <c r="S1143" i="1"/>
  <c r="R1143" i="1"/>
  <c r="U1143" i="1" s="1"/>
  <c r="Q1144" i="1" s="1"/>
  <c r="T1144" i="1" s="1"/>
  <c r="P124" i="1"/>
  <c r="R14" i="1"/>
  <c r="U14" i="1" s="1"/>
  <c r="E26" i="2"/>
  <c r="D26" i="2" s="1"/>
  <c r="R532" i="1" l="1"/>
  <c r="U532" i="1" s="1"/>
  <c r="Q533" i="1" s="1"/>
  <c r="T533" i="1" s="1"/>
  <c r="S532" i="1"/>
  <c r="P533" i="1" s="1"/>
  <c r="R941" i="1"/>
  <c r="U941" i="1" s="1"/>
  <c r="Q942" i="1" s="1"/>
  <c r="T942" i="1" s="1"/>
  <c r="S632" i="1"/>
  <c r="P633" i="1" s="1"/>
  <c r="S633" i="1" s="1"/>
  <c r="R835" i="1"/>
  <c r="U835" i="1" s="1"/>
  <c r="Q836" i="1" s="1"/>
  <c r="T836" i="1" s="1"/>
  <c r="S835" i="1"/>
  <c r="P942" i="1"/>
  <c r="S942" i="1" s="1"/>
  <c r="P1042" i="1"/>
  <c r="P328" i="1"/>
  <c r="R328" i="1" s="1"/>
  <c r="U328" i="1" s="1"/>
  <c r="Q329" i="1" s="1"/>
  <c r="T329" i="1" s="1"/>
  <c r="R734" i="1"/>
  <c r="U734" i="1" s="1"/>
  <c r="Q735" i="1" s="1"/>
  <c r="T735" i="1" s="1"/>
  <c r="S734" i="1"/>
  <c r="P1144" i="1"/>
  <c r="S124" i="1"/>
  <c r="R124" i="1"/>
  <c r="U124" i="1" s="1"/>
  <c r="Q125" i="1" s="1"/>
  <c r="T125" i="1" s="1"/>
  <c r="R223" i="1"/>
  <c r="U223" i="1" s="1"/>
  <c r="Q224" i="1" s="1"/>
  <c r="T224" i="1" s="1"/>
  <c r="S223" i="1"/>
  <c r="R430" i="1"/>
  <c r="U430" i="1" s="1"/>
  <c r="Q431" i="1" s="1"/>
  <c r="T431" i="1" s="1"/>
  <c r="S430" i="1"/>
  <c r="P15" i="1"/>
  <c r="S15" i="1" s="1"/>
  <c r="F26" i="2"/>
  <c r="R533" i="1" l="1"/>
  <c r="U533" i="1" s="1"/>
  <c r="Q534" i="1" s="1"/>
  <c r="T534" i="1" s="1"/>
  <c r="S533" i="1"/>
  <c r="P534" i="1" s="1"/>
  <c r="S534" i="1" s="1"/>
  <c r="P836" i="1"/>
  <c r="S328" i="1"/>
  <c r="P329" i="1" s="1"/>
  <c r="R329" i="1" s="1"/>
  <c r="U329" i="1" s="1"/>
  <c r="Q330" i="1" s="1"/>
  <c r="T330" i="1" s="1"/>
  <c r="R942" i="1"/>
  <c r="U942" i="1" s="1"/>
  <c r="Q943" i="1" s="1"/>
  <c r="T943" i="1" s="1"/>
  <c r="S836" i="1"/>
  <c r="R836" i="1"/>
  <c r="U836" i="1" s="1"/>
  <c r="Q837" i="1" s="1"/>
  <c r="T837" i="1" s="1"/>
  <c r="R633" i="1"/>
  <c r="U633" i="1" s="1"/>
  <c r="Q634" i="1" s="1"/>
  <c r="T634" i="1" s="1"/>
  <c r="P735" i="1"/>
  <c r="S735" i="1" s="1"/>
  <c r="R1042" i="1"/>
  <c r="U1042" i="1" s="1"/>
  <c r="Q1043" i="1" s="1"/>
  <c r="T1043" i="1" s="1"/>
  <c r="S1042" i="1"/>
  <c r="P125" i="1"/>
  <c r="S125" i="1" s="1"/>
  <c r="P224" i="1"/>
  <c r="R224" i="1" s="1"/>
  <c r="U224" i="1" s="1"/>
  <c r="Q225" i="1" s="1"/>
  <c r="T225" i="1" s="1"/>
  <c r="P943" i="1"/>
  <c r="R943" i="1" s="1"/>
  <c r="U943" i="1" s="1"/>
  <c r="Q944" i="1" s="1"/>
  <c r="T944" i="1" s="1"/>
  <c r="S1144" i="1"/>
  <c r="R1144" i="1"/>
  <c r="U1144" i="1" s="1"/>
  <c r="Q1145" i="1" s="1"/>
  <c r="T1145" i="1" s="1"/>
  <c r="P431" i="1"/>
  <c r="Q15" i="1"/>
  <c r="T15" i="1" s="1"/>
  <c r="E27" i="2"/>
  <c r="D27" i="2" s="1"/>
  <c r="R534" i="1" l="1"/>
  <c r="U534" i="1" s="1"/>
  <c r="Q535" i="1" s="1"/>
  <c r="T535" i="1" s="1"/>
  <c r="R125" i="1"/>
  <c r="U125" i="1" s="1"/>
  <c r="Q126" i="1" s="1"/>
  <c r="T126" i="1" s="1"/>
  <c r="R735" i="1"/>
  <c r="U735" i="1" s="1"/>
  <c r="Q736" i="1" s="1"/>
  <c r="T736" i="1" s="1"/>
  <c r="P634" i="1"/>
  <c r="R634" i="1" s="1"/>
  <c r="U634" i="1" s="1"/>
  <c r="Q635" i="1" s="1"/>
  <c r="T635" i="1" s="1"/>
  <c r="P535" i="1"/>
  <c r="R535" i="1" s="1"/>
  <c r="U535" i="1" s="1"/>
  <c r="Q536" i="1" s="1"/>
  <c r="T536" i="1" s="1"/>
  <c r="S329" i="1"/>
  <c r="P330" i="1" s="1"/>
  <c r="R330" i="1" s="1"/>
  <c r="U330" i="1" s="1"/>
  <c r="Q331" i="1" s="1"/>
  <c r="T331" i="1" s="1"/>
  <c r="P1043" i="1"/>
  <c r="R1043" i="1" s="1"/>
  <c r="U1043" i="1" s="1"/>
  <c r="Q1044" i="1" s="1"/>
  <c r="T1044" i="1" s="1"/>
  <c r="P837" i="1"/>
  <c r="S224" i="1"/>
  <c r="P225" i="1" s="1"/>
  <c r="S634" i="1"/>
  <c r="P635" i="1" s="1"/>
  <c r="S635" i="1" s="1"/>
  <c r="S943" i="1"/>
  <c r="P944" i="1" s="1"/>
  <c r="R944" i="1" s="1"/>
  <c r="U944" i="1" s="1"/>
  <c r="Q945" i="1" s="1"/>
  <c r="T945" i="1" s="1"/>
  <c r="P736" i="1"/>
  <c r="P1145" i="1"/>
  <c r="P126" i="1"/>
  <c r="S431" i="1"/>
  <c r="R431" i="1"/>
  <c r="U431" i="1" s="1"/>
  <c r="Q432" i="1" s="1"/>
  <c r="T432" i="1" s="1"/>
  <c r="R15" i="1"/>
  <c r="U15" i="1" s="1"/>
  <c r="F27" i="2"/>
  <c r="R635" i="1" l="1"/>
  <c r="U635" i="1" s="1"/>
  <c r="Q636" i="1" s="1"/>
  <c r="T636" i="1" s="1"/>
  <c r="S1043" i="1"/>
  <c r="S330" i="1"/>
  <c r="P331" i="1" s="1"/>
  <c r="R331" i="1" s="1"/>
  <c r="U331" i="1" s="1"/>
  <c r="Q332" i="1" s="1"/>
  <c r="T332" i="1" s="1"/>
  <c r="S535" i="1"/>
  <c r="P536" i="1" s="1"/>
  <c r="R837" i="1"/>
  <c r="U837" i="1" s="1"/>
  <c r="Q838" i="1" s="1"/>
  <c r="T838" i="1" s="1"/>
  <c r="S837" i="1"/>
  <c r="P838" i="1" s="1"/>
  <c r="P1044" i="1"/>
  <c r="S1044" i="1" s="1"/>
  <c r="R1044" i="1"/>
  <c r="U1044" i="1" s="1"/>
  <c r="Q1045" i="1" s="1"/>
  <c r="T1045" i="1" s="1"/>
  <c r="S944" i="1"/>
  <c r="P945" i="1" s="1"/>
  <c r="S736" i="1"/>
  <c r="R736" i="1"/>
  <c r="U736" i="1" s="1"/>
  <c r="Q737" i="1" s="1"/>
  <c r="T737" i="1" s="1"/>
  <c r="R225" i="1"/>
  <c r="U225" i="1" s="1"/>
  <c r="Q226" i="1" s="1"/>
  <c r="T226" i="1" s="1"/>
  <c r="S225" i="1"/>
  <c r="S126" i="1"/>
  <c r="R126" i="1"/>
  <c r="U126" i="1" s="1"/>
  <c r="Q127" i="1" s="1"/>
  <c r="T127" i="1" s="1"/>
  <c r="R1145" i="1"/>
  <c r="U1145" i="1" s="1"/>
  <c r="Q1146" i="1" s="1"/>
  <c r="T1146" i="1" s="1"/>
  <c r="S1145" i="1"/>
  <c r="P636" i="1"/>
  <c r="P432" i="1"/>
  <c r="P16" i="1"/>
  <c r="S16" i="1" s="1"/>
  <c r="E28" i="2"/>
  <c r="D28" i="2" s="1"/>
  <c r="P1045" i="1" l="1"/>
  <c r="S838" i="1"/>
  <c r="R838" i="1"/>
  <c r="U838" i="1" s="1"/>
  <c r="Q839" i="1" s="1"/>
  <c r="T839" i="1" s="1"/>
  <c r="S331" i="1"/>
  <c r="P332" i="1" s="1"/>
  <c r="R1045" i="1"/>
  <c r="U1045" i="1" s="1"/>
  <c r="Q1046" i="1" s="1"/>
  <c r="T1046" i="1" s="1"/>
  <c r="S1045" i="1"/>
  <c r="P226" i="1"/>
  <c r="S226" i="1" s="1"/>
  <c r="P127" i="1"/>
  <c r="S127" i="1" s="1"/>
  <c r="P1146" i="1"/>
  <c r="S1146" i="1" s="1"/>
  <c r="P737" i="1"/>
  <c r="S536" i="1"/>
  <c r="R536" i="1"/>
  <c r="U536" i="1" s="1"/>
  <c r="Q537" i="1" s="1"/>
  <c r="T537" i="1" s="1"/>
  <c r="S636" i="1"/>
  <c r="R636" i="1"/>
  <c r="U636" i="1" s="1"/>
  <c r="Q637" i="1" s="1"/>
  <c r="T637" i="1" s="1"/>
  <c r="R945" i="1"/>
  <c r="U945" i="1" s="1"/>
  <c r="Q946" i="1" s="1"/>
  <c r="T946" i="1" s="1"/>
  <c r="S945" i="1"/>
  <c r="R432" i="1"/>
  <c r="U432" i="1" s="1"/>
  <c r="Q433" i="1" s="1"/>
  <c r="T433" i="1" s="1"/>
  <c r="S432" i="1"/>
  <c r="Q16" i="1"/>
  <c r="T16" i="1" s="1"/>
  <c r="F28" i="2"/>
  <c r="P1046" i="1" l="1"/>
  <c r="R127" i="1"/>
  <c r="U127" i="1" s="1"/>
  <c r="Q128" i="1" s="1"/>
  <c r="T128" i="1" s="1"/>
  <c r="P946" i="1"/>
  <c r="R946" i="1" s="1"/>
  <c r="U946" i="1" s="1"/>
  <c r="Q947" i="1" s="1"/>
  <c r="T947" i="1" s="1"/>
  <c r="R226" i="1"/>
  <c r="U226" i="1" s="1"/>
  <c r="Q227" i="1" s="1"/>
  <c r="T227" i="1" s="1"/>
  <c r="P433" i="1"/>
  <c r="S433" i="1" s="1"/>
  <c r="P839" i="1"/>
  <c r="S1046" i="1"/>
  <c r="R1046" i="1"/>
  <c r="U1046" i="1" s="1"/>
  <c r="Q1047" i="1" s="1"/>
  <c r="T1047" i="1" s="1"/>
  <c r="R1146" i="1"/>
  <c r="U1146" i="1" s="1"/>
  <c r="Q1147" i="1" s="1"/>
  <c r="T1147" i="1" s="1"/>
  <c r="R737" i="1"/>
  <c r="U737" i="1" s="1"/>
  <c r="Q738" i="1" s="1"/>
  <c r="T738" i="1" s="1"/>
  <c r="S737" i="1"/>
  <c r="P637" i="1"/>
  <c r="S332" i="1"/>
  <c r="R332" i="1"/>
  <c r="U332" i="1" s="1"/>
  <c r="Q333" i="1" s="1"/>
  <c r="T333" i="1" s="1"/>
  <c r="P537" i="1"/>
  <c r="R16" i="1"/>
  <c r="E29" i="2"/>
  <c r="D29" i="2" s="1"/>
  <c r="S946" i="1" l="1"/>
  <c r="P128" i="1"/>
  <c r="S128" i="1" s="1"/>
  <c r="R433" i="1"/>
  <c r="U433" i="1" s="1"/>
  <c r="Q434" i="1" s="1"/>
  <c r="T434" i="1" s="1"/>
  <c r="P227" i="1"/>
  <c r="S227" i="1" s="1"/>
  <c r="P1147" i="1"/>
  <c r="R1147" i="1" s="1"/>
  <c r="U1147" i="1" s="1"/>
  <c r="Q1148" i="1" s="1"/>
  <c r="T1148" i="1" s="1"/>
  <c r="P738" i="1"/>
  <c r="S738" i="1" s="1"/>
  <c r="S839" i="1"/>
  <c r="R839" i="1"/>
  <c r="U839" i="1" s="1"/>
  <c r="Q840" i="1" s="1"/>
  <c r="T840" i="1" s="1"/>
  <c r="P1047" i="1"/>
  <c r="P333" i="1"/>
  <c r="R333" i="1" s="1"/>
  <c r="U333" i="1" s="1"/>
  <c r="Q334" i="1" s="1"/>
  <c r="T334" i="1" s="1"/>
  <c r="R537" i="1"/>
  <c r="U537" i="1" s="1"/>
  <c r="Q538" i="1" s="1"/>
  <c r="T538" i="1" s="1"/>
  <c r="S537" i="1"/>
  <c r="R637" i="1"/>
  <c r="U637" i="1" s="1"/>
  <c r="Q638" i="1" s="1"/>
  <c r="T638" i="1" s="1"/>
  <c r="S637" i="1"/>
  <c r="P434" i="1"/>
  <c r="P947" i="1"/>
  <c r="U16" i="1"/>
  <c r="P17" i="1" s="1"/>
  <c r="S17" i="1" s="1"/>
  <c r="F29" i="2"/>
  <c r="S1147" i="1" l="1"/>
  <c r="R128" i="1"/>
  <c r="U128" i="1" s="1"/>
  <c r="R227" i="1"/>
  <c r="U227" i="1" s="1"/>
  <c r="Q228" i="1" s="1"/>
  <c r="T228" i="1" s="1"/>
  <c r="R738" i="1"/>
  <c r="U738" i="1" s="1"/>
  <c r="Q739" i="1" s="1"/>
  <c r="T739" i="1" s="1"/>
  <c r="P840" i="1"/>
  <c r="P228" i="1"/>
  <c r="S333" i="1"/>
  <c r="P334" i="1" s="1"/>
  <c r="R334" i="1" s="1"/>
  <c r="U334" i="1" s="1"/>
  <c r="Q335" i="1" s="1"/>
  <c r="T335" i="1" s="1"/>
  <c r="R1047" i="1"/>
  <c r="U1047" i="1" s="1"/>
  <c r="Q1048" i="1" s="1"/>
  <c r="T1048" i="1" s="1"/>
  <c r="S1047" i="1"/>
  <c r="P1148" i="1"/>
  <c r="R1148" i="1" s="1"/>
  <c r="U1148" i="1" s="1"/>
  <c r="Q1149" i="1" s="1"/>
  <c r="T1149" i="1" s="1"/>
  <c r="P638" i="1"/>
  <c r="P538" i="1"/>
  <c r="S434" i="1"/>
  <c r="R434" i="1"/>
  <c r="U434" i="1" s="1"/>
  <c r="Q435" i="1" s="1"/>
  <c r="T435" i="1" s="1"/>
  <c r="S947" i="1"/>
  <c r="R947" i="1"/>
  <c r="U947" i="1" s="1"/>
  <c r="Q948" i="1" s="1"/>
  <c r="T948" i="1" s="1"/>
  <c r="Q17" i="1"/>
  <c r="T17" i="1" s="1"/>
  <c r="E30" i="2"/>
  <c r="D30" i="2" s="1"/>
  <c r="Q129" i="1" l="1"/>
  <c r="T129" i="1" s="1"/>
  <c r="P129" i="1"/>
  <c r="P739" i="1"/>
  <c r="S334" i="1"/>
  <c r="P335" i="1" s="1"/>
  <c r="S335" i="1" s="1"/>
  <c r="P1048" i="1"/>
  <c r="R1048" i="1" s="1"/>
  <c r="U1048" i="1" s="1"/>
  <c r="Q1049" i="1" s="1"/>
  <c r="T1049" i="1" s="1"/>
  <c r="R228" i="1"/>
  <c r="U228" i="1" s="1"/>
  <c r="Q229" i="1" s="1"/>
  <c r="T229" i="1" s="1"/>
  <c r="S228" i="1"/>
  <c r="P229" i="1" s="1"/>
  <c r="S229" i="1" s="1"/>
  <c r="S840" i="1"/>
  <c r="R840" i="1"/>
  <c r="U840" i="1" s="1"/>
  <c r="Q841" i="1" s="1"/>
  <c r="T841" i="1" s="1"/>
  <c r="S1148" i="1"/>
  <c r="P1149" i="1" s="1"/>
  <c r="S1149" i="1" s="1"/>
  <c r="R739" i="1"/>
  <c r="U739" i="1" s="1"/>
  <c r="Q740" i="1" s="1"/>
  <c r="T740" i="1" s="1"/>
  <c r="S739" i="1"/>
  <c r="R638" i="1"/>
  <c r="U638" i="1" s="1"/>
  <c r="Q639" i="1" s="1"/>
  <c r="T639" i="1" s="1"/>
  <c r="S638" i="1"/>
  <c r="P435" i="1"/>
  <c r="R435" i="1" s="1"/>
  <c r="U435" i="1" s="1"/>
  <c r="Q436" i="1" s="1"/>
  <c r="T436" i="1" s="1"/>
  <c r="S538" i="1"/>
  <c r="R538" i="1"/>
  <c r="U538" i="1" s="1"/>
  <c r="Q539" i="1" s="1"/>
  <c r="T539" i="1" s="1"/>
  <c r="P948" i="1"/>
  <c r="R17" i="1"/>
  <c r="U17" i="1" s="1"/>
  <c r="P18" i="1" s="1"/>
  <c r="S18" i="1" s="1"/>
  <c r="F30" i="2"/>
  <c r="S1048" i="1" l="1"/>
  <c r="R129" i="1"/>
  <c r="U129" i="1" s="1"/>
  <c r="Q130" i="1" s="1"/>
  <c r="T130" i="1" s="1"/>
  <c r="S129" i="1"/>
  <c r="R229" i="1"/>
  <c r="U229" i="1" s="1"/>
  <c r="Q230" i="1" s="1"/>
  <c r="T230" i="1" s="1"/>
  <c r="P841" i="1"/>
  <c r="R335" i="1"/>
  <c r="U335" i="1" s="1"/>
  <c r="Q336" i="1" s="1"/>
  <c r="T336" i="1" s="1"/>
  <c r="P1049" i="1"/>
  <c r="R1049" i="1" s="1"/>
  <c r="U1049" i="1" s="1"/>
  <c r="Q1050" i="1" s="1"/>
  <c r="T1050" i="1" s="1"/>
  <c r="P639" i="1"/>
  <c r="S639" i="1" s="1"/>
  <c r="R1149" i="1"/>
  <c r="U1149" i="1" s="1"/>
  <c r="Q1150" i="1" s="1"/>
  <c r="T1150" i="1" s="1"/>
  <c r="P740" i="1"/>
  <c r="S435" i="1"/>
  <c r="P436" i="1" s="1"/>
  <c r="R436" i="1" s="1"/>
  <c r="U436" i="1" s="1"/>
  <c r="Q437" i="1" s="1"/>
  <c r="T437" i="1" s="1"/>
  <c r="P539" i="1"/>
  <c r="R948" i="1"/>
  <c r="U948" i="1" s="1"/>
  <c r="Q949" i="1" s="1"/>
  <c r="T949" i="1" s="1"/>
  <c r="S948" i="1"/>
  <c r="P949" i="1" s="1"/>
  <c r="Q18" i="1"/>
  <c r="T18" i="1" s="1"/>
  <c r="E31" i="2"/>
  <c r="D31" i="2" s="1"/>
  <c r="P230" i="1" l="1"/>
  <c r="R230" i="1" s="1"/>
  <c r="U230" i="1" s="1"/>
  <c r="Q231" i="1" s="1"/>
  <c r="T231" i="1" s="1"/>
  <c r="P130" i="1"/>
  <c r="R639" i="1"/>
  <c r="U639" i="1" s="1"/>
  <c r="Q640" i="1" s="1"/>
  <c r="T640" i="1" s="1"/>
  <c r="S1049" i="1"/>
  <c r="P1050" i="1" s="1"/>
  <c r="R1050" i="1" s="1"/>
  <c r="U1050" i="1" s="1"/>
  <c r="Q1051" i="1" s="1"/>
  <c r="T1051" i="1" s="1"/>
  <c r="P336" i="1"/>
  <c r="S336" i="1" s="1"/>
  <c r="P1150" i="1"/>
  <c r="R1150" i="1" s="1"/>
  <c r="U1150" i="1" s="1"/>
  <c r="Q1151" i="1" s="1"/>
  <c r="T1151" i="1" s="1"/>
  <c r="S841" i="1"/>
  <c r="R841" i="1"/>
  <c r="U841" i="1" s="1"/>
  <c r="Q842" i="1" s="1"/>
  <c r="T842" i="1" s="1"/>
  <c r="S230" i="1"/>
  <c r="P231" i="1" s="1"/>
  <c r="S436" i="1"/>
  <c r="P437" i="1" s="1"/>
  <c r="R437" i="1" s="1"/>
  <c r="U437" i="1" s="1"/>
  <c r="Q438" i="1" s="1"/>
  <c r="T438" i="1" s="1"/>
  <c r="S740" i="1"/>
  <c r="R740" i="1"/>
  <c r="U740" i="1" s="1"/>
  <c r="Q741" i="1" s="1"/>
  <c r="T741" i="1" s="1"/>
  <c r="P640" i="1"/>
  <c r="R539" i="1"/>
  <c r="U539" i="1" s="1"/>
  <c r="Q540" i="1" s="1"/>
  <c r="T540" i="1" s="1"/>
  <c r="S539" i="1"/>
  <c r="R949" i="1"/>
  <c r="U949" i="1" s="1"/>
  <c r="Q950" i="1" s="1"/>
  <c r="T950" i="1" s="1"/>
  <c r="S949" i="1"/>
  <c r="R18" i="1"/>
  <c r="U18" i="1" s="1"/>
  <c r="P19" i="1" s="1"/>
  <c r="S19" i="1" s="1"/>
  <c r="F31" i="2"/>
  <c r="R336" i="1" l="1"/>
  <c r="U336" i="1" s="1"/>
  <c r="Q337" i="1" s="1"/>
  <c r="T337" i="1" s="1"/>
  <c r="S130" i="1"/>
  <c r="R130" i="1"/>
  <c r="U130" i="1" s="1"/>
  <c r="Q131" i="1" s="1"/>
  <c r="T131" i="1" s="1"/>
  <c r="S1050" i="1"/>
  <c r="P1051" i="1" s="1"/>
  <c r="R1051" i="1" s="1"/>
  <c r="U1051" i="1" s="1"/>
  <c r="Q1052" i="1" s="1"/>
  <c r="T1052" i="1" s="1"/>
  <c r="S1150" i="1"/>
  <c r="P1151" i="1" s="1"/>
  <c r="S437" i="1"/>
  <c r="P438" i="1" s="1"/>
  <c r="S1051" i="1"/>
  <c r="P1052" i="1" s="1"/>
  <c r="P842" i="1"/>
  <c r="S231" i="1"/>
  <c r="R231" i="1"/>
  <c r="U231" i="1" s="1"/>
  <c r="Q232" i="1" s="1"/>
  <c r="T232" i="1" s="1"/>
  <c r="P741" i="1"/>
  <c r="P950" i="1"/>
  <c r="R950" i="1" s="1"/>
  <c r="U950" i="1" s="1"/>
  <c r="Q951" i="1" s="1"/>
  <c r="T951" i="1" s="1"/>
  <c r="P540" i="1"/>
  <c r="S540" i="1" s="1"/>
  <c r="R640" i="1"/>
  <c r="U640" i="1" s="1"/>
  <c r="Q641" i="1" s="1"/>
  <c r="T641" i="1" s="1"/>
  <c r="S640" i="1"/>
  <c r="P337" i="1"/>
  <c r="Q19" i="1"/>
  <c r="T19" i="1" s="1"/>
  <c r="E32" i="2"/>
  <c r="D32" i="2" s="1"/>
  <c r="P131" i="1" l="1"/>
  <c r="S950" i="1"/>
  <c r="S1052" i="1"/>
  <c r="R1052" i="1"/>
  <c r="U1052" i="1" s="1"/>
  <c r="Q1053" i="1" s="1"/>
  <c r="T1053" i="1" s="1"/>
  <c r="R842" i="1"/>
  <c r="U842" i="1" s="1"/>
  <c r="Q843" i="1" s="1"/>
  <c r="T843" i="1" s="1"/>
  <c r="S842" i="1"/>
  <c r="P641" i="1"/>
  <c r="R641" i="1" s="1"/>
  <c r="U641" i="1" s="1"/>
  <c r="Q642" i="1" s="1"/>
  <c r="T642" i="1" s="1"/>
  <c r="P232" i="1"/>
  <c r="S232" i="1" s="1"/>
  <c r="R540" i="1"/>
  <c r="U540" i="1" s="1"/>
  <c r="Q541" i="1" s="1"/>
  <c r="T541" i="1" s="1"/>
  <c r="R741" i="1"/>
  <c r="U741" i="1" s="1"/>
  <c r="Q742" i="1" s="1"/>
  <c r="T742" i="1" s="1"/>
  <c r="S741" i="1"/>
  <c r="R1151" i="1"/>
  <c r="U1151" i="1" s="1"/>
  <c r="Q1152" i="1" s="1"/>
  <c r="T1152" i="1" s="1"/>
  <c r="S1151" i="1"/>
  <c r="S337" i="1"/>
  <c r="R337" i="1"/>
  <c r="U337" i="1" s="1"/>
  <c r="Q338" i="1" s="1"/>
  <c r="T338" i="1" s="1"/>
  <c r="P951" i="1"/>
  <c r="S438" i="1"/>
  <c r="R438" i="1"/>
  <c r="U438" i="1" s="1"/>
  <c r="Q439" i="1" s="1"/>
  <c r="T439" i="1" s="1"/>
  <c r="R19" i="1"/>
  <c r="U19" i="1" s="1"/>
  <c r="P20" i="1" s="1"/>
  <c r="S20" i="1" s="1"/>
  <c r="F32" i="2"/>
  <c r="R131" i="1" l="1"/>
  <c r="U131" i="1" s="1"/>
  <c r="Q132" i="1" s="1"/>
  <c r="T132" i="1" s="1"/>
  <c r="S131" i="1"/>
  <c r="P132" i="1" s="1"/>
  <c r="P1053" i="1"/>
  <c r="S1053" i="1" s="1"/>
  <c r="S641" i="1"/>
  <c r="P843" i="1"/>
  <c r="R232" i="1"/>
  <c r="U232" i="1" s="1"/>
  <c r="Q233" i="1" s="1"/>
  <c r="T233" i="1" s="1"/>
  <c r="S843" i="1"/>
  <c r="R843" i="1"/>
  <c r="U843" i="1" s="1"/>
  <c r="Q844" i="1" s="1"/>
  <c r="T844" i="1" s="1"/>
  <c r="P1152" i="1"/>
  <c r="R1152" i="1" s="1"/>
  <c r="U1152" i="1" s="1"/>
  <c r="Q1153" i="1" s="1"/>
  <c r="T1153" i="1" s="1"/>
  <c r="R1053" i="1"/>
  <c r="U1053" i="1" s="1"/>
  <c r="Q1054" i="1" s="1"/>
  <c r="T1054" i="1" s="1"/>
  <c r="P541" i="1"/>
  <c r="R541" i="1" s="1"/>
  <c r="U541" i="1" s="1"/>
  <c r="Q542" i="1" s="1"/>
  <c r="T542" i="1" s="1"/>
  <c r="P338" i="1"/>
  <c r="S338" i="1" s="1"/>
  <c r="P742" i="1"/>
  <c r="P439" i="1"/>
  <c r="S439" i="1" s="1"/>
  <c r="P642" i="1"/>
  <c r="R951" i="1"/>
  <c r="U951" i="1" s="1"/>
  <c r="Q952" i="1" s="1"/>
  <c r="T952" i="1" s="1"/>
  <c r="S951" i="1"/>
  <c r="E33" i="2"/>
  <c r="D33" i="2" s="1"/>
  <c r="Q20" i="1"/>
  <c r="T20" i="1" s="1"/>
  <c r="S132" i="1" l="1"/>
  <c r="R132" i="1"/>
  <c r="U132" i="1" s="1"/>
  <c r="Q133" i="1" s="1"/>
  <c r="T133" i="1" s="1"/>
  <c r="S541" i="1"/>
  <c r="P542" i="1" s="1"/>
  <c r="R542" i="1" s="1"/>
  <c r="U542" i="1" s="1"/>
  <c r="Q543" i="1" s="1"/>
  <c r="T543" i="1" s="1"/>
  <c r="R338" i="1"/>
  <c r="U338" i="1" s="1"/>
  <c r="Q339" i="1" s="1"/>
  <c r="T339" i="1" s="1"/>
  <c r="S1152" i="1"/>
  <c r="P1153" i="1" s="1"/>
  <c r="S1153" i="1" s="1"/>
  <c r="P844" i="1"/>
  <c r="P339" i="1"/>
  <c r="S339" i="1" s="1"/>
  <c r="P233" i="1"/>
  <c r="P1054" i="1"/>
  <c r="R439" i="1"/>
  <c r="U439" i="1" s="1"/>
  <c r="Q440" i="1" s="1"/>
  <c r="T440" i="1" s="1"/>
  <c r="R742" i="1"/>
  <c r="U742" i="1" s="1"/>
  <c r="Q743" i="1" s="1"/>
  <c r="T743" i="1" s="1"/>
  <c r="S742" i="1"/>
  <c r="R642" i="1"/>
  <c r="U642" i="1" s="1"/>
  <c r="Q643" i="1" s="1"/>
  <c r="T643" i="1" s="1"/>
  <c r="S642" i="1"/>
  <c r="P643" i="1" s="1"/>
  <c r="P952" i="1"/>
  <c r="F33" i="2"/>
  <c r="R20" i="1"/>
  <c r="U20" i="1" s="1"/>
  <c r="P133" i="1" l="1"/>
  <c r="R339" i="1"/>
  <c r="U339" i="1" s="1"/>
  <c r="Q340" i="1" s="1"/>
  <c r="T340" i="1" s="1"/>
  <c r="S542" i="1"/>
  <c r="S233" i="1"/>
  <c r="R233" i="1"/>
  <c r="U233" i="1" s="1"/>
  <c r="Q234" i="1" s="1"/>
  <c r="T234" i="1" s="1"/>
  <c r="S844" i="1"/>
  <c r="R844" i="1"/>
  <c r="U844" i="1" s="1"/>
  <c r="Q845" i="1" s="1"/>
  <c r="T845" i="1" s="1"/>
  <c r="P440" i="1"/>
  <c r="R440" i="1" s="1"/>
  <c r="U440" i="1" s="1"/>
  <c r="Q441" i="1" s="1"/>
  <c r="T441" i="1" s="1"/>
  <c r="R1153" i="1"/>
  <c r="U1153" i="1" s="1"/>
  <c r="Q1154" i="1" s="1"/>
  <c r="T1154" i="1" s="1"/>
  <c r="R1054" i="1"/>
  <c r="U1054" i="1" s="1"/>
  <c r="Q1055" i="1" s="1"/>
  <c r="T1055" i="1" s="1"/>
  <c r="S1054" i="1"/>
  <c r="P543" i="1"/>
  <c r="R543" i="1" s="1"/>
  <c r="U543" i="1" s="1"/>
  <c r="Q544" i="1" s="1"/>
  <c r="T544" i="1" s="1"/>
  <c r="P743" i="1"/>
  <c r="P340" i="1"/>
  <c r="S340" i="1" s="1"/>
  <c r="R643" i="1"/>
  <c r="U643" i="1" s="1"/>
  <c r="Q644" i="1" s="1"/>
  <c r="T644" i="1" s="1"/>
  <c r="S643" i="1"/>
  <c r="R952" i="1"/>
  <c r="U952" i="1" s="1"/>
  <c r="Q953" i="1" s="1"/>
  <c r="T953" i="1" s="1"/>
  <c r="S952" i="1"/>
  <c r="E34" i="2"/>
  <c r="D34" i="2" s="1"/>
  <c r="Q21" i="1"/>
  <c r="T21" i="1" s="1"/>
  <c r="R133" i="1" l="1"/>
  <c r="U133" i="1" s="1"/>
  <c r="Q134" i="1" s="1"/>
  <c r="T134" i="1" s="1"/>
  <c r="S133" i="1"/>
  <c r="P134" i="1" s="1"/>
  <c r="P1154" i="1"/>
  <c r="S440" i="1"/>
  <c r="P441" i="1" s="1"/>
  <c r="R340" i="1"/>
  <c r="U340" i="1" s="1"/>
  <c r="Q341" i="1" s="1"/>
  <c r="T341" i="1" s="1"/>
  <c r="P1055" i="1"/>
  <c r="S1055" i="1" s="1"/>
  <c r="P845" i="1"/>
  <c r="P234" i="1"/>
  <c r="S543" i="1"/>
  <c r="P544" i="1" s="1"/>
  <c r="R544" i="1" s="1"/>
  <c r="U544" i="1" s="1"/>
  <c r="Q545" i="1" s="1"/>
  <c r="T545" i="1" s="1"/>
  <c r="P644" i="1"/>
  <c r="S644" i="1" s="1"/>
  <c r="P953" i="1"/>
  <c r="R953" i="1" s="1"/>
  <c r="U953" i="1" s="1"/>
  <c r="Q954" i="1" s="1"/>
  <c r="T954" i="1" s="1"/>
  <c r="R743" i="1"/>
  <c r="U743" i="1" s="1"/>
  <c r="Q744" i="1" s="1"/>
  <c r="T744" i="1" s="1"/>
  <c r="S743" i="1"/>
  <c r="S1154" i="1"/>
  <c r="R1154" i="1"/>
  <c r="U1154" i="1" s="1"/>
  <c r="Q1155" i="1" s="1"/>
  <c r="T1155" i="1" s="1"/>
  <c r="F34" i="2"/>
  <c r="P21" i="1"/>
  <c r="S21" i="1" s="1"/>
  <c r="S134" i="1" l="1"/>
  <c r="R134" i="1"/>
  <c r="U134" i="1" s="1"/>
  <c r="Q135" i="1" s="1"/>
  <c r="T135" i="1" s="1"/>
  <c r="R1055" i="1"/>
  <c r="U1055" i="1" s="1"/>
  <c r="Q1056" i="1" s="1"/>
  <c r="T1056" i="1" s="1"/>
  <c r="P341" i="1"/>
  <c r="R644" i="1"/>
  <c r="U644" i="1" s="1"/>
  <c r="Q645" i="1" s="1"/>
  <c r="T645" i="1" s="1"/>
  <c r="S953" i="1"/>
  <c r="P954" i="1" s="1"/>
  <c r="S954" i="1" s="1"/>
  <c r="R234" i="1"/>
  <c r="U234" i="1" s="1"/>
  <c r="Q235" i="1" s="1"/>
  <c r="T235" i="1" s="1"/>
  <c r="S234" i="1"/>
  <c r="R845" i="1"/>
  <c r="U845" i="1" s="1"/>
  <c r="Q846" i="1" s="1"/>
  <c r="T846" i="1" s="1"/>
  <c r="S845" i="1"/>
  <c r="P846" i="1" s="1"/>
  <c r="S544" i="1"/>
  <c r="P545" i="1" s="1"/>
  <c r="P744" i="1"/>
  <c r="R744" i="1" s="1"/>
  <c r="U744" i="1" s="1"/>
  <c r="Q745" i="1" s="1"/>
  <c r="T745" i="1" s="1"/>
  <c r="R341" i="1"/>
  <c r="U341" i="1" s="1"/>
  <c r="Q342" i="1" s="1"/>
  <c r="T342" i="1" s="1"/>
  <c r="S341" i="1"/>
  <c r="P1155" i="1"/>
  <c r="S441" i="1"/>
  <c r="R441" i="1"/>
  <c r="U441" i="1" s="1"/>
  <c r="Q442" i="1" s="1"/>
  <c r="T442" i="1" s="1"/>
  <c r="E35" i="2"/>
  <c r="D35" i="2" s="1"/>
  <c r="R21" i="1"/>
  <c r="U21" i="1" s="1"/>
  <c r="P645" i="1" l="1"/>
  <c r="P135" i="1"/>
  <c r="R954" i="1"/>
  <c r="U954" i="1" s="1"/>
  <c r="Q955" i="1" s="1"/>
  <c r="T955" i="1" s="1"/>
  <c r="P1056" i="1"/>
  <c r="R1056" i="1" s="1"/>
  <c r="U1056" i="1" s="1"/>
  <c r="Q1057" i="1" s="1"/>
  <c r="T1057" i="1" s="1"/>
  <c r="S744" i="1"/>
  <c r="P745" i="1" s="1"/>
  <c r="R745" i="1" s="1"/>
  <c r="U745" i="1" s="1"/>
  <c r="Q746" i="1" s="1"/>
  <c r="T746" i="1" s="1"/>
  <c r="S1056" i="1"/>
  <c r="P1057" i="1" s="1"/>
  <c r="P235" i="1"/>
  <c r="R846" i="1"/>
  <c r="U846" i="1" s="1"/>
  <c r="Q847" i="1" s="1"/>
  <c r="T847" i="1" s="1"/>
  <c r="S846" i="1"/>
  <c r="P342" i="1"/>
  <c r="R342" i="1" s="1"/>
  <c r="U342" i="1" s="1"/>
  <c r="Q343" i="1" s="1"/>
  <c r="T343" i="1" s="1"/>
  <c r="S1155" i="1"/>
  <c r="R1155" i="1"/>
  <c r="U1155" i="1" s="1"/>
  <c r="Q1156" i="1" s="1"/>
  <c r="T1156" i="1" s="1"/>
  <c r="R645" i="1"/>
  <c r="U645" i="1" s="1"/>
  <c r="Q646" i="1" s="1"/>
  <c r="T646" i="1" s="1"/>
  <c r="S645" i="1"/>
  <c r="R545" i="1"/>
  <c r="U545" i="1" s="1"/>
  <c r="Q546" i="1" s="1"/>
  <c r="T546" i="1" s="1"/>
  <c r="S545" i="1"/>
  <c r="P442" i="1"/>
  <c r="F35" i="2"/>
  <c r="Q22" i="1"/>
  <c r="T22" i="1" s="1"/>
  <c r="P955" i="1" l="1"/>
  <c r="R955" i="1" s="1"/>
  <c r="U955" i="1" s="1"/>
  <c r="Q956" i="1" s="1"/>
  <c r="T956" i="1" s="1"/>
  <c r="P847" i="1"/>
  <c r="R847" i="1" s="1"/>
  <c r="U847" i="1" s="1"/>
  <c r="Q848" i="1" s="1"/>
  <c r="T848" i="1" s="1"/>
  <c r="S135" i="1"/>
  <c r="R135" i="1"/>
  <c r="U135" i="1" s="1"/>
  <c r="Q136" i="1" s="1"/>
  <c r="T136" i="1" s="1"/>
  <c r="R235" i="1"/>
  <c r="U235" i="1" s="1"/>
  <c r="Q236" i="1" s="1"/>
  <c r="T236" i="1" s="1"/>
  <c r="S235" i="1"/>
  <c r="S745" i="1"/>
  <c r="P746" i="1" s="1"/>
  <c r="R746" i="1" s="1"/>
  <c r="U746" i="1" s="1"/>
  <c r="Q747" i="1" s="1"/>
  <c r="T747" i="1" s="1"/>
  <c r="P646" i="1"/>
  <c r="S646" i="1" s="1"/>
  <c r="S342" i="1"/>
  <c r="P343" i="1" s="1"/>
  <c r="S1057" i="1"/>
  <c r="R1057" i="1"/>
  <c r="U1057" i="1" s="1"/>
  <c r="Q1058" i="1" s="1"/>
  <c r="T1058" i="1" s="1"/>
  <c r="P546" i="1"/>
  <c r="P1156" i="1"/>
  <c r="S955" i="1"/>
  <c r="R442" i="1"/>
  <c r="U442" i="1" s="1"/>
  <c r="Q443" i="1" s="1"/>
  <c r="T443" i="1" s="1"/>
  <c r="S442" i="1"/>
  <c r="E36" i="2"/>
  <c r="D36" i="2" s="1"/>
  <c r="P22" i="1"/>
  <c r="S22" i="1" s="1"/>
  <c r="S847" i="1" l="1"/>
  <c r="P848" i="1" s="1"/>
  <c r="P136" i="1"/>
  <c r="P236" i="1"/>
  <c r="R646" i="1"/>
  <c r="U646" i="1" s="1"/>
  <c r="Q647" i="1" s="1"/>
  <c r="T647" i="1" s="1"/>
  <c r="S746" i="1"/>
  <c r="P747" i="1" s="1"/>
  <c r="R747" i="1" s="1"/>
  <c r="U747" i="1" s="1"/>
  <c r="Q748" i="1" s="1"/>
  <c r="T748" i="1" s="1"/>
  <c r="R236" i="1"/>
  <c r="U236" i="1" s="1"/>
  <c r="Q237" i="1" s="1"/>
  <c r="T237" i="1" s="1"/>
  <c r="S236" i="1"/>
  <c r="S848" i="1"/>
  <c r="R848" i="1"/>
  <c r="U848" i="1" s="1"/>
  <c r="Q849" i="1" s="1"/>
  <c r="T849" i="1" s="1"/>
  <c r="P956" i="1"/>
  <c r="S956" i="1" s="1"/>
  <c r="P1058" i="1"/>
  <c r="R1156" i="1"/>
  <c r="U1156" i="1" s="1"/>
  <c r="Q1157" i="1" s="1"/>
  <c r="T1157" i="1" s="1"/>
  <c r="S1156" i="1"/>
  <c r="P1157" i="1" s="1"/>
  <c r="R546" i="1"/>
  <c r="U546" i="1" s="1"/>
  <c r="Q547" i="1" s="1"/>
  <c r="T547" i="1" s="1"/>
  <c r="S546" i="1"/>
  <c r="S343" i="1"/>
  <c r="R343" i="1"/>
  <c r="U343" i="1" s="1"/>
  <c r="Q344" i="1" s="1"/>
  <c r="T344" i="1" s="1"/>
  <c r="P443" i="1"/>
  <c r="F36" i="2"/>
  <c r="R22" i="1"/>
  <c r="U22" i="1" s="1"/>
  <c r="P647" i="1" l="1"/>
  <c r="R136" i="1"/>
  <c r="U136" i="1" s="1"/>
  <c r="Q137" i="1" s="1"/>
  <c r="T137" i="1" s="1"/>
  <c r="S136" i="1"/>
  <c r="P237" i="1"/>
  <c r="R956" i="1"/>
  <c r="U956" i="1" s="1"/>
  <c r="Q957" i="1" s="1"/>
  <c r="T957" i="1" s="1"/>
  <c r="P849" i="1"/>
  <c r="S747" i="1"/>
  <c r="P748" i="1" s="1"/>
  <c r="R748" i="1" s="1"/>
  <c r="U748" i="1" s="1"/>
  <c r="Q749" i="1" s="1"/>
  <c r="T749" i="1" s="1"/>
  <c r="P344" i="1"/>
  <c r="R344" i="1" s="1"/>
  <c r="U344" i="1" s="1"/>
  <c r="Q345" i="1" s="1"/>
  <c r="T345" i="1" s="1"/>
  <c r="R1058" i="1"/>
  <c r="U1058" i="1" s="1"/>
  <c r="Q1059" i="1" s="1"/>
  <c r="T1059" i="1" s="1"/>
  <c r="S1058" i="1"/>
  <c r="P547" i="1"/>
  <c r="S1157" i="1"/>
  <c r="R1157" i="1"/>
  <c r="U1157" i="1" s="1"/>
  <c r="Q1158" i="1" s="1"/>
  <c r="T1158" i="1" s="1"/>
  <c r="S647" i="1"/>
  <c r="R647" i="1"/>
  <c r="U647" i="1" s="1"/>
  <c r="Q648" i="1" s="1"/>
  <c r="T648" i="1" s="1"/>
  <c r="R443" i="1"/>
  <c r="U443" i="1" s="1"/>
  <c r="Q444" i="1" s="1"/>
  <c r="T444" i="1" s="1"/>
  <c r="S443" i="1"/>
  <c r="E37" i="2"/>
  <c r="D37" i="2" s="1"/>
  <c r="P23" i="1"/>
  <c r="S23" i="1" s="1"/>
  <c r="P137" i="1" l="1"/>
  <c r="S344" i="1"/>
  <c r="S748" i="1"/>
  <c r="S137" i="1"/>
  <c r="R137" i="1"/>
  <c r="U137" i="1" s="1"/>
  <c r="Q138" i="1" s="1"/>
  <c r="T138" i="1" s="1"/>
  <c r="P444" i="1"/>
  <c r="R444" i="1" s="1"/>
  <c r="U444" i="1" s="1"/>
  <c r="Q445" i="1" s="1"/>
  <c r="T445" i="1" s="1"/>
  <c r="P957" i="1"/>
  <c r="R237" i="1"/>
  <c r="U237" i="1" s="1"/>
  <c r="Q238" i="1" s="1"/>
  <c r="T238" i="1" s="1"/>
  <c r="S237" i="1"/>
  <c r="S849" i="1"/>
  <c r="R849" i="1"/>
  <c r="U849" i="1" s="1"/>
  <c r="Q850" i="1" s="1"/>
  <c r="T850" i="1" s="1"/>
  <c r="P1059" i="1"/>
  <c r="R1059" i="1" s="1"/>
  <c r="U1059" i="1" s="1"/>
  <c r="Q1060" i="1" s="1"/>
  <c r="T1060" i="1" s="1"/>
  <c r="P648" i="1"/>
  <c r="R648" i="1" s="1"/>
  <c r="U648" i="1" s="1"/>
  <c r="Q649" i="1" s="1"/>
  <c r="T649" i="1" s="1"/>
  <c r="P345" i="1"/>
  <c r="S345" i="1" s="1"/>
  <c r="P749" i="1"/>
  <c r="R345" i="1"/>
  <c r="U345" i="1" s="1"/>
  <c r="Q346" i="1" s="1"/>
  <c r="T346" i="1" s="1"/>
  <c r="P1158" i="1"/>
  <c r="R547" i="1"/>
  <c r="U547" i="1" s="1"/>
  <c r="Q548" i="1" s="1"/>
  <c r="T548" i="1" s="1"/>
  <c r="S547" i="1"/>
  <c r="F37" i="2"/>
  <c r="Q23" i="1"/>
  <c r="T23" i="1" s="1"/>
  <c r="P346" i="1" l="1"/>
  <c r="S346" i="1" s="1"/>
  <c r="P238" i="1"/>
  <c r="P138" i="1"/>
  <c r="S1059" i="1"/>
  <c r="P1060" i="1" s="1"/>
  <c r="S444" i="1"/>
  <c r="P445" i="1" s="1"/>
  <c r="S445" i="1" s="1"/>
  <c r="S238" i="1"/>
  <c r="R238" i="1"/>
  <c r="U238" i="1" s="1"/>
  <c r="Q239" i="1" s="1"/>
  <c r="T239" i="1" s="1"/>
  <c r="R957" i="1"/>
  <c r="U957" i="1" s="1"/>
  <c r="Q958" i="1" s="1"/>
  <c r="T958" i="1" s="1"/>
  <c r="S957" i="1"/>
  <c r="P548" i="1"/>
  <c r="R548" i="1" s="1"/>
  <c r="U548" i="1" s="1"/>
  <c r="Q549" i="1" s="1"/>
  <c r="T549" i="1" s="1"/>
  <c r="P850" i="1"/>
  <c r="S648" i="1"/>
  <c r="P649" i="1" s="1"/>
  <c r="S649" i="1" s="1"/>
  <c r="R346" i="1"/>
  <c r="U346" i="1" s="1"/>
  <c r="Q347" i="1" s="1"/>
  <c r="T347" i="1" s="1"/>
  <c r="R749" i="1"/>
  <c r="U749" i="1" s="1"/>
  <c r="Q750" i="1" s="1"/>
  <c r="T750" i="1" s="1"/>
  <c r="S749" i="1"/>
  <c r="R1158" i="1"/>
  <c r="U1158" i="1" s="1"/>
  <c r="Q1159" i="1" s="1"/>
  <c r="T1159" i="1" s="1"/>
  <c r="S1158" i="1"/>
  <c r="E38" i="2"/>
  <c r="D38" i="2" s="1"/>
  <c r="F38" i="2" s="1"/>
  <c r="R23" i="1"/>
  <c r="U23" i="1" s="1"/>
  <c r="R1060" i="1" l="1"/>
  <c r="U1060" i="1" s="1"/>
  <c r="Q1061" i="1" s="1"/>
  <c r="T1061" i="1" s="1"/>
  <c r="S1060" i="1"/>
  <c r="S138" i="1"/>
  <c r="R138" i="1"/>
  <c r="U138" i="1" s="1"/>
  <c r="Q139" i="1" s="1"/>
  <c r="T139" i="1" s="1"/>
  <c r="S548" i="1"/>
  <c r="P549" i="1" s="1"/>
  <c r="S549" i="1" s="1"/>
  <c r="P958" i="1"/>
  <c r="P239" i="1"/>
  <c r="S850" i="1"/>
  <c r="R850" i="1"/>
  <c r="U850" i="1" s="1"/>
  <c r="Q851" i="1" s="1"/>
  <c r="T851" i="1" s="1"/>
  <c r="P347" i="1"/>
  <c r="R347" i="1" s="1"/>
  <c r="U347" i="1" s="1"/>
  <c r="Q348" i="1" s="1"/>
  <c r="T348" i="1" s="1"/>
  <c r="R445" i="1"/>
  <c r="U445" i="1" s="1"/>
  <c r="Q446" i="1" s="1"/>
  <c r="T446" i="1" s="1"/>
  <c r="P750" i="1"/>
  <c r="S750" i="1" s="1"/>
  <c r="R649" i="1"/>
  <c r="U649" i="1" s="1"/>
  <c r="Q650" i="1" s="1"/>
  <c r="T650" i="1" s="1"/>
  <c r="P1061" i="1"/>
  <c r="P1159" i="1"/>
  <c r="Q24" i="1"/>
  <c r="T24" i="1" s="1"/>
  <c r="E39" i="2"/>
  <c r="D39" i="2" s="1"/>
  <c r="F39" i="2" s="1"/>
  <c r="P446" i="1" l="1"/>
  <c r="R446" i="1" s="1"/>
  <c r="U446" i="1" s="1"/>
  <c r="Q447" i="1" s="1"/>
  <c r="T447" i="1" s="1"/>
  <c r="P139" i="1"/>
  <c r="R239" i="1"/>
  <c r="U239" i="1" s="1"/>
  <c r="Q240" i="1" s="1"/>
  <c r="T240" i="1" s="1"/>
  <c r="S239" i="1"/>
  <c r="P240" i="1" s="1"/>
  <c r="S958" i="1"/>
  <c r="R958" i="1"/>
  <c r="U958" i="1" s="1"/>
  <c r="Q959" i="1" s="1"/>
  <c r="T959" i="1" s="1"/>
  <c r="S347" i="1"/>
  <c r="P348" i="1" s="1"/>
  <c r="S348" i="1" s="1"/>
  <c r="R750" i="1"/>
  <c r="U750" i="1" s="1"/>
  <c r="Q751" i="1" s="1"/>
  <c r="T751" i="1" s="1"/>
  <c r="P851" i="1"/>
  <c r="R549" i="1"/>
  <c r="U549" i="1" s="1"/>
  <c r="Q550" i="1" s="1"/>
  <c r="T550" i="1" s="1"/>
  <c r="P650" i="1"/>
  <c r="S650" i="1" s="1"/>
  <c r="S446" i="1"/>
  <c r="P447" i="1" s="1"/>
  <c r="R447" i="1" s="1"/>
  <c r="U447" i="1" s="1"/>
  <c r="Q448" i="1" s="1"/>
  <c r="T448" i="1" s="1"/>
  <c r="S1061" i="1"/>
  <c r="R1061" i="1"/>
  <c r="U1061" i="1" s="1"/>
  <c r="Q1062" i="1" s="1"/>
  <c r="T1062" i="1" s="1"/>
  <c r="R1159" i="1"/>
  <c r="U1159" i="1" s="1"/>
  <c r="Q1160" i="1" s="1"/>
  <c r="T1160" i="1" s="1"/>
  <c r="S1159" i="1"/>
  <c r="P24" i="1"/>
  <c r="S24" i="1" s="1"/>
  <c r="E40" i="2"/>
  <c r="D40" i="2" s="1"/>
  <c r="F40" i="2" s="1"/>
  <c r="R139" i="1" l="1"/>
  <c r="U139" i="1" s="1"/>
  <c r="Q140" i="1" s="1"/>
  <c r="T140" i="1" s="1"/>
  <c r="S139" i="1"/>
  <c r="P140" i="1" s="1"/>
  <c r="P959" i="1"/>
  <c r="P550" i="1"/>
  <c r="R550" i="1" s="1"/>
  <c r="U550" i="1" s="1"/>
  <c r="Q551" i="1" s="1"/>
  <c r="T551" i="1" s="1"/>
  <c r="R959" i="1"/>
  <c r="U959" i="1" s="1"/>
  <c r="Q960" i="1" s="1"/>
  <c r="T960" i="1" s="1"/>
  <c r="S959" i="1"/>
  <c r="R240" i="1"/>
  <c r="U240" i="1" s="1"/>
  <c r="Q241" i="1" s="1"/>
  <c r="T241" i="1" s="1"/>
  <c r="S240" i="1"/>
  <c r="P241" i="1" s="1"/>
  <c r="R650" i="1"/>
  <c r="U650" i="1" s="1"/>
  <c r="Q651" i="1" s="1"/>
  <c r="T651" i="1" s="1"/>
  <c r="P751" i="1"/>
  <c r="S751" i="1" s="1"/>
  <c r="S851" i="1"/>
  <c r="R851" i="1"/>
  <c r="U851" i="1" s="1"/>
  <c r="Q852" i="1" s="1"/>
  <c r="T852" i="1" s="1"/>
  <c r="R348" i="1"/>
  <c r="U348" i="1" s="1"/>
  <c r="Q349" i="1" s="1"/>
  <c r="T349" i="1" s="1"/>
  <c r="S550" i="1"/>
  <c r="P551" i="1" s="1"/>
  <c r="P1062" i="1"/>
  <c r="P1160" i="1"/>
  <c r="S1160" i="1" s="1"/>
  <c r="S447" i="1"/>
  <c r="P448" i="1" s="1"/>
  <c r="R24" i="1"/>
  <c r="U24" i="1" s="1"/>
  <c r="E41" i="2"/>
  <c r="D41" i="2" s="1"/>
  <c r="F41" i="2" s="1"/>
  <c r="S140" i="1" l="1"/>
  <c r="R140" i="1"/>
  <c r="U140" i="1" s="1"/>
  <c r="Q141" i="1" s="1"/>
  <c r="T141" i="1" s="1"/>
  <c r="R241" i="1"/>
  <c r="U241" i="1" s="1"/>
  <c r="Q242" i="1" s="1"/>
  <c r="T242" i="1" s="1"/>
  <c r="S241" i="1"/>
  <c r="P242" i="1" s="1"/>
  <c r="P651" i="1"/>
  <c r="S651" i="1" s="1"/>
  <c r="P960" i="1"/>
  <c r="R751" i="1"/>
  <c r="U751" i="1" s="1"/>
  <c r="Q752" i="1" s="1"/>
  <c r="T752" i="1" s="1"/>
  <c r="P852" i="1"/>
  <c r="P349" i="1"/>
  <c r="R349" i="1" s="1"/>
  <c r="U349" i="1" s="1"/>
  <c r="Q350" i="1" s="1"/>
  <c r="T350" i="1" s="1"/>
  <c r="R1160" i="1"/>
  <c r="U1160" i="1" s="1"/>
  <c r="Q1161" i="1" s="1"/>
  <c r="T1161" i="1" s="1"/>
  <c r="S1062" i="1"/>
  <c r="R1062" i="1"/>
  <c r="U1062" i="1" s="1"/>
  <c r="Q1063" i="1" s="1"/>
  <c r="T1063" i="1" s="1"/>
  <c r="R551" i="1"/>
  <c r="U551" i="1" s="1"/>
  <c r="Q552" i="1" s="1"/>
  <c r="T552" i="1" s="1"/>
  <c r="S551" i="1"/>
  <c r="R651" i="1"/>
  <c r="U651" i="1" s="1"/>
  <c r="Q652" i="1" s="1"/>
  <c r="T652" i="1" s="1"/>
  <c r="R448" i="1"/>
  <c r="U448" i="1" s="1"/>
  <c r="Q449" i="1" s="1"/>
  <c r="T449" i="1" s="1"/>
  <c r="S448" i="1"/>
  <c r="Q25" i="1"/>
  <c r="T25" i="1" s="1"/>
  <c r="E42" i="2"/>
  <c r="D42" i="2" s="1"/>
  <c r="F42" i="2" s="1"/>
  <c r="P141" i="1" l="1"/>
  <c r="R960" i="1"/>
  <c r="U960" i="1" s="1"/>
  <c r="Q961" i="1" s="1"/>
  <c r="T961" i="1" s="1"/>
  <c r="S960" i="1"/>
  <c r="S349" i="1"/>
  <c r="P350" i="1" s="1"/>
  <c r="S350" i="1" s="1"/>
  <c r="P752" i="1"/>
  <c r="S752" i="1" s="1"/>
  <c r="S242" i="1"/>
  <c r="R242" i="1"/>
  <c r="U242" i="1" s="1"/>
  <c r="Q243" i="1" s="1"/>
  <c r="T243" i="1" s="1"/>
  <c r="R852" i="1"/>
  <c r="U852" i="1" s="1"/>
  <c r="Q853" i="1" s="1"/>
  <c r="T853" i="1" s="1"/>
  <c r="S852" i="1"/>
  <c r="P1161" i="1"/>
  <c r="P449" i="1"/>
  <c r="R449" i="1" s="1"/>
  <c r="U449" i="1" s="1"/>
  <c r="Q450" i="1" s="1"/>
  <c r="T450" i="1" s="1"/>
  <c r="P652" i="1"/>
  <c r="R652" i="1" s="1"/>
  <c r="U652" i="1" s="1"/>
  <c r="Q653" i="1" s="1"/>
  <c r="T653" i="1" s="1"/>
  <c r="P1063" i="1"/>
  <c r="P552" i="1"/>
  <c r="R552" i="1" s="1"/>
  <c r="U552" i="1" s="1"/>
  <c r="Q553" i="1" s="1"/>
  <c r="T553" i="1" s="1"/>
  <c r="P25" i="1"/>
  <c r="S25" i="1" s="1"/>
  <c r="E43" i="2"/>
  <c r="D43" i="2" s="1"/>
  <c r="F43" i="2" s="1"/>
  <c r="R752" i="1" l="1"/>
  <c r="U752" i="1" s="1"/>
  <c r="Q753" i="1" s="1"/>
  <c r="T753" i="1" s="1"/>
  <c r="S141" i="1"/>
  <c r="R141" i="1"/>
  <c r="U141" i="1" s="1"/>
  <c r="Q142" i="1" s="1"/>
  <c r="T142" i="1" s="1"/>
  <c r="P961" i="1"/>
  <c r="P753" i="1"/>
  <c r="R753" i="1" s="1"/>
  <c r="U753" i="1" s="1"/>
  <c r="Q754" i="1" s="1"/>
  <c r="T754" i="1" s="1"/>
  <c r="P243" i="1"/>
  <c r="S552" i="1"/>
  <c r="P553" i="1" s="1"/>
  <c r="S961" i="1"/>
  <c r="R961" i="1"/>
  <c r="U961" i="1" s="1"/>
  <c r="Q962" i="1" s="1"/>
  <c r="T962" i="1" s="1"/>
  <c r="S652" i="1"/>
  <c r="P653" i="1" s="1"/>
  <c r="S653" i="1" s="1"/>
  <c r="P853" i="1"/>
  <c r="S853" i="1" s="1"/>
  <c r="S449" i="1"/>
  <c r="P450" i="1" s="1"/>
  <c r="S1161" i="1"/>
  <c r="R1161" i="1"/>
  <c r="U1161" i="1" s="1"/>
  <c r="Q1162" i="1" s="1"/>
  <c r="T1162" i="1" s="1"/>
  <c r="R350" i="1"/>
  <c r="U350" i="1" s="1"/>
  <c r="Q351" i="1" s="1"/>
  <c r="T351" i="1" s="1"/>
  <c r="R1063" i="1"/>
  <c r="U1063" i="1" s="1"/>
  <c r="Q1064" i="1" s="1"/>
  <c r="T1064" i="1" s="1"/>
  <c r="S1063" i="1"/>
  <c r="R25" i="1"/>
  <c r="U25" i="1" s="1"/>
  <c r="E44" i="2"/>
  <c r="D44" i="2" s="1"/>
  <c r="F44" i="2" s="1"/>
  <c r="S753" i="1" l="1"/>
  <c r="P754" i="1" s="1"/>
  <c r="S754" i="1" s="1"/>
  <c r="P142" i="1"/>
  <c r="P962" i="1"/>
  <c r="S962" i="1" s="1"/>
  <c r="R853" i="1"/>
  <c r="U853" i="1" s="1"/>
  <c r="Q854" i="1" s="1"/>
  <c r="T854" i="1" s="1"/>
  <c r="R962" i="1"/>
  <c r="U962" i="1" s="1"/>
  <c r="Q963" i="1" s="1"/>
  <c r="T963" i="1" s="1"/>
  <c r="R243" i="1"/>
  <c r="U243" i="1" s="1"/>
  <c r="Q244" i="1" s="1"/>
  <c r="T244" i="1" s="1"/>
  <c r="S243" i="1"/>
  <c r="P244" i="1" s="1"/>
  <c r="R653" i="1"/>
  <c r="U653" i="1" s="1"/>
  <c r="Q654" i="1" s="1"/>
  <c r="T654" i="1" s="1"/>
  <c r="P1162" i="1"/>
  <c r="P351" i="1"/>
  <c r="P1064" i="1"/>
  <c r="S553" i="1"/>
  <c r="R553" i="1"/>
  <c r="U553" i="1" s="1"/>
  <c r="Q554" i="1" s="1"/>
  <c r="T554" i="1" s="1"/>
  <c r="R450" i="1"/>
  <c r="U450" i="1" s="1"/>
  <c r="Q451" i="1" s="1"/>
  <c r="T451" i="1" s="1"/>
  <c r="S450" i="1"/>
  <c r="P26" i="1"/>
  <c r="S26" i="1" s="1"/>
  <c r="E45" i="2"/>
  <c r="D45" i="2" s="1"/>
  <c r="F45" i="2" s="1"/>
  <c r="R142" i="1" l="1"/>
  <c r="U142" i="1" s="1"/>
  <c r="Q143" i="1" s="1"/>
  <c r="T143" i="1" s="1"/>
  <c r="S142" i="1"/>
  <c r="P143" i="1" s="1"/>
  <c r="R754" i="1"/>
  <c r="U754" i="1" s="1"/>
  <c r="Q755" i="1" s="1"/>
  <c r="T755" i="1" s="1"/>
  <c r="P963" i="1"/>
  <c r="P854" i="1"/>
  <c r="R854" i="1" s="1"/>
  <c r="U854" i="1" s="1"/>
  <c r="Q855" i="1" s="1"/>
  <c r="T855" i="1" s="1"/>
  <c r="P654" i="1"/>
  <c r="S244" i="1"/>
  <c r="R244" i="1"/>
  <c r="U244" i="1" s="1"/>
  <c r="Q245" i="1" s="1"/>
  <c r="T245" i="1" s="1"/>
  <c r="S1162" i="1"/>
  <c r="R1162" i="1"/>
  <c r="U1162" i="1" s="1"/>
  <c r="Q1163" i="1" s="1"/>
  <c r="T1163" i="1" s="1"/>
  <c r="R1064" i="1"/>
  <c r="U1064" i="1" s="1"/>
  <c r="Q1065" i="1" s="1"/>
  <c r="T1065" i="1" s="1"/>
  <c r="S1064" i="1"/>
  <c r="R351" i="1"/>
  <c r="U351" i="1" s="1"/>
  <c r="Q352" i="1" s="1"/>
  <c r="T352" i="1" s="1"/>
  <c r="S351" i="1"/>
  <c r="P554" i="1"/>
  <c r="P451" i="1"/>
  <c r="Q26" i="1"/>
  <c r="T26" i="1" s="1"/>
  <c r="E46" i="2"/>
  <c r="D46" i="2" s="1"/>
  <c r="F46" i="2" s="1"/>
  <c r="P1065" i="1" l="1"/>
  <c r="S143" i="1"/>
  <c r="R143" i="1"/>
  <c r="U143" i="1" s="1"/>
  <c r="Q144" i="1" s="1"/>
  <c r="T144" i="1" s="1"/>
  <c r="P755" i="1"/>
  <c r="S854" i="1"/>
  <c r="P855" i="1" s="1"/>
  <c r="R855" i="1" s="1"/>
  <c r="U855" i="1" s="1"/>
  <c r="Q856" i="1" s="1"/>
  <c r="T856" i="1" s="1"/>
  <c r="R963" i="1"/>
  <c r="U963" i="1" s="1"/>
  <c r="Q964" i="1" s="1"/>
  <c r="T964" i="1" s="1"/>
  <c r="S963" i="1"/>
  <c r="P245" i="1"/>
  <c r="R654" i="1"/>
  <c r="U654" i="1" s="1"/>
  <c r="Q655" i="1" s="1"/>
  <c r="T655" i="1" s="1"/>
  <c r="S654" i="1"/>
  <c r="P352" i="1"/>
  <c r="S352" i="1" s="1"/>
  <c r="P1163" i="1"/>
  <c r="R1065" i="1"/>
  <c r="U1065" i="1" s="1"/>
  <c r="Q1066" i="1" s="1"/>
  <c r="T1066" i="1" s="1"/>
  <c r="S1065" i="1"/>
  <c r="R554" i="1"/>
  <c r="U554" i="1" s="1"/>
  <c r="Q555" i="1" s="1"/>
  <c r="T555" i="1" s="1"/>
  <c r="S554" i="1"/>
  <c r="R451" i="1"/>
  <c r="U451" i="1" s="1"/>
  <c r="Q452" i="1" s="1"/>
  <c r="T452" i="1" s="1"/>
  <c r="S451" i="1"/>
  <c r="R26" i="1"/>
  <c r="U26" i="1" s="1"/>
  <c r="E47" i="2"/>
  <c r="D47" i="2" s="1"/>
  <c r="F47" i="2" s="1"/>
  <c r="S855" i="1" l="1"/>
  <c r="P856" i="1" s="1"/>
  <c r="P655" i="1"/>
  <c r="S655" i="1" s="1"/>
  <c r="P144" i="1"/>
  <c r="R755" i="1"/>
  <c r="U755" i="1" s="1"/>
  <c r="Q756" i="1" s="1"/>
  <c r="T756" i="1" s="1"/>
  <c r="S755" i="1"/>
  <c r="P756" i="1" s="1"/>
  <c r="R756" i="1" s="1"/>
  <c r="U756" i="1" s="1"/>
  <c r="P964" i="1"/>
  <c r="S964" i="1" s="1"/>
  <c r="R655" i="1"/>
  <c r="U655" i="1" s="1"/>
  <c r="Q656" i="1" s="1"/>
  <c r="T656" i="1" s="1"/>
  <c r="S245" i="1"/>
  <c r="R245" i="1"/>
  <c r="U245" i="1" s="1"/>
  <c r="Q246" i="1" s="1"/>
  <c r="T246" i="1" s="1"/>
  <c r="P555" i="1"/>
  <c r="R555" i="1" s="1"/>
  <c r="U555" i="1" s="1"/>
  <c r="Q556" i="1" s="1"/>
  <c r="T556" i="1" s="1"/>
  <c r="R352" i="1"/>
  <c r="U352" i="1" s="1"/>
  <c r="Q353" i="1" s="1"/>
  <c r="T353" i="1" s="1"/>
  <c r="S1163" i="1"/>
  <c r="R1163" i="1"/>
  <c r="U1163" i="1" s="1"/>
  <c r="Q1164" i="1" s="1"/>
  <c r="T1164" i="1" s="1"/>
  <c r="P1066" i="1"/>
  <c r="S1066" i="1" s="1"/>
  <c r="P452" i="1"/>
  <c r="R452" i="1" s="1"/>
  <c r="U452" i="1" s="1"/>
  <c r="Q453" i="1" s="1"/>
  <c r="T453" i="1" s="1"/>
  <c r="Q27" i="1"/>
  <c r="T27" i="1" s="1"/>
  <c r="E48" i="2"/>
  <c r="D48" i="2" s="1"/>
  <c r="F48" i="2" s="1"/>
  <c r="Q757" i="1" l="1"/>
  <c r="T757" i="1" s="1"/>
  <c r="R144" i="1"/>
  <c r="U144" i="1" s="1"/>
  <c r="Q145" i="1" s="1"/>
  <c r="T145" i="1" s="1"/>
  <c r="S144" i="1"/>
  <c r="P656" i="1"/>
  <c r="S756" i="1"/>
  <c r="P757" i="1" s="1"/>
  <c r="S757" i="1" s="1"/>
  <c r="R964" i="1"/>
  <c r="U964" i="1" s="1"/>
  <c r="Q965" i="1" s="1"/>
  <c r="T965" i="1" s="1"/>
  <c r="S555" i="1"/>
  <c r="P556" i="1" s="1"/>
  <c r="P353" i="1"/>
  <c r="R353" i="1" s="1"/>
  <c r="U353" i="1" s="1"/>
  <c r="Q354" i="1" s="1"/>
  <c r="T354" i="1" s="1"/>
  <c r="R1066" i="1"/>
  <c r="U1066" i="1" s="1"/>
  <c r="Q1067" i="1" s="1"/>
  <c r="T1067" i="1" s="1"/>
  <c r="P246" i="1"/>
  <c r="S856" i="1"/>
  <c r="R856" i="1"/>
  <c r="U856" i="1" s="1"/>
  <c r="Q857" i="1" s="1"/>
  <c r="T857" i="1" s="1"/>
  <c r="P1164" i="1"/>
  <c r="S452" i="1"/>
  <c r="P453" i="1" s="1"/>
  <c r="R656" i="1"/>
  <c r="U656" i="1" s="1"/>
  <c r="Q657" i="1" s="1"/>
  <c r="T657" i="1" s="1"/>
  <c r="S656" i="1"/>
  <c r="P27" i="1"/>
  <c r="S27" i="1" s="1"/>
  <c r="E49" i="2"/>
  <c r="D49" i="2" s="1"/>
  <c r="F49" i="2" s="1"/>
  <c r="P145" i="1" l="1"/>
  <c r="R757" i="1"/>
  <c r="U757" i="1" s="1"/>
  <c r="Q758" i="1" s="1"/>
  <c r="T758" i="1" s="1"/>
  <c r="R145" i="1"/>
  <c r="U145" i="1" s="1"/>
  <c r="Q146" i="1" s="1"/>
  <c r="T146" i="1" s="1"/>
  <c r="S145" i="1"/>
  <c r="P146" i="1" s="1"/>
  <c r="S353" i="1"/>
  <c r="P354" i="1" s="1"/>
  <c r="P965" i="1"/>
  <c r="S965" i="1" s="1"/>
  <c r="R556" i="1"/>
  <c r="U556" i="1" s="1"/>
  <c r="Q557" i="1" s="1"/>
  <c r="T557" i="1" s="1"/>
  <c r="S556" i="1"/>
  <c r="P557" i="1" s="1"/>
  <c r="S557" i="1" s="1"/>
  <c r="P1067" i="1"/>
  <c r="S246" i="1"/>
  <c r="R246" i="1"/>
  <c r="U246" i="1" s="1"/>
  <c r="Q247" i="1" s="1"/>
  <c r="T247" i="1" s="1"/>
  <c r="P857" i="1"/>
  <c r="R1164" i="1"/>
  <c r="U1164" i="1" s="1"/>
  <c r="Q1165" i="1" s="1"/>
  <c r="T1165" i="1" s="1"/>
  <c r="S1164" i="1"/>
  <c r="P657" i="1"/>
  <c r="R657" i="1" s="1"/>
  <c r="U657" i="1" s="1"/>
  <c r="Q658" i="1" s="1"/>
  <c r="S453" i="1"/>
  <c r="R453" i="1"/>
  <c r="U453" i="1" s="1"/>
  <c r="Q454" i="1" s="1"/>
  <c r="T454" i="1" s="1"/>
  <c r="R27" i="1"/>
  <c r="E50" i="2"/>
  <c r="D50" i="2" s="1"/>
  <c r="F50" i="2" s="1"/>
  <c r="R965" i="1" l="1"/>
  <c r="U965" i="1" s="1"/>
  <c r="Q966" i="1" s="1"/>
  <c r="T966" i="1" s="1"/>
  <c r="P758" i="1"/>
  <c r="R758" i="1" s="1"/>
  <c r="U758" i="1" s="1"/>
  <c r="Q759" i="1" s="1"/>
  <c r="T759" i="1" s="1"/>
  <c r="R146" i="1"/>
  <c r="U146" i="1" s="1"/>
  <c r="Q147" i="1" s="1"/>
  <c r="T147" i="1" s="1"/>
  <c r="S146" i="1"/>
  <c r="P147" i="1" s="1"/>
  <c r="S758" i="1"/>
  <c r="P759" i="1" s="1"/>
  <c r="R759" i="1" s="1"/>
  <c r="U759" i="1" s="1"/>
  <c r="Q760" i="1" s="1"/>
  <c r="T760" i="1" s="1"/>
  <c r="P1165" i="1"/>
  <c r="S1165" i="1" s="1"/>
  <c r="R557" i="1"/>
  <c r="U557" i="1" s="1"/>
  <c r="Q558" i="1" s="1"/>
  <c r="T558" i="1" s="1"/>
  <c r="S1067" i="1"/>
  <c r="R1067" i="1"/>
  <c r="U1067" i="1" s="1"/>
  <c r="Q1068" i="1" s="1"/>
  <c r="T1068" i="1" s="1"/>
  <c r="P247" i="1"/>
  <c r="S657" i="1"/>
  <c r="P658" i="1" s="1"/>
  <c r="S658" i="1" s="1"/>
  <c r="S857" i="1"/>
  <c r="R857" i="1"/>
  <c r="U857" i="1" s="1"/>
  <c r="Q858" i="1" s="1"/>
  <c r="T858" i="1" s="1"/>
  <c r="T658" i="1"/>
  <c r="S354" i="1"/>
  <c r="R354" i="1"/>
  <c r="U354" i="1" s="1"/>
  <c r="Q355" i="1" s="1"/>
  <c r="T355" i="1" s="1"/>
  <c r="P454" i="1"/>
  <c r="U27" i="1"/>
  <c r="P28" i="1" s="1"/>
  <c r="S28" i="1" s="1"/>
  <c r="E51" i="2"/>
  <c r="D51" i="2" s="1"/>
  <c r="F51" i="2" s="1"/>
  <c r="R1165" i="1" l="1"/>
  <c r="U1165" i="1" s="1"/>
  <c r="Q1166" i="1" s="1"/>
  <c r="T1166" i="1" s="1"/>
  <c r="P966" i="1"/>
  <c r="R147" i="1"/>
  <c r="U147" i="1" s="1"/>
  <c r="Q148" i="1" s="1"/>
  <c r="T148" i="1" s="1"/>
  <c r="S147" i="1"/>
  <c r="P148" i="1" s="1"/>
  <c r="P558" i="1"/>
  <c r="S558" i="1" s="1"/>
  <c r="P1068" i="1"/>
  <c r="R658" i="1"/>
  <c r="U658" i="1" s="1"/>
  <c r="Q659" i="1" s="1"/>
  <c r="T659" i="1" s="1"/>
  <c r="R247" i="1"/>
  <c r="U247" i="1" s="1"/>
  <c r="Q248" i="1" s="1"/>
  <c r="T248" i="1" s="1"/>
  <c r="S247" i="1"/>
  <c r="S759" i="1"/>
  <c r="P760" i="1" s="1"/>
  <c r="R760" i="1" s="1"/>
  <c r="U760" i="1" s="1"/>
  <c r="Q761" i="1" s="1"/>
  <c r="T761" i="1" s="1"/>
  <c r="P858" i="1"/>
  <c r="P1166" i="1"/>
  <c r="P355" i="1"/>
  <c r="S454" i="1"/>
  <c r="R454" i="1"/>
  <c r="U454" i="1" s="1"/>
  <c r="Q455" i="1" s="1"/>
  <c r="T455" i="1" s="1"/>
  <c r="Q28" i="1"/>
  <c r="T28" i="1" s="1"/>
  <c r="E52" i="2"/>
  <c r="D52" i="2" s="1"/>
  <c r="F52" i="2" s="1"/>
  <c r="R558" i="1" l="1"/>
  <c r="U558" i="1" s="1"/>
  <c r="Q559" i="1" s="1"/>
  <c r="T559" i="1" s="1"/>
  <c r="S966" i="1"/>
  <c r="R966" i="1"/>
  <c r="U966" i="1" s="1"/>
  <c r="Q967" i="1" s="1"/>
  <c r="T967" i="1" s="1"/>
  <c r="P659" i="1"/>
  <c r="S659" i="1" s="1"/>
  <c r="R148" i="1"/>
  <c r="U148" i="1" s="1"/>
  <c r="Q149" i="1" s="1"/>
  <c r="T149" i="1" s="1"/>
  <c r="S148" i="1"/>
  <c r="P149" i="1" s="1"/>
  <c r="P248" i="1"/>
  <c r="R248" i="1" s="1"/>
  <c r="U248" i="1" s="1"/>
  <c r="Q249" i="1" s="1"/>
  <c r="T249" i="1" s="1"/>
  <c r="R1068" i="1"/>
  <c r="U1068" i="1" s="1"/>
  <c r="Q1069" i="1" s="1"/>
  <c r="T1069" i="1" s="1"/>
  <c r="S1068" i="1"/>
  <c r="S760" i="1"/>
  <c r="P761" i="1" s="1"/>
  <c r="S761" i="1" s="1"/>
  <c r="S858" i="1"/>
  <c r="R858" i="1"/>
  <c r="U858" i="1" s="1"/>
  <c r="Q859" i="1" s="1"/>
  <c r="T859" i="1" s="1"/>
  <c r="P559" i="1"/>
  <c r="R559" i="1" s="1"/>
  <c r="U559" i="1" s="1"/>
  <c r="Q560" i="1" s="1"/>
  <c r="T560" i="1" s="1"/>
  <c r="R1166" i="1"/>
  <c r="U1166" i="1" s="1"/>
  <c r="Q1167" i="1" s="1"/>
  <c r="T1167" i="1" s="1"/>
  <c r="S1166" i="1"/>
  <c r="P1167" i="1" s="1"/>
  <c r="R659" i="1"/>
  <c r="U659" i="1" s="1"/>
  <c r="Q660" i="1" s="1"/>
  <c r="T660" i="1" s="1"/>
  <c r="S355" i="1"/>
  <c r="R355" i="1"/>
  <c r="U355" i="1" s="1"/>
  <c r="Q356" i="1" s="1"/>
  <c r="T356" i="1" s="1"/>
  <c r="P455" i="1"/>
  <c r="R28" i="1"/>
  <c r="U28" i="1" s="1"/>
  <c r="P29" i="1" s="1"/>
  <c r="S29" i="1" s="1"/>
  <c r="E53" i="2"/>
  <c r="D53" i="2" s="1"/>
  <c r="F53" i="2" s="1"/>
  <c r="S248" i="1" l="1"/>
  <c r="P967" i="1"/>
  <c r="R149" i="1"/>
  <c r="U149" i="1" s="1"/>
  <c r="Q150" i="1" s="1"/>
  <c r="T150" i="1" s="1"/>
  <c r="S149" i="1"/>
  <c r="P150" i="1" s="1"/>
  <c r="P1069" i="1"/>
  <c r="P249" i="1"/>
  <c r="S249" i="1" s="1"/>
  <c r="S559" i="1"/>
  <c r="P560" i="1" s="1"/>
  <c r="S560" i="1" s="1"/>
  <c r="R249" i="1"/>
  <c r="U249" i="1" s="1"/>
  <c r="Q250" i="1" s="1"/>
  <c r="T250" i="1" s="1"/>
  <c r="P859" i="1"/>
  <c r="R761" i="1"/>
  <c r="U761" i="1" s="1"/>
  <c r="Q762" i="1" s="1"/>
  <c r="T762" i="1" s="1"/>
  <c r="P660" i="1"/>
  <c r="S660" i="1" s="1"/>
  <c r="S1167" i="1"/>
  <c r="R1167" i="1"/>
  <c r="U1167" i="1" s="1"/>
  <c r="Q1168" i="1" s="1"/>
  <c r="T1168" i="1" s="1"/>
  <c r="P356" i="1"/>
  <c r="S356" i="1" s="1"/>
  <c r="R455" i="1"/>
  <c r="U455" i="1" s="1"/>
  <c r="Q456" i="1" s="1"/>
  <c r="T456" i="1" s="1"/>
  <c r="S455" i="1"/>
  <c r="Q29" i="1"/>
  <c r="T29" i="1" s="1"/>
  <c r="E54" i="2"/>
  <c r="D54" i="2" s="1"/>
  <c r="F54" i="2" s="1"/>
  <c r="P250" i="1" l="1"/>
  <c r="R967" i="1"/>
  <c r="U967" i="1" s="1"/>
  <c r="Q968" i="1" s="1"/>
  <c r="T968" i="1" s="1"/>
  <c r="S967" i="1"/>
  <c r="P968" i="1" s="1"/>
  <c r="R150" i="1"/>
  <c r="U150" i="1" s="1"/>
  <c r="Q151" i="1" s="1"/>
  <c r="T151" i="1" s="1"/>
  <c r="S150" i="1"/>
  <c r="P151" i="1" s="1"/>
  <c r="S1069" i="1"/>
  <c r="R1069" i="1"/>
  <c r="U1069" i="1" s="1"/>
  <c r="Q1070" i="1" s="1"/>
  <c r="T1070" i="1" s="1"/>
  <c r="P762" i="1"/>
  <c r="S762" i="1" s="1"/>
  <c r="S250" i="1"/>
  <c r="R250" i="1"/>
  <c r="U250" i="1" s="1"/>
  <c r="Q251" i="1" s="1"/>
  <c r="T251" i="1" s="1"/>
  <c r="R660" i="1"/>
  <c r="U660" i="1" s="1"/>
  <c r="Q661" i="1" s="1"/>
  <c r="T661" i="1" s="1"/>
  <c r="S859" i="1"/>
  <c r="R859" i="1"/>
  <c r="U859" i="1" s="1"/>
  <c r="Q860" i="1" s="1"/>
  <c r="T860" i="1" s="1"/>
  <c r="P1168" i="1"/>
  <c r="R560" i="1"/>
  <c r="U560" i="1" s="1"/>
  <c r="Q561" i="1" s="1"/>
  <c r="T561" i="1" s="1"/>
  <c r="R356" i="1"/>
  <c r="U356" i="1" s="1"/>
  <c r="Q357" i="1" s="1"/>
  <c r="T357" i="1" s="1"/>
  <c r="P456" i="1"/>
  <c r="S456" i="1" s="1"/>
  <c r="R29" i="1"/>
  <c r="U29" i="1" s="1"/>
  <c r="P30" i="1" s="1"/>
  <c r="S30" i="1" s="1"/>
  <c r="E55" i="2"/>
  <c r="D55" i="2" s="1"/>
  <c r="F55" i="2" s="1"/>
  <c r="S968" i="1" l="1"/>
  <c r="R968" i="1"/>
  <c r="U968" i="1" s="1"/>
  <c r="Q969" i="1" s="1"/>
  <c r="T969" i="1" s="1"/>
  <c r="S151" i="1"/>
  <c r="R151" i="1"/>
  <c r="U151" i="1" s="1"/>
  <c r="Q152" i="1" s="1"/>
  <c r="T152" i="1" s="1"/>
  <c r="R762" i="1"/>
  <c r="U762" i="1" s="1"/>
  <c r="Q763" i="1" s="1"/>
  <c r="T763" i="1" s="1"/>
  <c r="P1070" i="1"/>
  <c r="P561" i="1"/>
  <c r="S561" i="1" s="1"/>
  <c r="P251" i="1"/>
  <c r="P860" i="1"/>
  <c r="P661" i="1"/>
  <c r="P357" i="1"/>
  <c r="R357" i="1" s="1"/>
  <c r="U357" i="1" s="1"/>
  <c r="Q358" i="1" s="1"/>
  <c r="T358" i="1" s="1"/>
  <c r="R1168" i="1"/>
  <c r="U1168" i="1" s="1"/>
  <c r="Q1169" i="1" s="1"/>
  <c r="T1169" i="1" s="1"/>
  <c r="S1168" i="1"/>
  <c r="R456" i="1"/>
  <c r="U456" i="1" s="1"/>
  <c r="Q457" i="1" s="1"/>
  <c r="T457" i="1" s="1"/>
  <c r="Q30" i="1"/>
  <c r="T30" i="1" s="1"/>
  <c r="E56" i="2"/>
  <c r="D56" i="2" s="1"/>
  <c r="F56" i="2" s="1"/>
  <c r="P969" i="1" l="1"/>
  <c r="P763" i="1"/>
  <c r="P152" i="1"/>
  <c r="R1070" i="1"/>
  <c r="U1070" i="1" s="1"/>
  <c r="Q1071" i="1" s="1"/>
  <c r="T1071" i="1" s="1"/>
  <c r="S1070" i="1"/>
  <c r="R561" i="1"/>
  <c r="U561" i="1" s="1"/>
  <c r="Q562" i="1" s="1"/>
  <c r="T562" i="1" s="1"/>
  <c r="S357" i="1"/>
  <c r="P358" i="1" s="1"/>
  <c r="P1169" i="1"/>
  <c r="S1169" i="1" s="1"/>
  <c r="R251" i="1"/>
  <c r="U251" i="1" s="1"/>
  <c r="Q252" i="1" s="1"/>
  <c r="T252" i="1" s="1"/>
  <c r="S251" i="1"/>
  <c r="S661" i="1"/>
  <c r="R661" i="1"/>
  <c r="U661" i="1" s="1"/>
  <c r="Q662" i="1" s="1"/>
  <c r="T662" i="1" s="1"/>
  <c r="R860" i="1"/>
  <c r="U860" i="1" s="1"/>
  <c r="Q861" i="1" s="1"/>
  <c r="T861" i="1" s="1"/>
  <c r="S860" i="1"/>
  <c r="S763" i="1"/>
  <c r="R763" i="1"/>
  <c r="U763" i="1" s="1"/>
  <c r="Q764" i="1" s="1"/>
  <c r="T764" i="1" s="1"/>
  <c r="P457" i="1"/>
  <c r="R30" i="1"/>
  <c r="E57" i="2"/>
  <c r="D57" i="2" s="1"/>
  <c r="F57" i="2" s="1"/>
  <c r="R969" i="1" l="1"/>
  <c r="U969" i="1" s="1"/>
  <c r="Q970" i="1" s="1"/>
  <c r="T970" i="1" s="1"/>
  <c r="S969" i="1"/>
  <c r="P970" i="1" s="1"/>
  <c r="S152" i="1"/>
  <c r="R152" i="1"/>
  <c r="U152" i="1" s="1"/>
  <c r="Q153" i="1" s="1"/>
  <c r="T153" i="1" s="1"/>
  <c r="P562" i="1"/>
  <c r="R562" i="1" s="1"/>
  <c r="U562" i="1" s="1"/>
  <c r="Q563" i="1" s="1"/>
  <c r="T563" i="1" s="1"/>
  <c r="P861" i="1"/>
  <c r="R861" i="1" s="1"/>
  <c r="U861" i="1" s="1"/>
  <c r="Q862" i="1" s="1"/>
  <c r="T862" i="1" s="1"/>
  <c r="R1169" i="1"/>
  <c r="U1169" i="1" s="1"/>
  <c r="Q1170" i="1" s="1"/>
  <c r="T1170" i="1" s="1"/>
  <c r="P1071" i="1"/>
  <c r="P252" i="1"/>
  <c r="P662" i="1"/>
  <c r="P764" i="1"/>
  <c r="S764" i="1" s="1"/>
  <c r="S358" i="1"/>
  <c r="R358" i="1"/>
  <c r="U358" i="1" s="1"/>
  <c r="Q359" i="1" s="1"/>
  <c r="T359" i="1" s="1"/>
  <c r="S562" i="1"/>
  <c r="R457" i="1"/>
  <c r="U457" i="1" s="1"/>
  <c r="Q458" i="1" s="1"/>
  <c r="T458" i="1" s="1"/>
  <c r="S457" i="1"/>
  <c r="U30" i="1"/>
  <c r="P31" i="1" s="1"/>
  <c r="S31" i="1" s="1"/>
  <c r="E58" i="2"/>
  <c r="D58" i="2" s="1"/>
  <c r="F58" i="2" s="1"/>
  <c r="R970" i="1" l="1"/>
  <c r="U970" i="1" s="1"/>
  <c r="Q971" i="1" s="1"/>
  <c r="T971" i="1" s="1"/>
  <c r="S970" i="1"/>
  <c r="P971" i="1" s="1"/>
  <c r="S861" i="1"/>
  <c r="P862" i="1" s="1"/>
  <c r="P153" i="1"/>
  <c r="P1170" i="1"/>
  <c r="S1170" i="1" s="1"/>
  <c r="R1071" i="1"/>
  <c r="U1071" i="1" s="1"/>
  <c r="Q1072" i="1" s="1"/>
  <c r="T1072" i="1" s="1"/>
  <c r="S1071" i="1"/>
  <c r="R764" i="1"/>
  <c r="U764" i="1" s="1"/>
  <c r="Q765" i="1" s="1"/>
  <c r="T765" i="1" s="1"/>
  <c r="S252" i="1"/>
  <c r="R252" i="1"/>
  <c r="U252" i="1" s="1"/>
  <c r="Q253" i="1" s="1"/>
  <c r="T253" i="1" s="1"/>
  <c r="S662" i="1"/>
  <c r="R662" i="1"/>
  <c r="U662" i="1" s="1"/>
  <c r="Q663" i="1" s="1"/>
  <c r="T663" i="1" s="1"/>
  <c r="S862" i="1"/>
  <c r="R862" i="1"/>
  <c r="U862" i="1" s="1"/>
  <c r="Q863" i="1" s="1"/>
  <c r="T863" i="1" s="1"/>
  <c r="P563" i="1"/>
  <c r="S563" i="1" s="1"/>
  <c r="P359" i="1"/>
  <c r="P458" i="1"/>
  <c r="Q31" i="1"/>
  <c r="T31" i="1" s="1"/>
  <c r="E59" i="2"/>
  <c r="D59" i="2" s="1"/>
  <c r="F59" i="2" s="1"/>
  <c r="R971" i="1" l="1"/>
  <c r="U971" i="1" s="1"/>
  <c r="Q972" i="1" s="1"/>
  <c r="T972" i="1" s="1"/>
  <c r="S971" i="1"/>
  <c r="P972" i="1" s="1"/>
  <c r="R1170" i="1"/>
  <c r="U1170" i="1" s="1"/>
  <c r="Q1171" i="1" s="1"/>
  <c r="T1171" i="1" s="1"/>
  <c r="S153" i="1"/>
  <c r="R153" i="1"/>
  <c r="U153" i="1" s="1"/>
  <c r="Q154" i="1" s="1"/>
  <c r="T154" i="1" s="1"/>
  <c r="P1072" i="1"/>
  <c r="R1072" i="1"/>
  <c r="U1072" i="1" s="1"/>
  <c r="Q1073" i="1" s="1"/>
  <c r="T1073" i="1" s="1"/>
  <c r="S1072" i="1"/>
  <c r="P1073" i="1" s="1"/>
  <c r="P765" i="1"/>
  <c r="S765" i="1" s="1"/>
  <c r="P253" i="1"/>
  <c r="R253" i="1" s="1"/>
  <c r="U253" i="1" s="1"/>
  <c r="Q254" i="1" s="1"/>
  <c r="T254" i="1" s="1"/>
  <c r="R563" i="1"/>
  <c r="U563" i="1" s="1"/>
  <c r="Q564" i="1" s="1"/>
  <c r="T564" i="1" s="1"/>
  <c r="P863" i="1"/>
  <c r="P663" i="1"/>
  <c r="P1171" i="1"/>
  <c r="R359" i="1"/>
  <c r="U359" i="1" s="1"/>
  <c r="Q360" i="1" s="1"/>
  <c r="T360" i="1" s="1"/>
  <c r="S359" i="1"/>
  <c r="S458" i="1"/>
  <c r="R458" i="1"/>
  <c r="U458" i="1" s="1"/>
  <c r="Q459" i="1" s="1"/>
  <c r="T459" i="1" s="1"/>
  <c r="R31" i="1"/>
  <c r="U31" i="1" s="1"/>
  <c r="P32" i="1" s="1"/>
  <c r="S32" i="1" s="1"/>
  <c r="E60" i="2"/>
  <c r="D60" i="2" s="1"/>
  <c r="F60" i="2" s="1"/>
  <c r="S253" i="1" l="1"/>
  <c r="S972" i="1"/>
  <c r="R972" i="1"/>
  <c r="U972" i="1" s="1"/>
  <c r="Q973" i="1" s="1"/>
  <c r="T973" i="1" s="1"/>
  <c r="R765" i="1"/>
  <c r="U765" i="1" s="1"/>
  <c r="Q766" i="1" s="1"/>
  <c r="T766" i="1" s="1"/>
  <c r="P154" i="1"/>
  <c r="R1073" i="1"/>
  <c r="U1073" i="1" s="1"/>
  <c r="Q1074" i="1" s="1"/>
  <c r="T1074" i="1" s="1"/>
  <c r="S1073" i="1"/>
  <c r="P254" i="1"/>
  <c r="R254" i="1" s="1"/>
  <c r="U254" i="1" s="1"/>
  <c r="Q255" i="1" s="1"/>
  <c r="T255" i="1" s="1"/>
  <c r="P564" i="1"/>
  <c r="R564" i="1" s="1"/>
  <c r="U564" i="1" s="1"/>
  <c r="Q565" i="1" s="1"/>
  <c r="T565" i="1" s="1"/>
  <c r="S663" i="1"/>
  <c r="R663" i="1"/>
  <c r="U663" i="1" s="1"/>
  <c r="Q664" i="1" s="1"/>
  <c r="T664" i="1" s="1"/>
  <c r="R863" i="1"/>
  <c r="U863" i="1" s="1"/>
  <c r="Q864" i="1" s="1"/>
  <c r="T864" i="1" s="1"/>
  <c r="S863" i="1"/>
  <c r="R1171" i="1"/>
  <c r="U1171" i="1" s="1"/>
  <c r="Q1172" i="1" s="1"/>
  <c r="T1172" i="1" s="1"/>
  <c r="S1171" i="1"/>
  <c r="P360" i="1"/>
  <c r="S360" i="1" s="1"/>
  <c r="P766" i="1"/>
  <c r="P459" i="1"/>
  <c r="Q32" i="1"/>
  <c r="T32" i="1" s="1"/>
  <c r="E61" i="2"/>
  <c r="D61" i="2" s="1"/>
  <c r="F61" i="2" s="1"/>
  <c r="P973" i="1" l="1"/>
  <c r="S254" i="1"/>
  <c r="P255" i="1" s="1"/>
  <c r="R255" i="1" s="1"/>
  <c r="U255" i="1" s="1"/>
  <c r="Q256" i="1" s="1"/>
  <c r="T256" i="1" s="1"/>
  <c r="S564" i="1"/>
  <c r="S154" i="1"/>
  <c r="R154" i="1"/>
  <c r="U154" i="1" s="1"/>
  <c r="Q155" i="1" s="1"/>
  <c r="T155" i="1" s="1"/>
  <c r="P864" i="1"/>
  <c r="R864" i="1" s="1"/>
  <c r="U864" i="1" s="1"/>
  <c r="Q865" i="1" s="1"/>
  <c r="T865" i="1" s="1"/>
  <c r="P1074" i="1"/>
  <c r="P1172" i="1"/>
  <c r="R1172" i="1" s="1"/>
  <c r="U1172" i="1" s="1"/>
  <c r="Q1173" i="1" s="1"/>
  <c r="T1173" i="1" s="1"/>
  <c r="S255" i="1"/>
  <c r="P664" i="1"/>
  <c r="R360" i="1"/>
  <c r="U360" i="1" s="1"/>
  <c r="Q361" i="1" s="1"/>
  <c r="T361" i="1" s="1"/>
  <c r="S766" i="1"/>
  <c r="R766" i="1"/>
  <c r="U766" i="1" s="1"/>
  <c r="Q767" i="1" s="1"/>
  <c r="T767" i="1" s="1"/>
  <c r="P565" i="1"/>
  <c r="R565" i="1" s="1"/>
  <c r="U565" i="1" s="1"/>
  <c r="Q566" i="1" s="1"/>
  <c r="T566" i="1" s="1"/>
  <c r="R459" i="1"/>
  <c r="U459" i="1" s="1"/>
  <c r="Q460" i="1" s="1"/>
  <c r="T460" i="1" s="1"/>
  <c r="S459" i="1"/>
  <c r="R32" i="1"/>
  <c r="E62" i="2"/>
  <c r="D62" i="2" s="1"/>
  <c r="F62" i="2" s="1"/>
  <c r="S973" i="1" l="1"/>
  <c r="R973" i="1"/>
  <c r="U973" i="1" s="1"/>
  <c r="Q974" i="1" s="1"/>
  <c r="T974" i="1" s="1"/>
  <c r="S864" i="1"/>
  <c r="P256" i="1"/>
  <c r="S256" i="1" s="1"/>
  <c r="S1172" i="1"/>
  <c r="P1173" i="1" s="1"/>
  <c r="P865" i="1"/>
  <c r="S865" i="1" s="1"/>
  <c r="P155" i="1"/>
  <c r="R256" i="1"/>
  <c r="U256" i="1" s="1"/>
  <c r="Q257" i="1" s="1"/>
  <c r="T257" i="1" s="1"/>
  <c r="S1074" i="1"/>
  <c r="R1074" i="1"/>
  <c r="U1074" i="1" s="1"/>
  <c r="Q1075" i="1" s="1"/>
  <c r="T1075" i="1" s="1"/>
  <c r="P460" i="1"/>
  <c r="R460" i="1" s="1"/>
  <c r="U460" i="1" s="1"/>
  <c r="Q461" i="1" s="1"/>
  <c r="T461" i="1" s="1"/>
  <c r="R664" i="1"/>
  <c r="U664" i="1" s="1"/>
  <c r="Q665" i="1" s="1"/>
  <c r="T665" i="1" s="1"/>
  <c r="S664" i="1"/>
  <c r="R865" i="1"/>
  <c r="U865" i="1" s="1"/>
  <c r="Q866" i="1" s="1"/>
  <c r="T866" i="1" s="1"/>
  <c r="P361" i="1"/>
  <c r="P767" i="1"/>
  <c r="S565" i="1"/>
  <c r="P566" i="1" s="1"/>
  <c r="S566" i="1" s="1"/>
  <c r="U32" i="1"/>
  <c r="P33" i="1" s="1"/>
  <c r="S33" i="1" s="1"/>
  <c r="E63" i="2"/>
  <c r="D63" i="2" s="1"/>
  <c r="F63" i="2" s="1"/>
  <c r="P257" i="1" l="1"/>
  <c r="S257" i="1" s="1"/>
  <c r="P974" i="1"/>
  <c r="S155" i="1"/>
  <c r="R155" i="1"/>
  <c r="U155" i="1" s="1"/>
  <c r="Q156" i="1" s="1"/>
  <c r="T156" i="1" s="1"/>
  <c r="R257" i="1"/>
  <c r="U257" i="1" s="1"/>
  <c r="Q258" i="1" s="1"/>
  <c r="T258" i="1" s="1"/>
  <c r="S460" i="1"/>
  <c r="P461" i="1" s="1"/>
  <c r="S461" i="1" s="1"/>
  <c r="P1075" i="1"/>
  <c r="P665" i="1"/>
  <c r="S665" i="1" s="1"/>
  <c r="P866" i="1"/>
  <c r="R866" i="1" s="1"/>
  <c r="U866" i="1" s="1"/>
  <c r="Q867" i="1" s="1"/>
  <c r="T867" i="1" s="1"/>
  <c r="R566" i="1"/>
  <c r="U566" i="1" s="1"/>
  <c r="Q567" i="1" s="1"/>
  <c r="T567" i="1" s="1"/>
  <c r="S361" i="1"/>
  <c r="R361" i="1"/>
  <c r="U361" i="1" s="1"/>
  <c r="Q362" i="1" s="1"/>
  <c r="T362" i="1" s="1"/>
  <c r="S1173" i="1"/>
  <c r="R1173" i="1"/>
  <c r="U1173" i="1" s="1"/>
  <c r="R767" i="1"/>
  <c r="U767" i="1" s="1"/>
  <c r="Q768" i="1" s="1"/>
  <c r="T768" i="1" s="1"/>
  <c r="S767" i="1"/>
  <c r="Q33" i="1"/>
  <c r="T33" i="1" s="1"/>
  <c r="E64" i="2"/>
  <c r="D64" i="2" s="1"/>
  <c r="F64" i="2" s="1"/>
  <c r="S974" i="1" l="1"/>
  <c r="R974" i="1"/>
  <c r="U974" i="1" s="1"/>
  <c r="Q975" i="1" s="1"/>
  <c r="T975" i="1" s="1"/>
  <c r="P258" i="1"/>
  <c r="P156" i="1"/>
  <c r="R461" i="1"/>
  <c r="U461" i="1" s="1"/>
  <c r="Q462" i="1" s="1"/>
  <c r="T462" i="1" s="1"/>
  <c r="S866" i="1"/>
  <c r="P867" i="1" s="1"/>
  <c r="S867" i="1" s="1"/>
  <c r="R665" i="1"/>
  <c r="U665" i="1" s="1"/>
  <c r="Q666" i="1" s="1"/>
  <c r="T666" i="1" s="1"/>
  <c r="R1075" i="1"/>
  <c r="U1075" i="1" s="1"/>
  <c r="Q1076" i="1" s="1"/>
  <c r="T1076" i="1" s="1"/>
  <c r="S1075" i="1"/>
  <c r="P567" i="1"/>
  <c r="S567" i="1" s="1"/>
  <c r="P768" i="1"/>
  <c r="R768" i="1" s="1"/>
  <c r="U768" i="1" s="1"/>
  <c r="Q769" i="1" s="1"/>
  <c r="T769" i="1" s="1"/>
  <c r="P362" i="1"/>
  <c r="P462" i="1"/>
  <c r="R258" i="1"/>
  <c r="U258" i="1" s="1"/>
  <c r="Q259" i="1" s="1"/>
  <c r="T259" i="1" s="1"/>
  <c r="S258" i="1"/>
  <c r="R33" i="1"/>
  <c r="U33" i="1" s="1"/>
  <c r="P34" i="1" s="1"/>
  <c r="S34" i="1" s="1"/>
  <c r="E65" i="2"/>
  <c r="D65" i="2" s="1"/>
  <c r="F65" i="2" s="1"/>
  <c r="P666" i="1" l="1"/>
  <c r="P1076" i="1"/>
  <c r="S1076" i="1" s="1"/>
  <c r="P1077" i="1" s="1"/>
  <c r="P975" i="1"/>
  <c r="R156" i="1"/>
  <c r="U156" i="1" s="1"/>
  <c r="Q157" i="1" s="1"/>
  <c r="T157" i="1" s="1"/>
  <c r="S156" i="1"/>
  <c r="P157" i="1" s="1"/>
  <c r="S768" i="1"/>
  <c r="P769" i="1" s="1"/>
  <c r="R769" i="1" s="1"/>
  <c r="U769" i="1" s="1"/>
  <c r="Q770" i="1" s="1"/>
  <c r="T770" i="1" s="1"/>
  <c r="R867" i="1"/>
  <c r="U867" i="1" s="1"/>
  <c r="Q868" i="1" s="1"/>
  <c r="T868" i="1" s="1"/>
  <c r="R1076" i="1"/>
  <c r="U1076" i="1" s="1"/>
  <c r="Q1077" i="1" s="1"/>
  <c r="T1077" i="1" s="1"/>
  <c r="R567" i="1"/>
  <c r="U567" i="1" s="1"/>
  <c r="Q568" i="1" s="1"/>
  <c r="T568" i="1" s="1"/>
  <c r="S666" i="1"/>
  <c r="R666" i="1"/>
  <c r="U666" i="1" s="1"/>
  <c r="Q667" i="1" s="1"/>
  <c r="T667" i="1" s="1"/>
  <c r="R362" i="1"/>
  <c r="U362" i="1" s="1"/>
  <c r="Q363" i="1" s="1"/>
  <c r="T363" i="1" s="1"/>
  <c r="S362" i="1"/>
  <c r="P259" i="1"/>
  <c r="S259" i="1" s="1"/>
  <c r="R462" i="1"/>
  <c r="U462" i="1" s="1"/>
  <c r="Q463" i="1" s="1"/>
  <c r="T463" i="1" s="1"/>
  <c r="S462" i="1"/>
  <c r="E66" i="2"/>
  <c r="D66" i="2" s="1"/>
  <c r="F66" i="2" s="1"/>
  <c r="Q34" i="1"/>
  <c r="T34" i="1" s="1"/>
  <c r="R975" i="1" l="1"/>
  <c r="U975" i="1" s="1"/>
  <c r="Q976" i="1" s="1"/>
  <c r="T976" i="1" s="1"/>
  <c r="S975" i="1"/>
  <c r="P976" i="1" s="1"/>
  <c r="R157" i="1"/>
  <c r="U157" i="1" s="1"/>
  <c r="Q158" i="1" s="1"/>
  <c r="T158" i="1" s="1"/>
  <c r="S157" i="1"/>
  <c r="P158" i="1" s="1"/>
  <c r="P568" i="1"/>
  <c r="P868" i="1"/>
  <c r="S868" i="1" s="1"/>
  <c r="R259" i="1"/>
  <c r="U259" i="1" s="1"/>
  <c r="Q260" i="1" s="1"/>
  <c r="T260" i="1" s="1"/>
  <c r="S769" i="1"/>
  <c r="P770" i="1" s="1"/>
  <c r="R770" i="1" s="1"/>
  <c r="U770" i="1" s="1"/>
  <c r="Q771" i="1" s="1"/>
  <c r="T771" i="1" s="1"/>
  <c r="S1077" i="1"/>
  <c r="R1077" i="1"/>
  <c r="U1077" i="1" s="1"/>
  <c r="Q1078" i="1" s="1"/>
  <c r="T1078" i="1" s="1"/>
  <c r="P363" i="1"/>
  <c r="R363" i="1" s="1"/>
  <c r="U363" i="1" s="1"/>
  <c r="Q364" i="1" s="1"/>
  <c r="T364" i="1" s="1"/>
  <c r="P667" i="1"/>
  <c r="P463" i="1"/>
  <c r="R463" i="1" s="1"/>
  <c r="U463" i="1" s="1"/>
  <c r="Q464" i="1" s="1"/>
  <c r="T464" i="1" s="1"/>
  <c r="R568" i="1"/>
  <c r="U568" i="1" s="1"/>
  <c r="Q569" i="1" s="1"/>
  <c r="T569" i="1" s="1"/>
  <c r="S568" i="1"/>
  <c r="E67" i="2"/>
  <c r="D67" i="2" s="1"/>
  <c r="F67" i="2" s="1"/>
  <c r="R34" i="1"/>
  <c r="U34" i="1" s="1"/>
  <c r="S976" i="1" l="1"/>
  <c r="R976" i="1"/>
  <c r="U976" i="1" s="1"/>
  <c r="Q977" i="1" s="1"/>
  <c r="T977" i="1" s="1"/>
  <c r="R868" i="1"/>
  <c r="U868" i="1" s="1"/>
  <c r="Q869" i="1" s="1"/>
  <c r="T869" i="1" s="1"/>
  <c r="P260" i="1"/>
  <c r="S260" i="1" s="1"/>
  <c r="R158" i="1"/>
  <c r="U158" i="1" s="1"/>
  <c r="Q159" i="1" s="1"/>
  <c r="T159" i="1" s="1"/>
  <c r="S158" i="1"/>
  <c r="P159" i="1" s="1"/>
  <c r="S363" i="1"/>
  <c r="P364" i="1" s="1"/>
  <c r="S364" i="1" s="1"/>
  <c r="P1078" i="1"/>
  <c r="S770" i="1"/>
  <c r="P771" i="1" s="1"/>
  <c r="S463" i="1"/>
  <c r="P464" i="1" s="1"/>
  <c r="S667" i="1"/>
  <c r="R667" i="1"/>
  <c r="U667" i="1" s="1"/>
  <c r="Q668" i="1" s="1"/>
  <c r="T668" i="1" s="1"/>
  <c r="P869" i="1"/>
  <c r="P569" i="1"/>
  <c r="R569" i="1" s="1"/>
  <c r="U569" i="1" s="1"/>
  <c r="Q570" i="1" s="1"/>
  <c r="T570" i="1" s="1"/>
  <c r="R260" i="1"/>
  <c r="U260" i="1" s="1"/>
  <c r="Q261" i="1" s="1"/>
  <c r="T261" i="1" s="1"/>
  <c r="E68" i="2"/>
  <c r="D68" i="2" s="1"/>
  <c r="F68" i="2" s="1"/>
  <c r="P35" i="1"/>
  <c r="S35" i="1" s="1"/>
  <c r="P977" i="1" l="1"/>
  <c r="S159" i="1"/>
  <c r="R159" i="1"/>
  <c r="U159" i="1" s="1"/>
  <c r="Q160" i="1" s="1"/>
  <c r="T160" i="1" s="1"/>
  <c r="S1078" i="1"/>
  <c r="R1078" i="1"/>
  <c r="U1078" i="1" s="1"/>
  <c r="Q1079" i="1" s="1"/>
  <c r="T1079" i="1" s="1"/>
  <c r="P261" i="1"/>
  <c r="R261" i="1" s="1"/>
  <c r="U261" i="1" s="1"/>
  <c r="Q262" i="1" s="1"/>
  <c r="T262" i="1" s="1"/>
  <c r="S569" i="1"/>
  <c r="R364" i="1"/>
  <c r="U364" i="1" s="1"/>
  <c r="Q365" i="1" s="1"/>
  <c r="T365" i="1" s="1"/>
  <c r="S869" i="1"/>
  <c r="R869" i="1"/>
  <c r="U869" i="1" s="1"/>
  <c r="Q870" i="1" s="1"/>
  <c r="T870" i="1" s="1"/>
  <c r="P668" i="1"/>
  <c r="R771" i="1"/>
  <c r="U771" i="1" s="1"/>
  <c r="Q772" i="1" s="1"/>
  <c r="T772" i="1" s="1"/>
  <c r="S771" i="1"/>
  <c r="P570" i="1"/>
  <c r="R464" i="1"/>
  <c r="U464" i="1" s="1"/>
  <c r="Q465" i="1" s="1"/>
  <c r="T465" i="1" s="1"/>
  <c r="S464" i="1"/>
  <c r="E69" i="2"/>
  <c r="D69" i="2" s="1"/>
  <c r="F69" i="2" s="1"/>
  <c r="Q35" i="1"/>
  <c r="T35" i="1" s="1"/>
  <c r="R977" i="1" l="1"/>
  <c r="U977" i="1" s="1"/>
  <c r="Q978" i="1" s="1"/>
  <c r="T978" i="1" s="1"/>
  <c r="S977" i="1"/>
  <c r="P978" i="1" s="1"/>
  <c r="S261" i="1"/>
  <c r="P160" i="1"/>
  <c r="P1079" i="1"/>
  <c r="P365" i="1"/>
  <c r="P465" i="1"/>
  <c r="R465" i="1" s="1"/>
  <c r="U465" i="1" s="1"/>
  <c r="Q466" i="1" s="1"/>
  <c r="T466" i="1" s="1"/>
  <c r="S668" i="1"/>
  <c r="R668" i="1"/>
  <c r="U668" i="1" s="1"/>
  <c r="Q669" i="1" s="1"/>
  <c r="T669" i="1" s="1"/>
  <c r="P870" i="1"/>
  <c r="P772" i="1"/>
  <c r="R772" i="1" s="1"/>
  <c r="U772" i="1" s="1"/>
  <c r="Q773" i="1" s="1"/>
  <c r="T773" i="1" s="1"/>
  <c r="P262" i="1"/>
  <c r="S262" i="1" s="1"/>
  <c r="S465" i="1"/>
  <c r="R570" i="1"/>
  <c r="U570" i="1" s="1"/>
  <c r="Q571" i="1" s="1"/>
  <c r="T571" i="1" s="1"/>
  <c r="S570" i="1"/>
  <c r="E70" i="2"/>
  <c r="D70" i="2" s="1"/>
  <c r="F70" i="2" s="1"/>
  <c r="R35" i="1"/>
  <c r="U35" i="1" s="1"/>
  <c r="R978" i="1" l="1"/>
  <c r="U978" i="1" s="1"/>
  <c r="Q979" i="1" s="1"/>
  <c r="T979" i="1" s="1"/>
  <c r="S978" i="1"/>
  <c r="P979" i="1" s="1"/>
  <c r="R160" i="1"/>
  <c r="U160" i="1" s="1"/>
  <c r="Q161" i="1" s="1"/>
  <c r="T161" i="1" s="1"/>
  <c r="S160" i="1"/>
  <c r="P161" i="1" s="1"/>
  <c r="P571" i="1"/>
  <c r="S571" i="1" s="1"/>
  <c r="R1079" i="1"/>
  <c r="U1079" i="1" s="1"/>
  <c r="Q1080" i="1" s="1"/>
  <c r="T1080" i="1" s="1"/>
  <c r="S1079" i="1"/>
  <c r="P1080" i="1" s="1"/>
  <c r="R262" i="1"/>
  <c r="U262" i="1" s="1"/>
  <c r="Q263" i="1" s="1"/>
  <c r="T263" i="1" s="1"/>
  <c r="S772" i="1"/>
  <c r="P773" i="1" s="1"/>
  <c r="S773" i="1" s="1"/>
  <c r="R365" i="1"/>
  <c r="U365" i="1" s="1"/>
  <c r="Q366" i="1" s="1"/>
  <c r="T366" i="1" s="1"/>
  <c r="S365" i="1"/>
  <c r="S870" i="1"/>
  <c r="R870" i="1"/>
  <c r="U870" i="1" s="1"/>
  <c r="Q871" i="1" s="1"/>
  <c r="T871" i="1" s="1"/>
  <c r="P669" i="1"/>
  <c r="R571" i="1"/>
  <c r="U571" i="1" s="1"/>
  <c r="Q572" i="1" s="1"/>
  <c r="T572" i="1" s="1"/>
  <c r="P466" i="1"/>
  <c r="E71" i="2"/>
  <c r="D71" i="2" s="1"/>
  <c r="F71" i="2" s="1"/>
  <c r="P36" i="1"/>
  <c r="S36" i="1" s="1"/>
  <c r="R979" i="1" l="1"/>
  <c r="U979" i="1" s="1"/>
  <c r="Q980" i="1" s="1"/>
  <c r="T980" i="1" s="1"/>
  <c r="S979" i="1"/>
  <c r="P980" i="1" s="1"/>
  <c r="R161" i="1"/>
  <c r="U161" i="1" s="1"/>
  <c r="Q162" i="1" s="1"/>
  <c r="T162" i="1" s="1"/>
  <c r="S161" i="1"/>
  <c r="P162" i="1" s="1"/>
  <c r="P572" i="1"/>
  <c r="S572" i="1" s="1"/>
  <c r="P366" i="1"/>
  <c r="S366" i="1" s="1"/>
  <c r="R1080" i="1"/>
  <c r="U1080" i="1" s="1"/>
  <c r="Q1081" i="1" s="1"/>
  <c r="T1081" i="1" s="1"/>
  <c r="S1080" i="1"/>
  <c r="P263" i="1"/>
  <c r="R263" i="1" s="1"/>
  <c r="U263" i="1" s="1"/>
  <c r="Q264" i="1" s="1"/>
  <c r="T264" i="1" s="1"/>
  <c r="R669" i="1"/>
  <c r="U669" i="1" s="1"/>
  <c r="Q670" i="1" s="1"/>
  <c r="T670" i="1" s="1"/>
  <c r="S669" i="1"/>
  <c r="P871" i="1"/>
  <c r="R773" i="1"/>
  <c r="U773" i="1" s="1"/>
  <c r="Q774" i="1" s="1"/>
  <c r="T774" i="1" s="1"/>
  <c r="S466" i="1"/>
  <c r="R466" i="1"/>
  <c r="U466" i="1" s="1"/>
  <c r="Q467" i="1" s="1"/>
  <c r="T467" i="1" s="1"/>
  <c r="R572" i="1"/>
  <c r="U572" i="1" s="1"/>
  <c r="Q573" i="1" s="1"/>
  <c r="T573" i="1" s="1"/>
  <c r="E72" i="2"/>
  <c r="D72" i="2" s="1"/>
  <c r="F72" i="2" s="1"/>
  <c r="Q36" i="1"/>
  <c r="T36" i="1" s="1"/>
  <c r="R366" i="1" l="1"/>
  <c r="U366" i="1" s="1"/>
  <c r="Q367" i="1" s="1"/>
  <c r="T367" i="1" s="1"/>
  <c r="S263" i="1"/>
  <c r="P264" i="1" s="1"/>
  <c r="S980" i="1"/>
  <c r="R980" i="1"/>
  <c r="U980" i="1" s="1"/>
  <c r="Q981" i="1" s="1"/>
  <c r="T981" i="1" s="1"/>
  <c r="P1081" i="1"/>
  <c r="S1081" i="1" s="1"/>
  <c r="P1082" i="1" s="1"/>
  <c r="R162" i="1"/>
  <c r="U162" i="1" s="1"/>
  <c r="Q163" i="1" s="1"/>
  <c r="T163" i="1" s="1"/>
  <c r="S162" i="1"/>
  <c r="R1081" i="1"/>
  <c r="U1081" i="1" s="1"/>
  <c r="Q1082" i="1" s="1"/>
  <c r="T1082" i="1" s="1"/>
  <c r="P367" i="1"/>
  <c r="P670" i="1"/>
  <c r="S871" i="1"/>
  <c r="R871" i="1"/>
  <c r="U871" i="1" s="1"/>
  <c r="Q872" i="1" s="1"/>
  <c r="T872" i="1" s="1"/>
  <c r="P774" i="1"/>
  <c r="S774" i="1" s="1"/>
  <c r="P573" i="1"/>
  <c r="P467" i="1"/>
  <c r="R264" i="1"/>
  <c r="U264" i="1" s="1"/>
  <c r="Q265" i="1" s="1"/>
  <c r="T265" i="1" s="1"/>
  <c r="S264" i="1"/>
  <c r="E73" i="2"/>
  <c r="D73" i="2" s="1"/>
  <c r="F73" i="2" s="1"/>
  <c r="R36" i="1"/>
  <c r="U36" i="1" s="1"/>
  <c r="P981" i="1" l="1"/>
  <c r="P163" i="1"/>
  <c r="R163" i="1"/>
  <c r="U163" i="1" s="1"/>
  <c r="Q164" i="1" s="1"/>
  <c r="T164" i="1" s="1"/>
  <c r="S163" i="1"/>
  <c r="P164" i="1" s="1"/>
  <c r="S164" i="1" s="1"/>
  <c r="P265" i="1"/>
  <c r="R265" i="1" s="1"/>
  <c r="U265" i="1" s="1"/>
  <c r="Q266" i="1" s="1"/>
  <c r="T266" i="1" s="1"/>
  <c r="R1082" i="1"/>
  <c r="U1082" i="1" s="1"/>
  <c r="Q1083" i="1" s="1"/>
  <c r="T1083" i="1" s="1"/>
  <c r="S1082" i="1"/>
  <c r="R367" i="1"/>
  <c r="U367" i="1" s="1"/>
  <c r="Q368" i="1" s="1"/>
  <c r="T368" i="1" s="1"/>
  <c r="S367" i="1"/>
  <c r="R774" i="1"/>
  <c r="U774" i="1" s="1"/>
  <c r="Q775" i="1" s="1"/>
  <c r="T775" i="1" s="1"/>
  <c r="S670" i="1"/>
  <c r="R670" i="1"/>
  <c r="U670" i="1" s="1"/>
  <c r="Q671" i="1" s="1"/>
  <c r="T671" i="1" s="1"/>
  <c r="P872" i="1"/>
  <c r="R164" i="1"/>
  <c r="U164" i="1" s="1"/>
  <c r="Q165" i="1" s="1"/>
  <c r="T165" i="1" s="1"/>
  <c r="R467" i="1"/>
  <c r="U467" i="1" s="1"/>
  <c r="Q468" i="1" s="1"/>
  <c r="T468" i="1" s="1"/>
  <c r="S467" i="1"/>
  <c r="S265" i="1"/>
  <c r="S573" i="1"/>
  <c r="R573" i="1"/>
  <c r="U573" i="1" s="1"/>
  <c r="Q574" i="1" s="1"/>
  <c r="T574" i="1" s="1"/>
  <c r="E74" i="2"/>
  <c r="D74" i="2" s="1"/>
  <c r="F74" i="2" s="1"/>
  <c r="P37" i="1"/>
  <c r="S37" i="1" s="1"/>
  <c r="S981" i="1" l="1"/>
  <c r="R981" i="1"/>
  <c r="U981" i="1" s="1"/>
  <c r="Q982" i="1" s="1"/>
  <c r="T982" i="1" s="1"/>
  <c r="P775" i="1"/>
  <c r="P1083" i="1"/>
  <c r="P468" i="1"/>
  <c r="S468" i="1" s="1"/>
  <c r="P368" i="1"/>
  <c r="P165" i="1"/>
  <c r="S165" i="1" s="1"/>
  <c r="P671" i="1"/>
  <c r="R872" i="1"/>
  <c r="U872" i="1" s="1"/>
  <c r="Q873" i="1" s="1"/>
  <c r="T873" i="1" s="1"/>
  <c r="S872" i="1"/>
  <c r="P574" i="1"/>
  <c r="S574" i="1" s="1"/>
  <c r="P266" i="1"/>
  <c r="R266" i="1" s="1"/>
  <c r="U266" i="1" s="1"/>
  <c r="Q267" i="1" s="1"/>
  <c r="T267" i="1" s="1"/>
  <c r="S775" i="1"/>
  <c r="R775" i="1"/>
  <c r="U775" i="1" s="1"/>
  <c r="Q776" i="1" s="1"/>
  <c r="T776" i="1" s="1"/>
  <c r="R468" i="1"/>
  <c r="U468" i="1" s="1"/>
  <c r="Q469" i="1" s="1"/>
  <c r="T469" i="1" s="1"/>
  <c r="E75" i="2"/>
  <c r="D75" i="2" s="1"/>
  <c r="F75" i="2" s="1"/>
  <c r="Q37" i="1"/>
  <c r="T37" i="1" s="1"/>
  <c r="P982" i="1" l="1"/>
  <c r="S1083" i="1"/>
  <c r="R1083" i="1"/>
  <c r="U1083" i="1" s="1"/>
  <c r="Q1084" i="1" s="1"/>
  <c r="T1084" i="1" s="1"/>
  <c r="R165" i="1"/>
  <c r="U165" i="1" s="1"/>
  <c r="Q166" i="1" s="1"/>
  <c r="T166" i="1" s="1"/>
  <c r="S368" i="1"/>
  <c r="R368" i="1"/>
  <c r="U368" i="1" s="1"/>
  <c r="Q369" i="1" s="1"/>
  <c r="T369" i="1" s="1"/>
  <c r="S266" i="1"/>
  <c r="P267" i="1" s="1"/>
  <c r="R267" i="1" s="1"/>
  <c r="U267" i="1" s="1"/>
  <c r="Q268" i="1" s="1"/>
  <c r="T268" i="1" s="1"/>
  <c r="P873" i="1"/>
  <c r="R873" i="1" s="1"/>
  <c r="U873" i="1" s="1"/>
  <c r="Q874" i="1" s="1"/>
  <c r="T874" i="1" s="1"/>
  <c r="R671" i="1"/>
  <c r="U671" i="1" s="1"/>
  <c r="Q672" i="1" s="1"/>
  <c r="T672" i="1" s="1"/>
  <c r="S671" i="1"/>
  <c r="R574" i="1"/>
  <c r="U574" i="1" s="1"/>
  <c r="Q575" i="1" s="1"/>
  <c r="T575" i="1" s="1"/>
  <c r="P166" i="1"/>
  <c r="P776" i="1"/>
  <c r="S776" i="1" s="1"/>
  <c r="P469" i="1"/>
  <c r="R469" i="1" s="1"/>
  <c r="U469" i="1" s="1"/>
  <c r="Q470" i="1" s="1"/>
  <c r="T470" i="1" s="1"/>
  <c r="E76" i="2"/>
  <c r="D76" i="2" s="1"/>
  <c r="F76" i="2" s="1"/>
  <c r="R37" i="1"/>
  <c r="U37" i="1" s="1"/>
  <c r="R982" i="1" l="1"/>
  <c r="U982" i="1" s="1"/>
  <c r="Q983" i="1" s="1"/>
  <c r="T983" i="1" s="1"/>
  <c r="S982" i="1"/>
  <c r="P983" i="1" s="1"/>
  <c r="P1084" i="1"/>
  <c r="P672" i="1"/>
  <c r="R672" i="1" s="1"/>
  <c r="U672" i="1" s="1"/>
  <c r="Q673" i="1" s="1"/>
  <c r="T673" i="1" s="1"/>
  <c r="S873" i="1"/>
  <c r="P874" i="1" s="1"/>
  <c r="P369" i="1"/>
  <c r="S672" i="1"/>
  <c r="P673" i="1" s="1"/>
  <c r="R673" i="1" s="1"/>
  <c r="U673" i="1" s="1"/>
  <c r="Q674" i="1" s="1"/>
  <c r="T674" i="1" s="1"/>
  <c r="R776" i="1"/>
  <c r="U776" i="1" s="1"/>
  <c r="Q777" i="1" s="1"/>
  <c r="T777" i="1" s="1"/>
  <c r="S267" i="1"/>
  <c r="P268" i="1" s="1"/>
  <c r="S166" i="1"/>
  <c r="R166" i="1"/>
  <c r="U166" i="1" s="1"/>
  <c r="Q167" i="1" s="1"/>
  <c r="T167" i="1" s="1"/>
  <c r="P575" i="1"/>
  <c r="S575" i="1" s="1"/>
  <c r="S469" i="1"/>
  <c r="P470" i="1" s="1"/>
  <c r="E77" i="2"/>
  <c r="D77" i="2" s="1"/>
  <c r="F77" i="2" s="1"/>
  <c r="P38" i="1"/>
  <c r="S38" i="1" s="1"/>
  <c r="R983" i="1" l="1"/>
  <c r="U983" i="1" s="1"/>
  <c r="Q984" i="1" s="1"/>
  <c r="T984" i="1" s="1"/>
  <c r="S983" i="1"/>
  <c r="P984" i="1" s="1"/>
  <c r="R1084" i="1"/>
  <c r="U1084" i="1" s="1"/>
  <c r="Q1085" i="1" s="1"/>
  <c r="T1085" i="1" s="1"/>
  <c r="S1084" i="1"/>
  <c r="P1085" i="1" s="1"/>
  <c r="S369" i="1"/>
  <c r="R369" i="1"/>
  <c r="U369" i="1" s="1"/>
  <c r="Q370" i="1" s="1"/>
  <c r="T370" i="1" s="1"/>
  <c r="R575" i="1"/>
  <c r="U575" i="1" s="1"/>
  <c r="Q576" i="1" s="1"/>
  <c r="T576" i="1" s="1"/>
  <c r="P777" i="1"/>
  <c r="S777" i="1" s="1"/>
  <c r="S874" i="1"/>
  <c r="R874" i="1"/>
  <c r="U874" i="1" s="1"/>
  <c r="Q875" i="1" s="1"/>
  <c r="T875" i="1" s="1"/>
  <c r="P167" i="1"/>
  <c r="S673" i="1"/>
  <c r="P674" i="1" s="1"/>
  <c r="R470" i="1"/>
  <c r="U470" i="1" s="1"/>
  <c r="Q471" i="1" s="1"/>
  <c r="T471" i="1" s="1"/>
  <c r="S470" i="1"/>
  <c r="R268" i="1"/>
  <c r="U268" i="1" s="1"/>
  <c r="Q269" i="1" s="1"/>
  <c r="T269" i="1" s="1"/>
  <c r="S268" i="1"/>
  <c r="E78" i="2"/>
  <c r="D78" i="2" s="1"/>
  <c r="F78" i="2" s="1"/>
  <c r="Q38" i="1"/>
  <c r="T38" i="1" s="1"/>
  <c r="R984" i="1" l="1"/>
  <c r="U984" i="1" s="1"/>
  <c r="Q985" i="1" s="1"/>
  <c r="T985" i="1" s="1"/>
  <c r="S984" i="1"/>
  <c r="P985" i="1" s="1"/>
  <c r="R777" i="1"/>
  <c r="U777" i="1" s="1"/>
  <c r="Q778" i="1" s="1"/>
  <c r="T778" i="1" s="1"/>
  <c r="S1085" i="1"/>
  <c r="R1085" i="1"/>
  <c r="U1085" i="1" s="1"/>
  <c r="Q1086" i="1" s="1"/>
  <c r="T1086" i="1" s="1"/>
  <c r="P370" i="1"/>
  <c r="P576" i="1"/>
  <c r="R576" i="1" s="1"/>
  <c r="U576" i="1" s="1"/>
  <c r="Q577" i="1" s="1"/>
  <c r="T577" i="1" s="1"/>
  <c r="P471" i="1"/>
  <c r="R471" i="1" s="1"/>
  <c r="U471" i="1" s="1"/>
  <c r="Q472" i="1" s="1"/>
  <c r="T472" i="1" s="1"/>
  <c r="P875" i="1"/>
  <c r="S167" i="1"/>
  <c r="R167" i="1"/>
  <c r="U167" i="1" s="1"/>
  <c r="Q168" i="1" s="1"/>
  <c r="T168" i="1" s="1"/>
  <c r="P269" i="1"/>
  <c r="S269" i="1" s="1"/>
  <c r="S674" i="1"/>
  <c r="R674" i="1"/>
  <c r="U674" i="1" s="1"/>
  <c r="Q675" i="1" s="1"/>
  <c r="T675" i="1" s="1"/>
  <c r="P778" i="1"/>
  <c r="E79" i="2"/>
  <c r="D79" i="2" s="1"/>
  <c r="F79" i="2" s="1"/>
  <c r="R38" i="1"/>
  <c r="U38" i="1" s="1"/>
  <c r="R985" i="1" l="1"/>
  <c r="U985" i="1" s="1"/>
  <c r="Q986" i="1" s="1"/>
  <c r="T986" i="1" s="1"/>
  <c r="S985" i="1"/>
  <c r="P986" i="1" s="1"/>
  <c r="S471" i="1"/>
  <c r="P1086" i="1"/>
  <c r="S576" i="1"/>
  <c r="S370" i="1"/>
  <c r="R370" i="1"/>
  <c r="U370" i="1" s="1"/>
  <c r="Q371" i="1" s="1"/>
  <c r="T371" i="1" s="1"/>
  <c r="R269" i="1"/>
  <c r="U269" i="1" s="1"/>
  <c r="Q270" i="1" s="1"/>
  <c r="T270" i="1" s="1"/>
  <c r="S875" i="1"/>
  <c r="R875" i="1"/>
  <c r="U875" i="1" s="1"/>
  <c r="Q876" i="1" s="1"/>
  <c r="T876" i="1" s="1"/>
  <c r="P168" i="1"/>
  <c r="P675" i="1"/>
  <c r="P472" i="1"/>
  <c r="R778" i="1"/>
  <c r="U778" i="1" s="1"/>
  <c r="Q779" i="1" s="1"/>
  <c r="T779" i="1" s="1"/>
  <c r="S778" i="1"/>
  <c r="P779" i="1" s="1"/>
  <c r="P577" i="1"/>
  <c r="S577" i="1" s="1"/>
  <c r="E80" i="2"/>
  <c r="D80" i="2" s="1"/>
  <c r="F80" i="2" s="1"/>
  <c r="P39" i="1"/>
  <c r="S39" i="1" s="1"/>
  <c r="S986" i="1" l="1"/>
  <c r="R986" i="1"/>
  <c r="U986" i="1" s="1"/>
  <c r="Q987" i="1" s="1"/>
  <c r="T987" i="1" s="1"/>
  <c r="P270" i="1"/>
  <c r="S1086" i="1"/>
  <c r="R1086" i="1"/>
  <c r="U1086" i="1" s="1"/>
  <c r="Q1087" i="1" s="1"/>
  <c r="T1087" i="1" s="1"/>
  <c r="P371" i="1"/>
  <c r="P876" i="1"/>
  <c r="R168" i="1"/>
  <c r="U168" i="1" s="1"/>
  <c r="Q169" i="1" s="1"/>
  <c r="T169" i="1" s="1"/>
  <c r="S168" i="1"/>
  <c r="R675" i="1"/>
  <c r="U675" i="1" s="1"/>
  <c r="Q676" i="1" s="1"/>
  <c r="T676" i="1" s="1"/>
  <c r="S675" i="1"/>
  <c r="R779" i="1"/>
  <c r="U779" i="1" s="1"/>
  <c r="Q780" i="1" s="1"/>
  <c r="T780" i="1" s="1"/>
  <c r="S779" i="1"/>
  <c r="R577" i="1"/>
  <c r="U577" i="1" s="1"/>
  <c r="Q578" i="1" s="1"/>
  <c r="T578" i="1" s="1"/>
  <c r="S472" i="1"/>
  <c r="R472" i="1"/>
  <c r="U472" i="1" s="1"/>
  <c r="Q473" i="1" s="1"/>
  <c r="T473" i="1" s="1"/>
  <c r="S270" i="1"/>
  <c r="R270" i="1"/>
  <c r="U270" i="1" s="1"/>
  <c r="Q271" i="1" s="1"/>
  <c r="T271" i="1" s="1"/>
  <c r="E81" i="2"/>
  <c r="D81" i="2" s="1"/>
  <c r="F81" i="2" s="1"/>
  <c r="Q39" i="1"/>
  <c r="T39" i="1" s="1"/>
  <c r="P169" i="1" l="1"/>
  <c r="P987" i="1"/>
  <c r="P1087" i="1"/>
  <c r="S371" i="1"/>
  <c r="R371" i="1"/>
  <c r="U371" i="1" s="1"/>
  <c r="Q372" i="1" s="1"/>
  <c r="T372" i="1" s="1"/>
  <c r="P676" i="1"/>
  <c r="S676" i="1" s="1"/>
  <c r="S876" i="1"/>
  <c r="R876" i="1"/>
  <c r="U876" i="1" s="1"/>
  <c r="Q877" i="1" s="1"/>
  <c r="T877" i="1" s="1"/>
  <c r="R169" i="1"/>
  <c r="U169" i="1" s="1"/>
  <c r="Q170" i="1" s="1"/>
  <c r="T170" i="1" s="1"/>
  <c r="S169" i="1"/>
  <c r="P473" i="1"/>
  <c r="P578" i="1"/>
  <c r="S578" i="1" s="1"/>
  <c r="P780" i="1"/>
  <c r="P271" i="1"/>
  <c r="S271" i="1" s="1"/>
  <c r="E82" i="2"/>
  <c r="D82" i="2" s="1"/>
  <c r="F82" i="2" s="1"/>
  <c r="R39" i="1"/>
  <c r="U39" i="1" s="1"/>
  <c r="R987" i="1" l="1"/>
  <c r="U987" i="1" s="1"/>
  <c r="Q988" i="1" s="1"/>
  <c r="T988" i="1" s="1"/>
  <c r="S987" i="1"/>
  <c r="P988" i="1" s="1"/>
  <c r="S1087" i="1"/>
  <c r="R1087" i="1"/>
  <c r="U1087" i="1" s="1"/>
  <c r="Q1088" i="1" s="1"/>
  <c r="T1088" i="1" s="1"/>
  <c r="R676" i="1"/>
  <c r="U676" i="1" s="1"/>
  <c r="Q677" i="1" s="1"/>
  <c r="T677" i="1" s="1"/>
  <c r="P372" i="1"/>
  <c r="P170" i="1"/>
  <c r="R170" i="1" s="1"/>
  <c r="U170" i="1" s="1"/>
  <c r="Q171" i="1" s="1"/>
  <c r="T171" i="1" s="1"/>
  <c r="P877" i="1"/>
  <c r="R271" i="1"/>
  <c r="U271" i="1" s="1"/>
  <c r="Q272" i="1" s="1"/>
  <c r="T272" i="1" s="1"/>
  <c r="R578" i="1"/>
  <c r="U578" i="1" s="1"/>
  <c r="Q579" i="1" s="1"/>
  <c r="T579" i="1" s="1"/>
  <c r="S780" i="1"/>
  <c r="R780" i="1"/>
  <c r="U780" i="1" s="1"/>
  <c r="Q781" i="1" s="1"/>
  <c r="T781" i="1" s="1"/>
  <c r="R473" i="1"/>
  <c r="U473" i="1" s="1"/>
  <c r="Q474" i="1" s="1"/>
  <c r="T474" i="1" s="1"/>
  <c r="S473" i="1"/>
  <c r="E83" i="2"/>
  <c r="D83" i="2" s="1"/>
  <c r="F83" i="2" s="1"/>
  <c r="P40" i="1"/>
  <c r="S40" i="1" s="1"/>
  <c r="P677" i="1" l="1"/>
  <c r="R988" i="1"/>
  <c r="U988" i="1" s="1"/>
  <c r="Q989" i="1" s="1"/>
  <c r="T989" i="1" s="1"/>
  <c r="S988" i="1"/>
  <c r="P989" i="1" s="1"/>
  <c r="S170" i="1"/>
  <c r="P171" i="1" s="1"/>
  <c r="R171" i="1" s="1"/>
  <c r="U171" i="1" s="1"/>
  <c r="Q172" i="1" s="1"/>
  <c r="T172" i="1" s="1"/>
  <c r="P1088" i="1"/>
  <c r="R372" i="1"/>
  <c r="U372" i="1" s="1"/>
  <c r="Q373" i="1" s="1"/>
  <c r="T373" i="1" s="1"/>
  <c r="S372" i="1"/>
  <c r="S171" i="1"/>
  <c r="P172" i="1" s="1"/>
  <c r="R877" i="1"/>
  <c r="U877" i="1" s="1"/>
  <c r="Q878" i="1" s="1"/>
  <c r="T878" i="1" s="1"/>
  <c r="S877" i="1"/>
  <c r="P878" i="1" s="1"/>
  <c r="P272" i="1"/>
  <c r="R677" i="1"/>
  <c r="U677" i="1" s="1"/>
  <c r="Q678" i="1" s="1"/>
  <c r="T678" i="1" s="1"/>
  <c r="S677" i="1"/>
  <c r="P579" i="1"/>
  <c r="P781" i="1"/>
  <c r="P474" i="1"/>
  <c r="E84" i="2"/>
  <c r="D84" i="2" s="1"/>
  <c r="F84" i="2" s="1"/>
  <c r="Q40" i="1"/>
  <c r="T40" i="1" s="1"/>
  <c r="S989" i="1" l="1"/>
  <c r="R989" i="1"/>
  <c r="U989" i="1" s="1"/>
  <c r="Q990" i="1" s="1"/>
  <c r="T990" i="1" s="1"/>
  <c r="R1088" i="1"/>
  <c r="U1088" i="1" s="1"/>
  <c r="Q1089" i="1" s="1"/>
  <c r="T1089" i="1" s="1"/>
  <c r="S1088" i="1"/>
  <c r="P1089" i="1" s="1"/>
  <c r="P373" i="1"/>
  <c r="R373" i="1" s="1"/>
  <c r="U373" i="1" s="1"/>
  <c r="Q374" i="1" s="1"/>
  <c r="T374" i="1" s="1"/>
  <c r="S373" i="1"/>
  <c r="R172" i="1"/>
  <c r="U172" i="1" s="1"/>
  <c r="Q173" i="1" s="1"/>
  <c r="T173" i="1" s="1"/>
  <c r="S172" i="1"/>
  <c r="S878" i="1"/>
  <c r="R878" i="1"/>
  <c r="U878" i="1" s="1"/>
  <c r="Q879" i="1" s="1"/>
  <c r="T879" i="1" s="1"/>
  <c r="R272" i="1"/>
  <c r="U272" i="1" s="1"/>
  <c r="Q273" i="1" s="1"/>
  <c r="T273" i="1" s="1"/>
  <c r="S272" i="1"/>
  <c r="S579" i="1"/>
  <c r="R579" i="1"/>
  <c r="U579" i="1" s="1"/>
  <c r="Q580" i="1" s="1"/>
  <c r="T580" i="1" s="1"/>
  <c r="P678" i="1"/>
  <c r="R474" i="1"/>
  <c r="U474" i="1" s="1"/>
  <c r="Q475" i="1" s="1"/>
  <c r="T475" i="1" s="1"/>
  <c r="S474" i="1"/>
  <c r="S781" i="1"/>
  <c r="R781" i="1"/>
  <c r="U781" i="1" s="1"/>
  <c r="Q782" i="1" s="1"/>
  <c r="T782" i="1" s="1"/>
  <c r="E85" i="2"/>
  <c r="D85" i="2" s="1"/>
  <c r="F85" i="2" s="1"/>
  <c r="R40" i="1"/>
  <c r="U40" i="1" s="1"/>
  <c r="P990" i="1" l="1"/>
  <c r="S1089" i="1"/>
  <c r="R1089" i="1"/>
  <c r="U1089" i="1" s="1"/>
  <c r="Q1090" i="1" s="1"/>
  <c r="T1090" i="1" s="1"/>
  <c r="P374" i="1"/>
  <c r="P173" i="1"/>
  <c r="P273" i="1"/>
  <c r="P879" i="1"/>
  <c r="P475" i="1"/>
  <c r="R475" i="1" s="1"/>
  <c r="U475" i="1" s="1"/>
  <c r="Q476" i="1" s="1"/>
  <c r="T476" i="1" s="1"/>
  <c r="S678" i="1"/>
  <c r="R678" i="1"/>
  <c r="U678" i="1" s="1"/>
  <c r="Q679" i="1" s="1"/>
  <c r="T679" i="1" s="1"/>
  <c r="P580" i="1"/>
  <c r="P782" i="1"/>
  <c r="S173" i="1"/>
  <c r="R173" i="1"/>
  <c r="U173" i="1" s="1"/>
  <c r="Q174" i="1" s="1"/>
  <c r="T174" i="1" s="1"/>
  <c r="E86" i="2"/>
  <c r="D86" i="2" s="1"/>
  <c r="F86" i="2" s="1"/>
  <c r="P41" i="1"/>
  <c r="S41" i="1" s="1"/>
  <c r="R990" i="1" l="1"/>
  <c r="U990" i="1" s="1"/>
  <c r="Q991" i="1" s="1"/>
  <c r="T991" i="1" s="1"/>
  <c r="S990" i="1"/>
  <c r="P991" i="1" s="1"/>
  <c r="P1090" i="1"/>
  <c r="R374" i="1"/>
  <c r="U374" i="1" s="1"/>
  <c r="Q375" i="1" s="1"/>
  <c r="T375" i="1" s="1"/>
  <c r="S374" i="1"/>
  <c r="R273" i="1"/>
  <c r="U273" i="1" s="1"/>
  <c r="Q274" i="1" s="1"/>
  <c r="T274" i="1" s="1"/>
  <c r="S273" i="1"/>
  <c r="P274" i="1" s="1"/>
  <c r="S274" i="1" s="1"/>
  <c r="S879" i="1"/>
  <c r="R879" i="1"/>
  <c r="U879" i="1" s="1"/>
  <c r="Q880" i="1" s="1"/>
  <c r="T880" i="1" s="1"/>
  <c r="S475" i="1"/>
  <c r="P476" i="1" s="1"/>
  <c r="R580" i="1"/>
  <c r="U580" i="1" s="1"/>
  <c r="Q581" i="1" s="1"/>
  <c r="T581" i="1" s="1"/>
  <c r="S580" i="1"/>
  <c r="P679" i="1"/>
  <c r="R991" i="1"/>
  <c r="U991" i="1" s="1"/>
  <c r="Q992" i="1" s="1"/>
  <c r="T992" i="1" s="1"/>
  <c r="S991" i="1"/>
  <c r="S782" i="1"/>
  <c r="R782" i="1"/>
  <c r="U782" i="1" s="1"/>
  <c r="Q783" i="1" s="1"/>
  <c r="T783" i="1" s="1"/>
  <c r="P174" i="1"/>
  <c r="E87" i="2"/>
  <c r="D87" i="2" s="1"/>
  <c r="F87" i="2" s="1"/>
  <c r="Q41" i="1"/>
  <c r="T41" i="1" s="1"/>
  <c r="P375" i="1" l="1"/>
  <c r="R1090" i="1"/>
  <c r="U1090" i="1" s="1"/>
  <c r="Q1091" i="1" s="1"/>
  <c r="T1091" i="1" s="1"/>
  <c r="S1090" i="1"/>
  <c r="P1091" i="1" s="1"/>
  <c r="R274" i="1"/>
  <c r="U274" i="1" s="1"/>
  <c r="Q275" i="1" s="1"/>
  <c r="T275" i="1" s="1"/>
  <c r="R375" i="1"/>
  <c r="U375" i="1" s="1"/>
  <c r="Q376" i="1" s="1"/>
  <c r="T376" i="1" s="1"/>
  <c r="S375" i="1"/>
  <c r="P376" i="1" s="1"/>
  <c r="P880" i="1"/>
  <c r="P992" i="1"/>
  <c r="S992" i="1" s="1"/>
  <c r="P581" i="1"/>
  <c r="S581" i="1" s="1"/>
  <c r="R679" i="1"/>
  <c r="U679" i="1" s="1"/>
  <c r="Q680" i="1" s="1"/>
  <c r="T680" i="1" s="1"/>
  <c r="S679" i="1"/>
  <c r="R476" i="1"/>
  <c r="U476" i="1" s="1"/>
  <c r="Q477" i="1" s="1"/>
  <c r="T477" i="1" s="1"/>
  <c r="S476" i="1"/>
  <c r="P783" i="1"/>
  <c r="S174" i="1"/>
  <c r="R174" i="1"/>
  <c r="U174" i="1" s="1"/>
  <c r="Q175" i="1" s="1"/>
  <c r="T175" i="1" s="1"/>
  <c r="E88" i="2"/>
  <c r="D88" i="2" s="1"/>
  <c r="F88" i="2" s="1"/>
  <c r="R41" i="1"/>
  <c r="U41" i="1" s="1"/>
  <c r="R1091" i="1" l="1"/>
  <c r="U1091" i="1" s="1"/>
  <c r="Q1092" i="1" s="1"/>
  <c r="T1092" i="1" s="1"/>
  <c r="S1091" i="1"/>
  <c r="P1092" i="1" s="1"/>
  <c r="P275" i="1"/>
  <c r="S376" i="1"/>
  <c r="R376" i="1"/>
  <c r="U376" i="1" s="1"/>
  <c r="Q377" i="1" s="1"/>
  <c r="T377" i="1" s="1"/>
  <c r="P680" i="1"/>
  <c r="S680" i="1" s="1"/>
  <c r="S880" i="1"/>
  <c r="R880" i="1"/>
  <c r="U880" i="1" s="1"/>
  <c r="Q881" i="1" s="1"/>
  <c r="T881" i="1" s="1"/>
  <c r="P477" i="1"/>
  <c r="R477" i="1" s="1"/>
  <c r="U477" i="1" s="1"/>
  <c r="Q478" i="1" s="1"/>
  <c r="T478" i="1" s="1"/>
  <c r="R581" i="1"/>
  <c r="U581" i="1" s="1"/>
  <c r="Q582" i="1" s="1"/>
  <c r="T582" i="1" s="1"/>
  <c r="R992" i="1"/>
  <c r="U992" i="1" s="1"/>
  <c r="Q993" i="1" s="1"/>
  <c r="T993" i="1" s="1"/>
  <c r="P175" i="1"/>
  <c r="S175" i="1" s="1"/>
  <c r="R783" i="1"/>
  <c r="U783" i="1" s="1"/>
  <c r="Q784" i="1" s="1"/>
  <c r="T784" i="1" s="1"/>
  <c r="S783" i="1"/>
  <c r="E89" i="2"/>
  <c r="D89" i="2" s="1"/>
  <c r="F89" i="2" s="1"/>
  <c r="P42" i="1"/>
  <c r="S42" i="1" s="1"/>
  <c r="R680" i="1" l="1"/>
  <c r="U680" i="1" s="1"/>
  <c r="Q681" i="1" s="1"/>
  <c r="T681" i="1" s="1"/>
  <c r="S275" i="1"/>
  <c r="R275" i="1"/>
  <c r="U275" i="1" s="1"/>
  <c r="Q276" i="1" s="1"/>
  <c r="T276" i="1" s="1"/>
  <c r="S1092" i="1"/>
  <c r="R1092" i="1"/>
  <c r="U1092" i="1" s="1"/>
  <c r="Q1093" i="1" s="1"/>
  <c r="T1093" i="1" s="1"/>
  <c r="P377" i="1"/>
  <c r="S477" i="1"/>
  <c r="P478" i="1" s="1"/>
  <c r="P784" i="1"/>
  <c r="S784" i="1" s="1"/>
  <c r="P881" i="1"/>
  <c r="P582" i="1"/>
  <c r="P993" i="1"/>
  <c r="S993" i="1" s="1"/>
  <c r="P681" i="1"/>
  <c r="R175" i="1"/>
  <c r="U175" i="1" s="1"/>
  <c r="Q176" i="1" s="1"/>
  <c r="T176" i="1" s="1"/>
  <c r="E90" i="2"/>
  <c r="D90" i="2" s="1"/>
  <c r="F90" i="2" s="1"/>
  <c r="Q42" i="1"/>
  <c r="T42" i="1" s="1"/>
  <c r="P1093" i="1" l="1"/>
  <c r="P276" i="1"/>
  <c r="R784" i="1"/>
  <c r="U784" i="1" s="1"/>
  <c r="Q785" i="1" s="1"/>
  <c r="T785" i="1" s="1"/>
  <c r="S377" i="1"/>
  <c r="R377" i="1"/>
  <c r="U377" i="1" s="1"/>
  <c r="Q378" i="1" s="1"/>
  <c r="T378" i="1" s="1"/>
  <c r="R993" i="1"/>
  <c r="U993" i="1" s="1"/>
  <c r="Q994" i="1" s="1"/>
  <c r="T994" i="1" s="1"/>
  <c r="S881" i="1"/>
  <c r="R881" i="1"/>
  <c r="U881" i="1" s="1"/>
  <c r="Q882" i="1" s="1"/>
  <c r="T882" i="1" s="1"/>
  <c r="P176" i="1"/>
  <c r="R176" i="1" s="1"/>
  <c r="U176" i="1" s="1"/>
  <c r="Q177" i="1" s="1"/>
  <c r="T177" i="1" s="1"/>
  <c r="S582" i="1"/>
  <c r="R582" i="1"/>
  <c r="U582" i="1" s="1"/>
  <c r="Q583" i="1" s="1"/>
  <c r="T583" i="1" s="1"/>
  <c r="R681" i="1"/>
  <c r="U681" i="1" s="1"/>
  <c r="Q682" i="1" s="1"/>
  <c r="T682" i="1" s="1"/>
  <c r="S681" i="1"/>
  <c r="R478" i="1"/>
  <c r="U478" i="1" s="1"/>
  <c r="Q479" i="1" s="1"/>
  <c r="T479" i="1" s="1"/>
  <c r="S478" i="1"/>
  <c r="E91" i="2"/>
  <c r="D91" i="2" s="1"/>
  <c r="F91" i="2" s="1"/>
  <c r="R42" i="1"/>
  <c r="U42" i="1" s="1"/>
  <c r="S276" i="1" l="1"/>
  <c r="R276" i="1"/>
  <c r="U276" i="1" s="1"/>
  <c r="Q277" i="1" s="1"/>
  <c r="T277" i="1" s="1"/>
  <c r="P785" i="1"/>
  <c r="R785" i="1" s="1"/>
  <c r="U785" i="1" s="1"/>
  <c r="Q786" i="1" s="1"/>
  <c r="T786" i="1" s="1"/>
  <c r="S1093" i="1"/>
  <c r="R1093" i="1"/>
  <c r="U1093" i="1" s="1"/>
  <c r="Q1094" i="1" s="1"/>
  <c r="T1094" i="1" s="1"/>
  <c r="P994" i="1"/>
  <c r="S994" i="1" s="1"/>
  <c r="P378" i="1"/>
  <c r="S176" i="1"/>
  <c r="P177" i="1" s="1"/>
  <c r="R177" i="1" s="1"/>
  <c r="U177" i="1" s="1"/>
  <c r="Q178" i="1" s="1"/>
  <c r="T178" i="1" s="1"/>
  <c r="P682" i="1"/>
  <c r="S682" i="1" s="1"/>
  <c r="P882" i="1"/>
  <c r="P583" i="1"/>
  <c r="P479" i="1"/>
  <c r="E92" i="2"/>
  <c r="D92" i="2" s="1"/>
  <c r="F92" i="2" s="1"/>
  <c r="P43" i="1"/>
  <c r="S43" i="1" s="1"/>
  <c r="R994" i="1" l="1"/>
  <c r="U994" i="1" s="1"/>
  <c r="Q995" i="1" s="1"/>
  <c r="T995" i="1" s="1"/>
  <c r="S785" i="1"/>
  <c r="P1094" i="1"/>
  <c r="P277" i="1"/>
  <c r="R378" i="1"/>
  <c r="U378" i="1" s="1"/>
  <c r="Q379" i="1" s="1"/>
  <c r="T379" i="1" s="1"/>
  <c r="S378" i="1"/>
  <c r="S177" i="1"/>
  <c r="P178" i="1" s="1"/>
  <c r="R178" i="1" s="1"/>
  <c r="U178" i="1" s="1"/>
  <c r="Q179" i="1" s="1"/>
  <c r="T179" i="1" s="1"/>
  <c r="R682" i="1"/>
  <c r="U682" i="1" s="1"/>
  <c r="Q683" i="1" s="1"/>
  <c r="T683" i="1" s="1"/>
  <c r="R882" i="1"/>
  <c r="U882" i="1" s="1"/>
  <c r="Q883" i="1" s="1"/>
  <c r="T883" i="1" s="1"/>
  <c r="S882" i="1"/>
  <c r="R583" i="1"/>
  <c r="U583" i="1" s="1"/>
  <c r="Q584" i="1" s="1"/>
  <c r="T584" i="1" s="1"/>
  <c r="S583" i="1"/>
  <c r="P786" i="1"/>
  <c r="S786" i="1" s="1"/>
  <c r="P995" i="1"/>
  <c r="S479" i="1"/>
  <c r="R479" i="1"/>
  <c r="U479" i="1" s="1"/>
  <c r="Q480" i="1" s="1"/>
  <c r="T480" i="1" s="1"/>
  <c r="E93" i="2"/>
  <c r="D93" i="2" s="1"/>
  <c r="F93" i="2" s="1"/>
  <c r="Q43" i="1"/>
  <c r="T43" i="1" s="1"/>
  <c r="R277" i="1" l="1"/>
  <c r="U277" i="1" s="1"/>
  <c r="Q278" i="1" s="1"/>
  <c r="T278" i="1" s="1"/>
  <c r="S277" i="1"/>
  <c r="P278" i="1" s="1"/>
  <c r="R1094" i="1"/>
  <c r="U1094" i="1" s="1"/>
  <c r="Q1095" i="1" s="1"/>
  <c r="T1095" i="1" s="1"/>
  <c r="S1094" i="1"/>
  <c r="P1095" i="1" s="1"/>
  <c r="P379" i="1"/>
  <c r="S379" i="1" s="1"/>
  <c r="R379" i="1"/>
  <c r="U379" i="1" s="1"/>
  <c r="P683" i="1"/>
  <c r="S683" i="1" s="1"/>
  <c r="R786" i="1"/>
  <c r="U786" i="1" s="1"/>
  <c r="Q787" i="1" s="1"/>
  <c r="T787" i="1" s="1"/>
  <c r="S178" i="1"/>
  <c r="P179" i="1" s="1"/>
  <c r="P584" i="1"/>
  <c r="R584" i="1" s="1"/>
  <c r="U584" i="1" s="1"/>
  <c r="Q585" i="1" s="1"/>
  <c r="T585" i="1" s="1"/>
  <c r="P883" i="1"/>
  <c r="R883" i="1" s="1"/>
  <c r="U883" i="1" s="1"/>
  <c r="Q884" i="1" s="1"/>
  <c r="T884" i="1" s="1"/>
  <c r="P480" i="1"/>
  <c r="R995" i="1"/>
  <c r="U995" i="1" s="1"/>
  <c r="Q996" i="1" s="1"/>
  <c r="T996" i="1" s="1"/>
  <c r="S995" i="1"/>
  <c r="E94" i="2"/>
  <c r="D94" i="2" s="1"/>
  <c r="F94" i="2" s="1"/>
  <c r="R43" i="1"/>
  <c r="U43" i="1" s="1"/>
  <c r="P787" i="1" l="1"/>
  <c r="S278" i="1"/>
  <c r="R278" i="1"/>
  <c r="U278" i="1" s="1"/>
  <c r="Q279" i="1" s="1"/>
  <c r="T279" i="1" s="1"/>
  <c r="R683" i="1"/>
  <c r="U683" i="1" s="1"/>
  <c r="Q684" i="1" s="1"/>
  <c r="T684" i="1" s="1"/>
  <c r="S1095" i="1"/>
  <c r="R1095" i="1"/>
  <c r="U1095" i="1" s="1"/>
  <c r="Q1096" i="1" s="1"/>
  <c r="T1096" i="1" s="1"/>
  <c r="Q380" i="1"/>
  <c r="T380" i="1" s="1"/>
  <c r="P380" i="1"/>
  <c r="S584" i="1"/>
  <c r="P585" i="1" s="1"/>
  <c r="R585" i="1" s="1"/>
  <c r="U585" i="1" s="1"/>
  <c r="Q586" i="1" s="1"/>
  <c r="T586" i="1" s="1"/>
  <c r="S883" i="1"/>
  <c r="P884" i="1" s="1"/>
  <c r="S884" i="1" s="1"/>
  <c r="P996" i="1"/>
  <c r="R996" i="1" s="1"/>
  <c r="U996" i="1" s="1"/>
  <c r="Q997" i="1" s="1"/>
  <c r="T997" i="1" s="1"/>
  <c r="R787" i="1"/>
  <c r="U787" i="1" s="1"/>
  <c r="Q788" i="1" s="1"/>
  <c r="T788" i="1" s="1"/>
  <c r="S787" i="1"/>
  <c r="S480" i="1"/>
  <c r="R480" i="1"/>
  <c r="U480" i="1" s="1"/>
  <c r="Q481" i="1" s="1"/>
  <c r="T481" i="1" s="1"/>
  <c r="R179" i="1"/>
  <c r="U179" i="1" s="1"/>
  <c r="Q180" i="1" s="1"/>
  <c r="T180" i="1" s="1"/>
  <c r="S179" i="1"/>
  <c r="E95" i="2"/>
  <c r="D95" i="2" s="1"/>
  <c r="F95" i="2" s="1"/>
  <c r="P44" i="1"/>
  <c r="S44" i="1" s="1"/>
  <c r="P684" i="1" l="1"/>
  <c r="S684" i="1" s="1"/>
  <c r="P279" i="1"/>
  <c r="P1096" i="1"/>
  <c r="R380" i="1"/>
  <c r="U380" i="1" s="1"/>
  <c r="Q381" i="1" s="1"/>
  <c r="T381" i="1" s="1"/>
  <c r="S380" i="1"/>
  <c r="R684" i="1"/>
  <c r="U684" i="1" s="1"/>
  <c r="Q685" i="1" s="1"/>
  <c r="T685" i="1" s="1"/>
  <c r="S585" i="1"/>
  <c r="P586" i="1" s="1"/>
  <c r="S586" i="1" s="1"/>
  <c r="R884" i="1"/>
  <c r="U884" i="1" s="1"/>
  <c r="Q885" i="1" s="1"/>
  <c r="T885" i="1" s="1"/>
  <c r="S996" i="1"/>
  <c r="P997" i="1" s="1"/>
  <c r="S997" i="1" s="1"/>
  <c r="P788" i="1"/>
  <c r="R788" i="1" s="1"/>
  <c r="U788" i="1" s="1"/>
  <c r="Q789" i="1" s="1"/>
  <c r="T789" i="1" s="1"/>
  <c r="P481" i="1"/>
  <c r="S788" i="1"/>
  <c r="P180" i="1"/>
  <c r="R180" i="1" s="1"/>
  <c r="U180" i="1" s="1"/>
  <c r="Q181" i="1" s="1"/>
  <c r="T181" i="1" s="1"/>
  <c r="E96" i="2"/>
  <c r="D96" i="2" s="1"/>
  <c r="F96" i="2" s="1"/>
  <c r="Q44" i="1"/>
  <c r="T44" i="1" s="1"/>
  <c r="S1096" i="1" l="1"/>
  <c r="R1096" i="1"/>
  <c r="U1096" i="1" s="1"/>
  <c r="Q1097" i="1" s="1"/>
  <c r="T1097" i="1" s="1"/>
  <c r="R279" i="1"/>
  <c r="U279" i="1" s="1"/>
  <c r="Q280" i="1" s="1"/>
  <c r="T280" i="1" s="1"/>
  <c r="S279" i="1"/>
  <c r="P280" i="1" s="1"/>
  <c r="P381" i="1"/>
  <c r="S381" i="1" s="1"/>
  <c r="P685" i="1"/>
  <c r="R685" i="1" s="1"/>
  <c r="U685" i="1" s="1"/>
  <c r="Q686" i="1" s="1"/>
  <c r="T686" i="1" s="1"/>
  <c r="P885" i="1"/>
  <c r="S885" i="1" s="1"/>
  <c r="R381" i="1"/>
  <c r="U381" i="1" s="1"/>
  <c r="Q382" i="1" s="1"/>
  <c r="T382" i="1" s="1"/>
  <c r="R586" i="1"/>
  <c r="U586" i="1" s="1"/>
  <c r="Q587" i="1" s="1"/>
  <c r="T587" i="1" s="1"/>
  <c r="S180" i="1"/>
  <c r="P181" i="1" s="1"/>
  <c r="R181" i="1" s="1"/>
  <c r="U181" i="1" s="1"/>
  <c r="Q182" i="1" s="1"/>
  <c r="T182" i="1" s="1"/>
  <c r="P587" i="1"/>
  <c r="R997" i="1"/>
  <c r="U997" i="1" s="1"/>
  <c r="Q998" i="1" s="1"/>
  <c r="T998" i="1" s="1"/>
  <c r="P789" i="1"/>
  <c r="R481" i="1"/>
  <c r="U481" i="1" s="1"/>
  <c r="Q482" i="1" s="1"/>
  <c r="T482" i="1" s="1"/>
  <c r="S481" i="1"/>
  <c r="E97" i="2"/>
  <c r="D97" i="2" s="1"/>
  <c r="F97" i="2" s="1"/>
  <c r="R44" i="1"/>
  <c r="U44" i="1" s="1"/>
  <c r="P382" i="1" l="1"/>
  <c r="S382" i="1" s="1"/>
  <c r="R885" i="1"/>
  <c r="U885" i="1" s="1"/>
  <c r="Q886" i="1" s="1"/>
  <c r="T886" i="1" s="1"/>
  <c r="S685" i="1"/>
  <c r="P686" i="1" s="1"/>
  <c r="S686" i="1" s="1"/>
  <c r="S280" i="1"/>
  <c r="R280" i="1"/>
  <c r="U280" i="1" s="1"/>
  <c r="Q281" i="1" s="1"/>
  <c r="T281" i="1" s="1"/>
  <c r="P1097" i="1"/>
  <c r="R382" i="1"/>
  <c r="U382" i="1" s="1"/>
  <c r="Q383" i="1" s="1"/>
  <c r="T383" i="1" s="1"/>
  <c r="P886" i="1"/>
  <c r="S886" i="1" s="1"/>
  <c r="S587" i="1"/>
  <c r="R587" i="1"/>
  <c r="U587" i="1" s="1"/>
  <c r="Q588" i="1" s="1"/>
  <c r="T588" i="1" s="1"/>
  <c r="P998" i="1"/>
  <c r="P482" i="1"/>
  <c r="R482" i="1" s="1"/>
  <c r="U482" i="1" s="1"/>
  <c r="Q483" i="1" s="1"/>
  <c r="T483" i="1" s="1"/>
  <c r="S181" i="1"/>
  <c r="P182" i="1" s="1"/>
  <c r="R789" i="1"/>
  <c r="U789" i="1" s="1"/>
  <c r="Q790" i="1" s="1"/>
  <c r="T790" i="1" s="1"/>
  <c r="S789" i="1"/>
  <c r="E98" i="2"/>
  <c r="D98" i="2" s="1"/>
  <c r="F98" i="2" s="1"/>
  <c r="P45" i="1"/>
  <c r="S45" i="1" s="1"/>
  <c r="P281" i="1" l="1"/>
  <c r="R686" i="1"/>
  <c r="U686" i="1" s="1"/>
  <c r="S1097" i="1"/>
  <c r="R1097" i="1"/>
  <c r="U1097" i="1" s="1"/>
  <c r="Q1098" i="1" s="1"/>
  <c r="T1098" i="1" s="1"/>
  <c r="R886" i="1"/>
  <c r="U886" i="1" s="1"/>
  <c r="Q887" i="1" s="1"/>
  <c r="T887" i="1" s="1"/>
  <c r="R281" i="1"/>
  <c r="U281" i="1" s="1"/>
  <c r="Q282" i="1" s="1"/>
  <c r="T282" i="1" s="1"/>
  <c r="S281" i="1"/>
  <c r="P282" i="1" s="1"/>
  <c r="P887" i="1"/>
  <c r="S887" i="1" s="1"/>
  <c r="P383" i="1"/>
  <c r="S482" i="1"/>
  <c r="P483" i="1" s="1"/>
  <c r="R483" i="1" s="1"/>
  <c r="U483" i="1" s="1"/>
  <c r="Q484" i="1" s="1"/>
  <c r="T484" i="1" s="1"/>
  <c r="S998" i="1"/>
  <c r="R998" i="1"/>
  <c r="U998" i="1" s="1"/>
  <c r="Q999" i="1" s="1"/>
  <c r="T999" i="1" s="1"/>
  <c r="P790" i="1"/>
  <c r="S790" i="1" s="1"/>
  <c r="P588" i="1"/>
  <c r="S182" i="1"/>
  <c r="R182" i="1"/>
  <c r="U182" i="1" s="1"/>
  <c r="Q183" i="1" s="1"/>
  <c r="T183" i="1" s="1"/>
  <c r="E99" i="2"/>
  <c r="D99" i="2" s="1"/>
  <c r="F99" i="2" s="1"/>
  <c r="Q45" i="1"/>
  <c r="T45" i="1" s="1"/>
  <c r="Q687" i="1" l="1"/>
  <c r="T687" i="1" s="1"/>
  <c r="P687" i="1"/>
  <c r="S483" i="1"/>
  <c r="P484" i="1" s="1"/>
  <c r="R887" i="1"/>
  <c r="U887" i="1" s="1"/>
  <c r="Q888" i="1" s="1"/>
  <c r="T888" i="1" s="1"/>
  <c r="S282" i="1"/>
  <c r="R282" i="1"/>
  <c r="U282" i="1" s="1"/>
  <c r="Q283" i="1" s="1"/>
  <c r="T283" i="1" s="1"/>
  <c r="P1098" i="1"/>
  <c r="R383" i="1"/>
  <c r="U383" i="1" s="1"/>
  <c r="Q384" i="1" s="1"/>
  <c r="T384" i="1" s="1"/>
  <c r="S383" i="1"/>
  <c r="R790" i="1"/>
  <c r="U790" i="1" s="1"/>
  <c r="Q791" i="1" s="1"/>
  <c r="T791" i="1" s="1"/>
  <c r="S588" i="1"/>
  <c r="R588" i="1"/>
  <c r="U588" i="1" s="1"/>
  <c r="Q589" i="1" s="1"/>
  <c r="T589" i="1" s="1"/>
  <c r="P999" i="1"/>
  <c r="P183" i="1"/>
  <c r="E100" i="2"/>
  <c r="D100" i="2" s="1"/>
  <c r="F100" i="2" s="1"/>
  <c r="R45" i="1"/>
  <c r="U45" i="1" s="1"/>
  <c r="S687" i="1" l="1"/>
  <c r="R687" i="1"/>
  <c r="U687" i="1" s="1"/>
  <c r="Q688" i="1" s="1"/>
  <c r="T688" i="1" s="1"/>
  <c r="R1098" i="1"/>
  <c r="U1098" i="1" s="1"/>
  <c r="Q1099" i="1" s="1"/>
  <c r="T1099" i="1" s="1"/>
  <c r="S1098" i="1"/>
  <c r="P1099" i="1" s="1"/>
  <c r="P283" i="1"/>
  <c r="P888" i="1"/>
  <c r="P384" i="1"/>
  <c r="P791" i="1"/>
  <c r="R791" i="1" s="1"/>
  <c r="U791" i="1" s="1"/>
  <c r="Q792" i="1" s="1"/>
  <c r="T792" i="1" s="1"/>
  <c r="S999" i="1"/>
  <c r="R999" i="1"/>
  <c r="U999" i="1" s="1"/>
  <c r="Q1000" i="1" s="1"/>
  <c r="T1000" i="1" s="1"/>
  <c r="P589" i="1"/>
  <c r="R484" i="1"/>
  <c r="U484" i="1" s="1"/>
  <c r="Q485" i="1" s="1"/>
  <c r="T485" i="1" s="1"/>
  <c r="S484" i="1"/>
  <c r="R183" i="1"/>
  <c r="U183" i="1" s="1"/>
  <c r="Q184" i="1" s="1"/>
  <c r="T184" i="1" s="1"/>
  <c r="S183" i="1"/>
  <c r="E101" i="2"/>
  <c r="D101" i="2" s="1"/>
  <c r="F101" i="2" s="1"/>
  <c r="P46" i="1"/>
  <c r="S46" i="1" s="1"/>
  <c r="P688" i="1" l="1"/>
  <c r="S888" i="1"/>
  <c r="R888" i="1"/>
  <c r="U888" i="1" s="1"/>
  <c r="Q889" i="1" s="1"/>
  <c r="T889" i="1" s="1"/>
  <c r="R283" i="1"/>
  <c r="U283" i="1" s="1"/>
  <c r="Q284" i="1" s="1"/>
  <c r="T284" i="1" s="1"/>
  <c r="S283" i="1"/>
  <c r="P284" i="1" s="1"/>
  <c r="R1099" i="1"/>
  <c r="U1099" i="1" s="1"/>
  <c r="Q1100" i="1" s="1"/>
  <c r="T1100" i="1" s="1"/>
  <c r="S1099" i="1"/>
  <c r="P1100" i="1" s="1"/>
  <c r="S791" i="1"/>
  <c r="P792" i="1" s="1"/>
  <c r="R384" i="1"/>
  <c r="U384" i="1" s="1"/>
  <c r="Q385" i="1" s="1"/>
  <c r="T385" i="1" s="1"/>
  <c r="S384" i="1"/>
  <c r="P1000" i="1"/>
  <c r="S1000" i="1" s="1"/>
  <c r="S589" i="1"/>
  <c r="R589" i="1"/>
  <c r="U589" i="1" s="1"/>
  <c r="Q590" i="1" s="1"/>
  <c r="T590" i="1" s="1"/>
  <c r="P485" i="1"/>
  <c r="S485" i="1" s="1"/>
  <c r="R485" i="1"/>
  <c r="U485" i="1" s="1"/>
  <c r="Q486" i="1" s="1"/>
  <c r="T486" i="1" s="1"/>
  <c r="P184" i="1"/>
  <c r="R184" i="1" s="1"/>
  <c r="U184" i="1" s="1"/>
  <c r="Q185" i="1" s="1"/>
  <c r="T185" i="1" s="1"/>
  <c r="E102" i="2"/>
  <c r="D102" i="2" s="1"/>
  <c r="F102" i="2" s="1"/>
  <c r="Q46" i="1"/>
  <c r="T46" i="1" s="1"/>
  <c r="S688" i="1" l="1"/>
  <c r="R688" i="1"/>
  <c r="U688" i="1" s="1"/>
  <c r="Q689" i="1" s="1"/>
  <c r="T689" i="1" s="1"/>
  <c r="S284" i="1"/>
  <c r="R284" i="1"/>
  <c r="U284" i="1" s="1"/>
  <c r="Q285" i="1" s="1"/>
  <c r="T285" i="1" s="1"/>
  <c r="S792" i="1"/>
  <c r="R792" i="1"/>
  <c r="U792" i="1" s="1"/>
  <c r="Q793" i="1" s="1"/>
  <c r="T793" i="1" s="1"/>
  <c r="R1100" i="1"/>
  <c r="U1100" i="1" s="1"/>
  <c r="Q1101" i="1" s="1"/>
  <c r="T1101" i="1" s="1"/>
  <c r="S1100" i="1"/>
  <c r="P1101" i="1" s="1"/>
  <c r="P385" i="1"/>
  <c r="S385" i="1" s="1"/>
  <c r="P889" i="1"/>
  <c r="R1000" i="1"/>
  <c r="U1000" i="1" s="1"/>
  <c r="Q1001" i="1" s="1"/>
  <c r="T1001" i="1" s="1"/>
  <c r="S184" i="1"/>
  <c r="P185" i="1" s="1"/>
  <c r="P1001" i="1"/>
  <c r="R1001" i="1" s="1"/>
  <c r="U1001" i="1" s="1"/>
  <c r="Q1002" i="1" s="1"/>
  <c r="T1002" i="1" s="1"/>
  <c r="P590" i="1"/>
  <c r="P486" i="1"/>
  <c r="E103" i="2"/>
  <c r="D103" i="2" s="1"/>
  <c r="F103" i="2" s="1"/>
  <c r="R46" i="1"/>
  <c r="U46" i="1" s="1"/>
  <c r="P689" i="1" l="1"/>
  <c r="R889" i="1"/>
  <c r="U889" i="1" s="1"/>
  <c r="Q890" i="1" s="1"/>
  <c r="T890" i="1" s="1"/>
  <c r="S889" i="1"/>
  <c r="S1101" i="1"/>
  <c r="R1101" i="1"/>
  <c r="U1101" i="1" s="1"/>
  <c r="Q1102" i="1" s="1"/>
  <c r="T1102" i="1" s="1"/>
  <c r="P793" i="1"/>
  <c r="R385" i="1"/>
  <c r="U385" i="1" s="1"/>
  <c r="Q386" i="1" s="1"/>
  <c r="T386" i="1" s="1"/>
  <c r="P285" i="1"/>
  <c r="S1001" i="1"/>
  <c r="P1002" i="1" s="1"/>
  <c r="S185" i="1"/>
  <c r="R185" i="1"/>
  <c r="U185" i="1" s="1"/>
  <c r="Q186" i="1" s="1"/>
  <c r="T186" i="1" s="1"/>
  <c r="S590" i="1"/>
  <c r="R590" i="1"/>
  <c r="U590" i="1" s="1"/>
  <c r="Q591" i="1" s="1"/>
  <c r="T591" i="1" s="1"/>
  <c r="R486" i="1"/>
  <c r="U486" i="1" s="1"/>
  <c r="Q487" i="1" s="1"/>
  <c r="T487" i="1" s="1"/>
  <c r="S486" i="1"/>
  <c r="E104" i="2"/>
  <c r="D104" i="2" s="1"/>
  <c r="F104" i="2" s="1"/>
  <c r="P47" i="1"/>
  <c r="S47" i="1" s="1"/>
  <c r="P890" i="1" l="1"/>
  <c r="R890" i="1" s="1"/>
  <c r="U890" i="1" s="1"/>
  <c r="Q891" i="1" s="1"/>
  <c r="T891" i="1" s="1"/>
  <c r="S689" i="1"/>
  <c r="R689" i="1"/>
  <c r="U689" i="1" s="1"/>
  <c r="Q690" i="1" s="1"/>
  <c r="T690" i="1" s="1"/>
  <c r="R285" i="1"/>
  <c r="U285" i="1" s="1"/>
  <c r="Q286" i="1" s="1"/>
  <c r="T286" i="1" s="1"/>
  <c r="S285" i="1"/>
  <c r="P286" i="1" s="1"/>
  <c r="R793" i="1"/>
  <c r="U793" i="1" s="1"/>
  <c r="Q794" i="1" s="1"/>
  <c r="T794" i="1" s="1"/>
  <c r="S793" i="1"/>
  <c r="P794" i="1" s="1"/>
  <c r="S794" i="1" s="1"/>
  <c r="P1102" i="1"/>
  <c r="S890" i="1"/>
  <c r="P891" i="1" s="1"/>
  <c r="P386" i="1"/>
  <c r="P186" i="1"/>
  <c r="R186" i="1" s="1"/>
  <c r="U186" i="1" s="1"/>
  <c r="Q187" i="1" s="1"/>
  <c r="T187" i="1" s="1"/>
  <c r="S186" i="1"/>
  <c r="P187" i="1" s="1"/>
  <c r="P591" i="1"/>
  <c r="S1002" i="1"/>
  <c r="R1002" i="1"/>
  <c r="U1002" i="1" s="1"/>
  <c r="Q1003" i="1" s="1"/>
  <c r="T1003" i="1" s="1"/>
  <c r="P487" i="1"/>
  <c r="S487" i="1" s="1"/>
  <c r="E105" i="2"/>
  <c r="D105" i="2" s="1"/>
  <c r="F105" i="2" s="1"/>
  <c r="Q47" i="1"/>
  <c r="T47" i="1" s="1"/>
  <c r="S891" i="1" l="1"/>
  <c r="R891" i="1"/>
  <c r="U891" i="1" s="1"/>
  <c r="Q892" i="1" s="1"/>
  <c r="T892" i="1" s="1"/>
  <c r="R794" i="1"/>
  <c r="U794" i="1" s="1"/>
  <c r="Q795" i="1" s="1"/>
  <c r="T795" i="1" s="1"/>
  <c r="P690" i="1"/>
  <c r="S386" i="1"/>
  <c r="R386" i="1"/>
  <c r="U386" i="1" s="1"/>
  <c r="Q387" i="1" s="1"/>
  <c r="T387" i="1" s="1"/>
  <c r="S1102" i="1"/>
  <c r="R1102" i="1"/>
  <c r="U1102" i="1" s="1"/>
  <c r="Q1103" i="1" s="1"/>
  <c r="T1103" i="1" s="1"/>
  <c r="R286" i="1"/>
  <c r="U286" i="1" s="1"/>
  <c r="Q287" i="1" s="1"/>
  <c r="T287" i="1" s="1"/>
  <c r="S286" i="1"/>
  <c r="P892" i="1"/>
  <c r="R892" i="1" s="1"/>
  <c r="U892" i="1" s="1"/>
  <c r="Q893" i="1" s="1"/>
  <c r="T893" i="1" s="1"/>
  <c r="P1003" i="1"/>
  <c r="R487" i="1"/>
  <c r="U487" i="1" s="1"/>
  <c r="Q488" i="1" s="1"/>
  <c r="T488" i="1" s="1"/>
  <c r="S591" i="1"/>
  <c r="R591" i="1"/>
  <c r="U591" i="1" s="1"/>
  <c r="Q592" i="1" s="1"/>
  <c r="T592" i="1" s="1"/>
  <c r="R187" i="1"/>
  <c r="U187" i="1" s="1"/>
  <c r="Q188" i="1" s="1"/>
  <c r="T188" i="1" s="1"/>
  <c r="S187" i="1"/>
  <c r="E106" i="2"/>
  <c r="D106" i="2" s="1"/>
  <c r="F106" i="2" s="1"/>
  <c r="R47" i="1"/>
  <c r="U47" i="1" s="1"/>
  <c r="S690" i="1" l="1"/>
  <c r="R690" i="1"/>
  <c r="U690" i="1" s="1"/>
  <c r="Q691" i="1" s="1"/>
  <c r="T691" i="1" s="1"/>
  <c r="P287" i="1"/>
  <c r="P795" i="1"/>
  <c r="R287" i="1"/>
  <c r="U287" i="1" s="1"/>
  <c r="Q288" i="1" s="1"/>
  <c r="T288" i="1" s="1"/>
  <c r="S287" i="1"/>
  <c r="P288" i="1" s="1"/>
  <c r="S892" i="1"/>
  <c r="P893" i="1" s="1"/>
  <c r="R893" i="1" s="1"/>
  <c r="U893" i="1" s="1"/>
  <c r="Q894" i="1" s="1"/>
  <c r="T894" i="1" s="1"/>
  <c r="P1103" i="1"/>
  <c r="P387" i="1"/>
  <c r="P592" i="1"/>
  <c r="S592" i="1" s="1"/>
  <c r="P488" i="1"/>
  <c r="S488" i="1" s="1"/>
  <c r="S1003" i="1"/>
  <c r="R1003" i="1"/>
  <c r="U1003" i="1" s="1"/>
  <c r="Q1004" i="1" s="1"/>
  <c r="T1004" i="1" s="1"/>
  <c r="P188" i="1"/>
  <c r="S188" i="1" s="1"/>
  <c r="E107" i="2"/>
  <c r="D107" i="2" s="1"/>
  <c r="F107" i="2" s="1"/>
  <c r="Q48" i="1"/>
  <c r="T48" i="1" s="1"/>
  <c r="R592" i="1" l="1"/>
  <c r="U592" i="1" s="1"/>
  <c r="Q593" i="1" s="1"/>
  <c r="T593" i="1" s="1"/>
  <c r="S795" i="1"/>
  <c r="R795" i="1"/>
  <c r="U795" i="1" s="1"/>
  <c r="Q796" i="1" s="1"/>
  <c r="T796" i="1" s="1"/>
  <c r="P691" i="1"/>
  <c r="S387" i="1"/>
  <c r="R387" i="1"/>
  <c r="U387" i="1" s="1"/>
  <c r="Q388" i="1" s="1"/>
  <c r="T388" i="1" s="1"/>
  <c r="S893" i="1"/>
  <c r="P894" i="1" s="1"/>
  <c r="R894" i="1" s="1"/>
  <c r="U894" i="1" s="1"/>
  <c r="Q895" i="1" s="1"/>
  <c r="T895" i="1" s="1"/>
  <c r="R1103" i="1"/>
  <c r="U1103" i="1" s="1"/>
  <c r="Q1104" i="1" s="1"/>
  <c r="T1104" i="1" s="1"/>
  <c r="S1103" i="1"/>
  <c r="R288" i="1"/>
  <c r="U288" i="1" s="1"/>
  <c r="Q289" i="1" s="1"/>
  <c r="T289" i="1" s="1"/>
  <c r="S288" i="1"/>
  <c r="P289" i="1" s="1"/>
  <c r="S289" i="1" s="1"/>
  <c r="R488" i="1"/>
  <c r="U488" i="1" s="1"/>
  <c r="Q489" i="1" s="1"/>
  <c r="T489" i="1" s="1"/>
  <c r="P1004" i="1"/>
  <c r="S1004" i="1" s="1"/>
  <c r="R1004" i="1"/>
  <c r="U1004" i="1" s="1"/>
  <c r="Q1005" i="1" s="1"/>
  <c r="T1005" i="1" s="1"/>
  <c r="P593" i="1"/>
  <c r="R188" i="1"/>
  <c r="U188" i="1" s="1"/>
  <c r="Q189" i="1" s="1"/>
  <c r="T189" i="1" s="1"/>
  <c r="P489" i="1"/>
  <c r="E108" i="2"/>
  <c r="D108" i="2" s="1"/>
  <c r="F108" i="2" s="1"/>
  <c r="P48" i="1"/>
  <c r="S48" i="1" s="1"/>
  <c r="P1104" i="1" l="1"/>
  <c r="S894" i="1"/>
  <c r="R691" i="1"/>
  <c r="U691" i="1" s="1"/>
  <c r="Q692" i="1" s="1"/>
  <c r="T692" i="1" s="1"/>
  <c r="S691" i="1"/>
  <c r="P692" i="1" s="1"/>
  <c r="P796" i="1"/>
  <c r="R1104" i="1"/>
  <c r="U1104" i="1" s="1"/>
  <c r="Q1105" i="1" s="1"/>
  <c r="T1105" i="1" s="1"/>
  <c r="S1104" i="1"/>
  <c r="P1105" i="1" s="1"/>
  <c r="S1105" i="1" s="1"/>
  <c r="R289" i="1"/>
  <c r="U289" i="1" s="1"/>
  <c r="Q290" i="1" s="1"/>
  <c r="T290" i="1" s="1"/>
  <c r="P388" i="1"/>
  <c r="P1005" i="1"/>
  <c r="P895" i="1"/>
  <c r="S593" i="1"/>
  <c r="R593" i="1"/>
  <c r="U593" i="1" s="1"/>
  <c r="Q594" i="1" s="1"/>
  <c r="T594" i="1" s="1"/>
  <c r="R1005" i="1"/>
  <c r="U1005" i="1" s="1"/>
  <c r="Q1006" i="1" s="1"/>
  <c r="T1006" i="1" s="1"/>
  <c r="S1005" i="1"/>
  <c r="S489" i="1"/>
  <c r="R489" i="1"/>
  <c r="U489" i="1" s="1"/>
  <c r="Q490" i="1" s="1"/>
  <c r="T490" i="1" s="1"/>
  <c r="P189" i="1"/>
  <c r="E109" i="2"/>
  <c r="D109" i="2" s="1"/>
  <c r="F109" i="2" s="1"/>
  <c r="R48" i="1"/>
  <c r="U48" i="1" s="1"/>
  <c r="P290" i="1" l="1"/>
  <c r="R290" i="1" s="1"/>
  <c r="U290" i="1" s="1"/>
  <c r="Q291" i="1" s="1"/>
  <c r="T291" i="1" s="1"/>
  <c r="S796" i="1"/>
  <c r="R796" i="1"/>
  <c r="U796" i="1" s="1"/>
  <c r="Q797" i="1" s="1"/>
  <c r="T797" i="1" s="1"/>
  <c r="R1105" i="1"/>
  <c r="U1105" i="1" s="1"/>
  <c r="Q1106" i="1" s="1"/>
  <c r="T1106" i="1" s="1"/>
  <c r="S692" i="1"/>
  <c r="R692" i="1"/>
  <c r="U692" i="1" s="1"/>
  <c r="Q693" i="1" s="1"/>
  <c r="T693" i="1" s="1"/>
  <c r="R388" i="1"/>
  <c r="U388" i="1" s="1"/>
  <c r="Q389" i="1" s="1"/>
  <c r="T389" i="1" s="1"/>
  <c r="S388" i="1"/>
  <c r="P389" i="1" s="1"/>
  <c r="R895" i="1"/>
  <c r="U895" i="1" s="1"/>
  <c r="Q896" i="1" s="1"/>
  <c r="T896" i="1" s="1"/>
  <c r="S895" i="1"/>
  <c r="P1006" i="1"/>
  <c r="P594" i="1"/>
  <c r="P490" i="1"/>
  <c r="S189" i="1"/>
  <c r="R189" i="1"/>
  <c r="U189" i="1" s="1"/>
  <c r="Q190" i="1" s="1"/>
  <c r="T190" i="1" s="1"/>
  <c r="S290" i="1"/>
  <c r="P291" i="1" s="1"/>
  <c r="E110" i="2"/>
  <c r="D110" i="2" s="1"/>
  <c r="F110" i="2" s="1"/>
  <c r="Q49" i="1"/>
  <c r="T49" i="1" s="1"/>
  <c r="P896" i="1" l="1"/>
  <c r="P693" i="1"/>
  <c r="P797" i="1"/>
  <c r="P1106" i="1"/>
  <c r="R389" i="1"/>
  <c r="U389" i="1" s="1"/>
  <c r="Q390" i="1" s="1"/>
  <c r="T390" i="1" s="1"/>
  <c r="S389" i="1"/>
  <c r="P390" i="1" s="1"/>
  <c r="R1106" i="1"/>
  <c r="U1106" i="1" s="1"/>
  <c r="Q1107" i="1" s="1"/>
  <c r="T1107" i="1" s="1"/>
  <c r="S1106" i="1"/>
  <c r="R896" i="1"/>
  <c r="U896" i="1" s="1"/>
  <c r="Q897" i="1" s="1"/>
  <c r="T897" i="1" s="1"/>
  <c r="S896" i="1"/>
  <c r="R594" i="1"/>
  <c r="U594" i="1" s="1"/>
  <c r="Q595" i="1" s="1"/>
  <c r="T595" i="1" s="1"/>
  <c r="S594" i="1"/>
  <c r="P595" i="1" s="1"/>
  <c r="S1006" i="1"/>
  <c r="R1006" i="1"/>
  <c r="U1006" i="1" s="1"/>
  <c r="Q1007" i="1" s="1"/>
  <c r="T1007" i="1" s="1"/>
  <c r="P190" i="1"/>
  <c r="S490" i="1"/>
  <c r="R490" i="1"/>
  <c r="U490" i="1" s="1"/>
  <c r="Q491" i="1" s="1"/>
  <c r="T491" i="1" s="1"/>
  <c r="S291" i="1"/>
  <c r="R291" i="1"/>
  <c r="U291" i="1" s="1"/>
  <c r="Q292" i="1" s="1"/>
  <c r="T292" i="1" s="1"/>
  <c r="E111" i="2"/>
  <c r="D111" i="2" s="1"/>
  <c r="F111" i="2" s="1"/>
  <c r="P49" i="1"/>
  <c r="S49" i="1" s="1"/>
  <c r="S797" i="1" l="1"/>
  <c r="R797" i="1"/>
  <c r="U797" i="1" s="1"/>
  <c r="Q798" i="1" s="1"/>
  <c r="T798" i="1" s="1"/>
  <c r="S693" i="1"/>
  <c r="R693" i="1"/>
  <c r="U693" i="1" s="1"/>
  <c r="Q694" i="1" s="1"/>
  <c r="T694" i="1" s="1"/>
  <c r="S390" i="1"/>
  <c r="R390" i="1"/>
  <c r="U390" i="1" s="1"/>
  <c r="Q391" i="1" s="1"/>
  <c r="T391" i="1" s="1"/>
  <c r="P897" i="1"/>
  <c r="S897" i="1" s="1"/>
  <c r="P1107" i="1"/>
  <c r="R1107" i="1" s="1"/>
  <c r="U1107" i="1" s="1"/>
  <c r="Q1108" i="1" s="1"/>
  <c r="T1108" i="1" s="1"/>
  <c r="P1007" i="1"/>
  <c r="R595" i="1"/>
  <c r="U595" i="1" s="1"/>
  <c r="Q596" i="1" s="1"/>
  <c r="T596" i="1" s="1"/>
  <c r="S595" i="1"/>
  <c r="P491" i="1"/>
  <c r="S491" i="1" s="1"/>
  <c r="R190" i="1"/>
  <c r="U190" i="1" s="1"/>
  <c r="Q191" i="1" s="1"/>
  <c r="T191" i="1" s="1"/>
  <c r="S190" i="1"/>
  <c r="P292" i="1"/>
  <c r="R49" i="1"/>
  <c r="U49" i="1" s="1"/>
  <c r="E112" i="2"/>
  <c r="D112" i="2" s="1"/>
  <c r="F112" i="2" s="1"/>
  <c r="S1107" i="1" l="1"/>
  <c r="P1108" i="1" s="1"/>
  <c r="P694" i="1"/>
  <c r="P798" i="1"/>
  <c r="P391" i="1"/>
  <c r="R897" i="1"/>
  <c r="U897" i="1" s="1"/>
  <c r="Q898" i="1" s="1"/>
  <c r="T898" i="1" s="1"/>
  <c r="R1108" i="1"/>
  <c r="U1108" i="1" s="1"/>
  <c r="Q1109" i="1" s="1"/>
  <c r="T1109" i="1" s="1"/>
  <c r="S1108" i="1"/>
  <c r="P1109" i="1" s="1"/>
  <c r="R491" i="1"/>
  <c r="U491" i="1" s="1"/>
  <c r="Q492" i="1" s="1"/>
  <c r="T492" i="1" s="1"/>
  <c r="P596" i="1"/>
  <c r="S596" i="1" s="1"/>
  <c r="R1007" i="1"/>
  <c r="U1007" i="1" s="1"/>
  <c r="Q1008" i="1" s="1"/>
  <c r="T1008" i="1" s="1"/>
  <c r="S1007" i="1"/>
  <c r="P191" i="1"/>
  <c r="R292" i="1"/>
  <c r="U292" i="1" s="1"/>
  <c r="Q293" i="1" s="1"/>
  <c r="T293" i="1" s="1"/>
  <c r="S292" i="1"/>
  <c r="Q50" i="1"/>
  <c r="T50" i="1" s="1"/>
  <c r="E113" i="2"/>
  <c r="D113" i="2" s="1"/>
  <c r="F113" i="2" s="1"/>
  <c r="S798" i="1" l="1"/>
  <c r="R798" i="1"/>
  <c r="U798" i="1" s="1"/>
  <c r="Q799" i="1" s="1"/>
  <c r="T799" i="1" s="1"/>
  <c r="S694" i="1"/>
  <c r="R694" i="1"/>
  <c r="U694" i="1" s="1"/>
  <c r="Q695" i="1" s="1"/>
  <c r="T695" i="1" s="1"/>
  <c r="S391" i="1"/>
  <c r="R391" i="1"/>
  <c r="U391" i="1" s="1"/>
  <c r="Q392" i="1" s="1"/>
  <c r="T392" i="1" s="1"/>
  <c r="P898" i="1"/>
  <c r="P492" i="1"/>
  <c r="R492" i="1" s="1"/>
  <c r="U492" i="1" s="1"/>
  <c r="Q493" i="1" s="1"/>
  <c r="T493" i="1" s="1"/>
  <c r="R596" i="1"/>
  <c r="U596" i="1" s="1"/>
  <c r="Q597" i="1" s="1"/>
  <c r="T597" i="1" s="1"/>
  <c r="S1109" i="1"/>
  <c r="R1109" i="1"/>
  <c r="U1109" i="1" s="1"/>
  <c r="Q1110" i="1" s="1"/>
  <c r="T1110" i="1" s="1"/>
  <c r="P1008" i="1"/>
  <c r="R191" i="1"/>
  <c r="U191" i="1" s="1"/>
  <c r="Q192" i="1" s="1"/>
  <c r="T192" i="1" s="1"/>
  <c r="S191" i="1"/>
  <c r="P293" i="1"/>
  <c r="R293" i="1" s="1"/>
  <c r="U293" i="1" s="1"/>
  <c r="Q294" i="1" s="1"/>
  <c r="T294" i="1" s="1"/>
  <c r="P50" i="1"/>
  <c r="S50" i="1" s="1"/>
  <c r="E114" i="2"/>
  <c r="D114" i="2" s="1"/>
  <c r="F114" i="2" s="1"/>
  <c r="P695" i="1" l="1"/>
  <c r="P799" i="1"/>
  <c r="P392" i="1"/>
  <c r="S492" i="1"/>
  <c r="P493" i="1" s="1"/>
  <c r="R493" i="1" s="1"/>
  <c r="U493" i="1" s="1"/>
  <c r="Q494" i="1" s="1"/>
  <c r="T494" i="1" s="1"/>
  <c r="R898" i="1"/>
  <c r="U898" i="1" s="1"/>
  <c r="Q899" i="1" s="1"/>
  <c r="T899" i="1" s="1"/>
  <c r="S898" i="1"/>
  <c r="P899" i="1" s="1"/>
  <c r="R899" i="1" s="1"/>
  <c r="U899" i="1" s="1"/>
  <c r="Q900" i="1" s="1"/>
  <c r="T900" i="1" s="1"/>
  <c r="P1110" i="1"/>
  <c r="P597" i="1"/>
  <c r="R1008" i="1"/>
  <c r="U1008" i="1" s="1"/>
  <c r="Q1009" i="1" s="1"/>
  <c r="T1009" i="1" s="1"/>
  <c r="S1008" i="1"/>
  <c r="P192" i="1"/>
  <c r="R192" i="1" s="1"/>
  <c r="U192" i="1" s="1"/>
  <c r="Q193" i="1" s="1"/>
  <c r="T193" i="1" s="1"/>
  <c r="S293" i="1"/>
  <c r="P294" i="1" s="1"/>
  <c r="S294" i="1" s="1"/>
  <c r="R50" i="1"/>
  <c r="U50" i="1" s="1"/>
  <c r="E115" i="2"/>
  <c r="D115" i="2" s="1"/>
  <c r="F115" i="2" s="1"/>
  <c r="S799" i="1" l="1"/>
  <c r="R799" i="1"/>
  <c r="U799" i="1" s="1"/>
  <c r="Q800" i="1" s="1"/>
  <c r="T800" i="1" s="1"/>
  <c r="R695" i="1"/>
  <c r="U695" i="1" s="1"/>
  <c r="Q696" i="1" s="1"/>
  <c r="T696" i="1" s="1"/>
  <c r="S695" i="1"/>
  <c r="P696" i="1" s="1"/>
  <c r="S392" i="1"/>
  <c r="R392" i="1"/>
  <c r="U392" i="1" s="1"/>
  <c r="Q393" i="1" s="1"/>
  <c r="T393" i="1" s="1"/>
  <c r="S899" i="1"/>
  <c r="P900" i="1" s="1"/>
  <c r="R900" i="1" s="1"/>
  <c r="U900" i="1" s="1"/>
  <c r="Q901" i="1" s="1"/>
  <c r="T901" i="1" s="1"/>
  <c r="S493" i="1"/>
  <c r="P494" i="1" s="1"/>
  <c r="S494" i="1" s="1"/>
  <c r="R597" i="1"/>
  <c r="U597" i="1" s="1"/>
  <c r="Q598" i="1" s="1"/>
  <c r="T598" i="1" s="1"/>
  <c r="S597" i="1"/>
  <c r="R1110" i="1"/>
  <c r="U1110" i="1" s="1"/>
  <c r="Q1111" i="1" s="1"/>
  <c r="T1111" i="1" s="1"/>
  <c r="S1110" i="1"/>
  <c r="P1009" i="1"/>
  <c r="S1009" i="1" s="1"/>
  <c r="S192" i="1"/>
  <c r="P193" i="1" s="1"/>
  <c r="R193" i="1" s="1"/>
  <c r="U193" i="1" s="1"/>
  <c r="Q194" i="1" s="1"/>
  <c r="T194" i="1" s="1"/>
  <c r="R294" i="1"/>
  <c r="U294" i="1" s="1"/>
  <c r="Q295" i="1" s="1"/>
  <c r="T295" i="1" s="1"/>
  <c r="P51" i="1"/>
  <c r="S51" i="1" s="1"/>
  <c r="E116" i="2"/>
  <c r="D116" i="2" s="1"/>
  <c r="F116" i="2" s="1"/>
  <c r="P1111" i="1" l="1"/>
  <c r="R1111" i="1" s="1"/>
  <c r="U1111" i="1" s="1"/>
  <c r="Q1112" i="1" s="1"/>
  <c r="T1112" i="1" s="1"/>
  <c r="P598" i="1"/>
  <c r="R696" i="1"/>
  <c r="U696" i="1" s="1"/>
  <c r="Q697" i="1" s="1"/>
  <c r="T697" i="1" s="1"/>
  <c r="S696" i="1"/>
  <c r="P697" i="1" s="1"/>
  <c r="S900" i="1"/>
  <c r="P901" i="1" s="1"/>
  <c r="P800" i="1"/>
  <c r="R494" i="1"/>
  <c r="U494" i="1" s="1"/>
  <c r="Q495" i="1" s="1"/>
  <c r="T495" i="1" s="1"/>
  <c r="P393" i="1"/>
  <c r="S1111" i="1"/>
  <c r="P1112" i="1" s="1"/>
  <c r="S1112" i="1" s="1"/>
  <c r="R1009" i="1"/>
  <c r="U1009" i="1" s="1"/>
  <c r="Q1010" i="1" s="1"/>
  <c r="T1010" i="1" s="1"/>
  <c r="R598" i="1"/>
  <c r="U598" i="1" s="1"/>
  <c r="Q599" i="1" s="1"/>
  <c r="T599" i="1" s="1"/>
  <c r="S598" i="1"/>
  <c r="S193" i="1"/>
  <c r="P194" i="1" s="1"/>
  <c r="S194" i="1" s="1"/>
  <c r="S901" i="1"/>
  <c r="R901" i="1"/>
  <c r="U901" i="1" s="1"/>
  <c r="Q902" i="1" s="1"/>
  <c r="T902" i="1" s="1"/>
  <c r="P295" i="1"/>
  <c r="Q51" i="1"/>
  <c r="T51" i="1" s="1"/>
  <c r="E117" i="2"/>
  <c r="D117" i="2" s="1"/>
  <c r="F117" i="2" s="1"/>
  <c r="P599" i="1" l="1"/>
  <c r="S800" i="1"/>
  <c r="R800" i="1"/>
  <c r="U800" i="1" s="1"/>
  <c r="Q801" i="1" s="1"/>
  <c r="T801" i="1" s="1"/>
  <c r="R1112" i="1"/>
  <c r="U1112" i="1" s="1"/>
  <c r="Q1113" i="1" s="1"/>
  <c r="T1113" i="1" s="1"/>
  <c r="S697" i="1"/>
  <c r="R697" i="1"/>
  <c r="U697" i="1" s="1"/>
  <c r="Q698" i="1" s="1"/>
  <c r="T698" i="1" s="1"/>
  <c r="P495" i="1"/>
  <c r="S393" i="1"/>
  <c r="R393" i="1"/>
  <c r="U393" i="1" s="1"/>
  <c r="Q394" i="1" s="1"/>
  <c r="T394" i="1" s="1"/>
  <c r="P1010" i="1"/>
  <c r="S1010" i="1" s="1"/>
  <c r="R194" i="1"/>
  <c r="U194" i="1" s="1"/>
  <c r="Q195" i="1" s="1"/>
  <c r="T195" i="1" s="1"/>
  <c r="S599" i="1"/>
  <c r="R599" i="1"/>
  <c r="U599" i="1" s="1"/>
  <c r="Q600" i="1" s="1"/>
  <c r="T600" i="1" s="1"/>
  <c r="P902" i="1"/>
  <c r="R295" i="1"/>
  <c r="U295" i="1" s="1"/>
  <c r="Q296" i="1" s="1"/>
  <c r="T296" i="1" s="1"/>
  <c r="S295" i="1"/>
  <c r="R51" i="1"/>
  <c r="E118" i="2"/>
  <c r="D118" i="2" s="1"/>
  <c r="F118" i="2" s="1"/>
  <c r="P801" i="1" l="1"/>
  <c r="P698" i="1"/>
  <c r="P195" i="1"/>
  <c r="S195" i="1" s="1"/>
  <c r="P1113" i="1"/>
  <c r="P394" i="1"/>
  <c r="R1010" i="1"/>
  <c r="U1010" i="1" s="1"/>
  <c r="Q1011" i="1" s="1"/>
  <c r="T1011" i="1" s="1"/>
  <c r="R495" i="1"/>
  <c r="U495" i="1" s="1"/>
  <c r="Q496" i="1" s="1"/>
  <c r="T496" i="1" s="1"/>
  <c r="S495" i="1"/>
  <c r="P496" i="1" s="1"/>
  <c r="P600" i="1"/>
  <c r="S902" i="1"/>
  <c r="R902" i="1"/>
  <c r="U902" i="1" s="1"/>
  <c r="Q903" i="1" s="1"/>
  <c r="T903" i="1" s="1"/>
  <c r="P296" i="1"/>
  <c r="R195" i="1"/>
  <c r="U195" i="1" s="1"/>
  <c r="Q196" i="1" s="1"/>
  <c r="T196" i="1" s="1"/>
  <c r="U51" i="1"/>
  <c r="P52" i="1" s="1"/>
  <c r="S52" i="1" s="1"/>
  <c r="E119" i="2"/>
  <c r="D119" i="2" s="1"/>
  <c r="F119" i="2" s="1"/>
  <c r="S1113" i="1" l="1"/>
  <c r="R1113" i="1"/>
  <c r="U1113" i="1" s="1"/>
  <c r="Q1114" i="1" s="1"/>
  <c r="T1114" i="1" s="1"/>
  <c r="P1011" i="1"/>
  <c r="S698" i="1"/>
  <c r="R698" i="1"/>
  <c r="U698" i="1" s="1"/>
  <c r="Q699" i="1" s="1"/>
  <c r="T699" i="1" s="1"/>
  <c r="R801" i="1"/>
  <c r="U801" i="1" s="1"/>
  <c r="Q802" i="1" s="1"/>
  <c r="T802" i="1" s="1"/>
  <c r="S801" i="1"/>
  <c r="P802" i="1" s="1"/>
  <c r="R496" i="1"/>
  <c r="U496" i="1" s="1"/>
  <c r="Q497" i="1" s="1"/>
  <c r="T497" i="1" s="1"/>
  <c r="S496" i="1"/>
  <c r="S394" i="1"/>
  <c r="R394" i="1"/>
  <c r="U394" i="1" s="1"/>
  <c r="Q395" i="1" s="1"/>
  <c r="T395" i="1" s="1"/>
  <c r="S600" i="1"/>
  <c r="R600" i="1"/>
  <c r="U600" i="1" s="1"/>
  <c r="Q601" i="1" s="1"/>
  <c r="T601" i="1" s="1"/>
  <c r="P903" i="1"/>
  <c r="S1011" i="1"/>
  <c r="R1011" i="1"/>
  <c r="U1011" i="1" s="1"/>
  <c r="Q1012" i="1" s="1"/>
  <c r="T1012" i="1" s="1"/>
  <c r="S296" i="1"/>
  <c r="R296" i="1"/>
  <c r="U296" i="1" s="1"/>
  <c r="Q297" i="1" s="1"/>
  <c r="T297" i="1" s="1"/>
  <c r="P196" i="1"/>
  <c r="Q52" i="1"/>
  <c r="T52" i="1" s="1"/>
  <c r="E120" i="2"/>
  <c r="D120" i="2" s="1"/>
  <c r="F120" i="2" s="1"/>
  <c r="P699" i="1" l="1"/>
  <c r="S802" i="1"/>
  <c r="R802" i="1"/>
  <c r="U802" i="1" s="1"/>
  <c r="Q803" i="1" s="1"/>
  <c r="T803" i="1" s="1"/>
  <c r="P497" i="1"/>
  <c r="P1114" i="1"/>
  <c r="P395" i="1"/>
  <c r="R497" i="1"/>
  <c r="U497" i="1" s="1"/>
  <c r="Q498" i="1" s="1"/>
  <c r="T498" i="1" s="1"/>
  <c r="S497" i="1"/>
  <c r="P498" i="1" s="1"/>
  <c r="S498" i="1" s="1"/>
  <c r="P601" i="1"/>
  <c r="S903" i="1"/>
  <c r="R903" i="1"/>
  <c r="U903" i="1" s="1"/>
  <c r="Q904" i="1" s="1"/>
  <c r="T904" i="1" s="1"/>
  <c r="P1012" i="1"/>
  <c r="R196" i="1"/>
  <c r="U196" i="1" s="1"/>
  <c r="Q197" i="1" s="1"/>
  <c r="T197" i="1" s="1"/>
  <c r="S196" i="1"/>
  <c r="P297" i="1"/>
  <c r="R52" i="1"/>
  <c r="U52" i="1" s="1"/>
  <c r="P53" i="1" s="1"/>
  <c r="S53" i="1" s="1"/>
  <c r="E121" i="2"/>
  <c r="D121" i="2" s="1"/>
  <c r="F121" i="2" s="1"/>
  <c r="R1114" i="1" l="1"/>
  <c r="U1114" i="1" s="1"/>
  <c r="Q1115" i="1" s="1"/>
  <c r="T1115" i="1" s="1"/>
  <c r="S1114" i="1"/>
  <c r="P1115" i="1" s="1"/>
  <c r="R498" i="1"/>
  <c r="U498" i="1" s="1"/>
  <c r="Q499" i="1" s="1"/>
  <c r="T499" i="1" s="1"/>
  <c r="P803" i="1"/>
  <c r="S699" i="1"/>
  <c r="R699" i="1"/>
  <c r="U699" i="1" s="1"/>
  <c r="Q700" i="1" s="1"/>
  <c r="T700" i="1" s="1"/>
  <c r="S395" i="1"/>
  <c r="R395" i="1"/>
  <c r="U395" i="1" s="1"/>
  <c r="Q396" i="1" s="1"/>
  <c r="T396" i="1" s="1"/>
  <c r="R601" i="1"/>
  <c r="U601" i="1" s="1"/>
  <c r="Q602" i="1" s="1"/>
  <c r="T602" i="1" s="1"/>
  <c r="S601" i="1"/>
  <c r="P904" i="1"/>
  <c r="R1012" i="1"/>
  <c r="U1012" i="1" s="1"/>
  <c r="Q1013" i="1" s="1"/>
  <c r="T1013" i="1" s="1"/>
  <c r="S1012" i="1"/>
  <c r="P1013" i="1" s="1"/>
  <c r="P197" i="1"/>
  <c r="R197" i="1" s="1"/>
  <c r="U197" i="1" s="1"/>
  <c r="Q198" i="1" s="1"/>
  <c r="T198" i="1" s="1"/>
  <c r="R297" i="1"/>
  <c r="U297" i="1" s="1"/>
  <c r="Q298" i="1" s="1"/>
  <c r="T298" i="1" s="1"/>
  <c r="S297" i="1"/>
  <c r="P499" i="1"/>
  <c r="S499" i="1" s="1"/>
  <c r="E122" i="2"/>
  <c r="D122" i="2" s="1"/>
  <c r="F122" i="2" s="1"/>
  <c r="Q53" i="1"/>
  <c r="T53" i="1" s="1"/>
  <c r="P700" i="1" l="1"/>
  <c r="S803" i="1"/>
  <c r="R803" i="1"/>
  <c r="U803" i="1" s="1"/>
  <c r="Q804" i="1" s="1"/>
  <c r="T804" i="1" s="1"/>
  <c r="P602" i="1"/>
  <c r="R602" i="1" s="1"/>
  <c r="U602" i="1" s="1"/>
  <c r="Q603" i="1" s="1"/>
  <c r="T603" i="1" s="1"/>
  <c r="R1115" i="1"/>
  <c r="U1115" i="1" s="1"/>
  <c r="Q1116" i="1" s="1"/>
  <c r="T1116" i="1" s="1"/>
  <c r="S1115" i="1"/>
  <c r="P1116" i="1" s="1"/>
  <c r="P396" i="1"/>
  <c r="S602" i="1"/>
  <c r="S904" i="1"/>
  <c r="R904" i="1"/>
  <c r="U904" i="1" s="1"/>
  <c r="Q905" i="1" s="1"/>
  <c r="T905" i="1" s="1"/>
  <c r="S1013" i="1"/>
  <c r="R1013" i="1"/>
  <c r="U1013" i="1" s="1"/>
  <c r="Q1014" i="1" s="1"/>
  <c r="T1014" i="1" s="1"/>
  <c r="R499" i="1"/>
  <c r="U499" i="1" s="1"/>
  <c r="Q500" i="1" s="1"/>
  <c r="T500" i="1" s="1"/>
  <c r="S197" i="1"/>
  <c r="P198" i="1" s="1"/>
  <c r="S198" i="1" s="1"/>
  <c r="P298" i="1"/>
  <c r="E123" i="2"/>
  <c r="D123" i="2" s="1"/>
  <c r="F123" i="2" s="1"/>
  <c r="R53" i="1"/>
  <c r="U53" i="1" s="1"/>
  <c r="R1116" i="1" l="1"/>
  <c r="U1116" i="1" s="1"/>
  <c r="Q1117" i="1" s="1"/>
  <c r="T1117" i="1" s="1"/>
  <c r="S1116" i="1"/>
  <c r="P1117" i="1" s="1"/>
  <c r="P804" i="1"/>
  <c r="R700" i="1"/>
  <c r="U700" i="1" s="1"/>
  <c r="Q701" i="1" s="1"/>
  <c r="T701" i="1" s="1"/>
  <c r="S700" i="1"/>
  <c r="P701" i="1" s="1"/>
  <c r="R396" i="1"/>
  <c r="U396" i="1" s="1"/>
  <c r="Q397" i="1" s="1"/>
  <c r="T397" i="1" s="1"/>
  <c r="S396" i="1"/>
  <c r="P397" i="1" s="1"/>
  <c r="P603" i="1"/>
  <c r="P905" i="1"/>
  <c r="P1014" i="1"/>
  <c r="R198" i="1"/>
  <c r="U198" i="1" s="1"/>
  <c r="Q199" i="1" s="1"/>
  <c r="T199" i="1" s="1"/>
  <c r="P500" i="1"/>
  <c r="S500" i="1" s="1"/>
  <c r="R298" i="1"/>
  <c r="U298" i="1" s="1"/>
  <c r="Q299" i="1" s="1"/>
  <c r="T299" i="1" s="1"/>
  <c r="S298" i="1"/>
  <c r="E124" i="2"/>
  <c r="D124" i="2" s="1"/>
  <c r="F124" i="2" s="1"/>
  <c r="P54" i="1"/>
  <c r="S54" i="1" s="1"/>
  <c r="S701" i="1" l="1"/>
  <c r="R701" i="1"/>
  <c r="U701" i="1" s="1"/>
  <c r="Q702" i="1" s="1"/>
  <c r="T702" i="1" s="1"/>
  <c r="S804" i="1"/>
  <c r="R804" i="1"/>
  <c r="U804" i="1" s="1"/>
  <c r="Q805" i="1" s="1"/>
  <c r="T805" i="1" s="1"/>
  <c r="P299" i="1"/>
  <c r="R299" i="1" s="1"/>
  <c r="U299" i="1" s="1"/>
  <c r="Q300" i="1" s="1"/>
  <c r="T300" i="1" s="1"/>
  <c r="R1117" i="1"/>
  <c r="U1117" i="1" s="1"/>
  <c r="Q1118" i="1" s="1"/>
  <c r="T1118" i="1" s="1"/>
  <c r="S1117" i="1"/>
  <c r="P1118" i="1" s="1"/>
  <c r="R1118" i="1" s="1"/>
  <c r="U1118" i="1" s="1"/>
  <c r="Q1119" i="1" s="1"/>
  <c r="T1119" i="1" s="1"/>
  <c r="R397" i="1"/>
  <c r="U397" i="1" s="1"/>
  <c r="Q398" i="1" s="1"/>
  <c r="T398" i="1" s="1"/>
  <c r="S397" i="1"/>
  <c r="R603" i="1"/>
  <c r="U603" i="1" s="1"/>
  <c r="Q604" i="1" s="1"/>
  <c r="T604" i="1" s="1"/>
  <c r="S603" i="1"/>
  <c r="S905" i="1"/>
  <c r="R905" i="1"/>
  <c r="U905" i="1" s="1"/>
  <c r="Q906" i="1" s="1"/>
  <c r="T906" i="1" s="1"/>
  <c r="R500" i="1"/>
  <c r="U500" i="1" s="1"/>
  <c r="Q501" i="1" s="1"/>
  <c r="T501" i="1" s="1"/>
  <c r="S1014" i="1"/>
  <c r="R1014" i="1"/>
  <c r="U1014" i="1" s="1"/>
  <c r="Q1015" i="1" s="1"/>
  <c r="T1015" i="1" s="1"/>
  <c r="P199" i="1"/>
  <c r="R199" i="1" s="1"/>
  <c r="U199" i="1" s="1"/>
  <c r="Q200" i="1" s="1"/>
  <c r="T200" i="1" s="1"/>
  <c r="E125" i="2"/>
  <c r="D125" i="2" s="1"/>
  <c r="F125" i="2" s="1"/>
  <c r="Q54" i="1"/>
  <c r="T54" i="1" s="1"/>
  <c r="S299" i="1" l="1"/>
  <c r="S1118" i="1"/>
  <c r="P604" i="1"/>
  <c r="S604" i="1" s="1"/>
  <c r="P805" i="1"/>
  <c r="P398" i="1"/>
  <c r="P702" i="1"/>
  <c r="R398" i="1"/>
  <c r="U398" i="1" s="1"/>
  <c r="Q399" i="1" s="1"/>
  <c r="T399" i="1" s="1"/>
  <c r="S398" i="1"/>
  <c r="P399" i="1" s="1"/>
  <c r="R604" i="1"/>
  <c r="U604" i="1" s="1"/>
  <c r="Q605" i="1" s="1"/>
  <c r="T605" i="1" s="1"/>
  <c r="P501" i="1"/>
  <c r="S501" i="1" s="1"/>
  <c r="P906" i="1"/>
  <c r="P1015" i="1"/>
  <c r="S199" i="1"/>
  <c r="P200" i="1" s="1"/>
  <c r="P1119" i="1"/>
  <c r="S1119" i="1" s="1"/>
  <c r="P300" i="1"/>
  <c r="E126" i="2"/>
  <c r="D126" i="2" s="1"/>
  <c r="F126" i="2" s="1"/>
  <c r="R54" i="1"/>
  <c r="U54" i="1" s="1"/>
  <c r="R501" i="1" l="1"/>
  <c r="U501" i="1" s="1"/>
  <c r="Q502" i="1" s="1"/>
  <c r="T502" i="1" s="1"/>
  <c r="S702" i="1"/>
  <c r="R702" i="1"/>
  <c r="U702" i="1" s="1"/>
  <c r="Q703" i="1" s="1"/>
  <c r="T703" i="1" s="1"/>
  <c r="S805" i="1"/>
  <c r="R805" i="1"/>
  <c r="U805" i="1" s="1"/>
  <c r="Q806" i="1" s="1"/>
  <c r="T806" i="1" s="1"/>
  <c r="S399" i="1"/>
  <c r="R399" i="1"/>
  <c r="U399" i="1" s="1"/>
  <c r="Q400" i="1" s="1"/>
  <c r="T400" i="1" s="1"/>
  <c r="P605" i="1"/>
  <c r="R906" i="1"/>
  <c r="U906" i="1" s="1"/>
  <c r="Q907" i="1" s="1"/>
  <c r="T907" i="1" s="1"/>
  <c r="S906" i="1"/>
  <c r="R200" i="1"/>
  <c r="U200" i="1" s="1"/>
  <c r="Q201" i="1" s="1"/>
  <c r="T201" i="1" s="1"/>
  <c r="S200" i="1"/>
  <c r="R1015" i="1"/>
  <c r="U1015" i="1" s="1"/>
  <c r="Q1016" i="1" s="1"/>
  <c r="T1016" i="1" s="1"/>
  <c r="S1015" i="1"/>
  <c r="R1119" i="1"/>
  <c r="U1119" i="1" s="1"/>
  <c r="Q1120" i="1" s="1"/>
  <c r="T1120" i="1" s="1"/>
  <c r="R300" i="1"/>
  <c r="U300" i="1" s="1"/>
  <c r="Q301" i="1" s="1"/>
  <c r="T301" i="1" s="1"/>
  <c r="S300" i="1"/>
  <c r="P502" i="1"/>
  <c r="S502" i="1" s="1"/>
  <c r="E127" i="2"/>
  <c r="D127" i="2" s="1"/>
  <c r="F127" i="2" s="1"/>
  <c r="P55" i="1"/>
  <c r="S55" i="1" s="1"/>
  <c r="P907" i="1" l="1"/>
  <c r="P806" i="1"/>
  <c r="P703" i="1"/>
  <c r="P201" i="1"/>
  <c r="P400" i="1"/>
  <c r="S605" i="1"/>
  <c r="R605" i="1"/>
  <c r="U605" i="1" s="1"/>
  <c r="Q606" i="1" s="1"/>
  <c r="T606" i="1" s="1"/>
  <c r="S907" i="1"/>
  <c r="R907" i="1"/>
  <c r="U907" i="1" s="1"/>
  <c r="Q908" i="1" s="1"/>
  <c r="T908" i="1" s="1"/>
  <c r="P1016" i="1"/>
  <c r="S1016" i="1" s="1"/>
  <c r="R1016" i="1"/>
  <c r="U1016" i="1" s="1"/>
  <c r="Q1017" i="1" s="1"/>
  <c r="T1017" i="1" s="1"/>
  <c r="R201" i="1"/>
  <c r="U201" i="1" s="1"/>
  <c r="Q202" i="1" s="1"/>
  <c r="T202" i="1" s="1"/>
  <c r="S201" i="1"/>
  <c r="P1120" i="1"/>
  <c r="P301" i="1"/>
  <c r="R301" i="1" s="1"/>
  <c r="U301" i="1" s="1"/>
  <c r="Q302" i="1" s="1"/>
  <c r="T302" i="1" s="1"/>
  <c r="R502" i="1"/>
  <c r="U502" i="1" s="1"/>
  <c r="Q503" i="1" s="1"/>
  <c r="T503" i="1" s="1"/>
  <c r="E128" i="2"/>
  <c r="D128" i="2" s="1"/>
  <c r="F128" i="2" s="1"/>
  <c r="Q55" i="1"/>
  <c r="T55" i="1" s="1"/>
  <c r="R703" i="1" l="1"/>
  <c r="U703" i="1" s="1"/>
  <c r="Q704" i="1" s="1"/>
  <c r="T704" i="1" s="1"/>
  <c r="S703" i="1"/>
  <c r="P704" i="1" s="1"/>
  <c r="S806" i="1"/>
  <c r="R806" i="1"/>
  <c r="U806" i="1" s="1"/>
  <c r="Q807" i="1" s="1"/>
  <c r="T807" i="1" s="1"/>
  <c r="S400" i="1"/>
  <c r="R400" i="1"/>
  <c r="U400" i="1" s="1"/>
  <c r="Q401" i="1" s="1"/>
  <c r="T401" i="1" s="1"/>
  <c r="P1017" i="1"/>
  <c r="S1017" i="1" s="1"/>
  <c r="P606" i="1"/>
  <c r="S301" i="1"/>
  <c r="P302" i="1" s="1"/>
  <c r="P908" i="1"/>
  <c r="P202" i="1"/>
  <c r="R1120" i="1"/>
  <c r="U1120" i="1" s="1"/>
  <c r="Q1121" i="1" s="1"/>
  <c r="T1121" i="1" s="1"/>
  <c r="S1120" i="1"/>
  <c r="P503" i="1"/>
  <c r="R503" i="1" s="1"/>
  <c r="U503" i="1" s="1"/>
  <c r="Q504" i="1" s="1"/>
  <c r="T504" i="1" s="1"/>
  <c r="E129" i="2"/>
  <c r="D129" i="2" s="1"/>
  <c r="F129" i="2" s="1"/>
  <c r="R55" i="1"/>
  <c r="U55" i="1" s="1"/>
  <c r="R1017" i="1" l="1"/>
  <c r="U1017" i="1" s="1"/>
  <c r="Q1018" i="1" s="1"/>
  <c r="T1018" i="1" s="1"/>
  <c r="P807" i="1"/>
  <c r="S704" i="1"/>
  <c r="R704" i="1"/>
  <c r="U704" i="1" s="1"/>
  <c r="Q705" i="1" s="1"/>
  <c r="T705" i="1" s="1"/>
  <c r="P401" i="1"/>
  <c r="P1121" i="1"/>
  <c r="S1121" i="1" s="1"/>
  <c r="S606" i="1"/>
  <c r="R606" i="1"/>
  <c r="U606" i="1" s="1"/>
  <c r="Q607" i="1" s="1"/>
  <c r="T607" i="1" s="1"/>
  <c r="P1018" i="1"/>
  <c r="S1018" i="1" s="1"/>
  <c r="R908" i="1"/>
  <c r="U908" i="1" s="1"/>
  <c r="Q909" i="1" s="1"/>
  <c r="T909" i="1" s="1"/>
  <c r="S908" i="1"/>
  <c r="R202" i="1"/>
  <c r="U202" i="1" s="1"/>
  <c r="Q203" i="1" s="1"/>
  <c r="T203" i="1" s="1"/>
  <c r="S202" i="1"/>
  <c r="S503" i="1"/>
  <c r="P504" i="1" s="1"/>
  <c r="S302" i="1"/>
  <c r="R302" i="1"/>
  <c r="U302" i="1" s="1"/>
  <c r="Q303" i="1" s="1"/>
  <c r="T303" i="1" s="1"/>
  <c r="E130" i="2"/>
  <c r="D130" i="2" s="1"/>
  <c r="F130" i="2" s="1"/>
  <c r="P56" i="1"/>
  <c r="S56" i="1" s="1"/>
  <c r="P705" i="1" l="1"/>
  <c r="S807" i="1"/>
  <c r="R807" i="1"/>
  <c r="U807" i="1" s="1"/>
  <c r="Q808" i="1" s="1"/>
  <c r="T808" i="1" s="1"/>
  <c r="S401" i="1"/>
  <c r="R401" i="1"/>
  <c r="U401" i="1" s="1"/>
  <c r="Q402" i="1" s="1"/>
  <c r="T402" i="1" s="1"/>
  <c r="R1121" i="1"/>
  <c r="U1121" i="1" s="1"/>
  <c r="Q1122" i="1" s="1"/>
  <c r="T1122" i="1" s="1"/>
  <c r="P203" i="1"/>
  <c r="S203" i="1" s="1"/>
  <c r="R1018" i="1"/>
  <c r="U1018" i="1" s="1"/>
  <c r="Q1019" i="1" s="1"/>
  <c r="T1019" i="1" s="1"/>
  <c r="P909" i="1"/>
  <c r="S909" i="1" s="1"/>
  <c r="P607" i="1"/>
  <c r="P303" i="1"/>
  <c r="S504" i="1"/>
  <c r="R504" i="1"/>
  <c r="U504" i="1" s="1"/>
  <c r="Q505" i="1" s="1"/>
  <c r="T505" i="1" s="1"/>
  <c r="E131" i="2"/>
  <c r="D131" i="2" s="1"/>
  <c r="F131" i="2" s="1"/>
  <c r="Q56" i="1"/>
  <c r="T56" i="1" s="1"/>
  <c r="P808" i="1" l="1"/>
  <c r="R203" i="1"/>
  <c r="U203" i="1" s="1"/>
  <c r="Q204" i="1" s="1"/>
  <c r="T204" i="1" s="1"/>
  <c r="P1122" i="1"/>
  <c r="S1122" i="1" s="1"/>
  <c r="R705" i="1"/>
  <c r="U705" i="1" s="1"/>
  <c r="Q706" i="1" s="1"/>
  <c r="T706" i="1" s="1"/>
  <c r="S705" i="1"/>
  <c r="P706" i="1" s="1"/>
  <c r="R1122" i="1"/>
  <c r="U1122" i="1" s="1"/>
  <c r="Q1123" i="1" s="1"/>
  <c r="T1123" i="1" s="1"/>
  <c r="R909" i="1"/>
  <c r="U909" i="1" s="1"/>
  <c r="Q910" i="1" s="1"/>
  <c r="T910" i="1" s="1"/>
  <c r="P402" i="1"/>
  <c r="P1019" i="1"/>
  <c r="R607" i="1"/>
  <c r="U607" i="1" s="1"/>
  <c r="Q608" i="1" s="1"/>
  <c r="T608" i="1" s="1"/>
  <c r="S607" i="1"/>
  <c r="P608" i="1" s="1"/>
  <c r="P204" i="1"/>
  <c r="R303" i="1"/>
  <c r="U303" i="1" s="1"/>
  <c r="Q304" i="1" s="1"/>
  <c r="T304" i="1" s="1"/>
  <c r="S303" i="1"/>
  <c r="P505" i="1"/>
  <c r="E132" i="2"/>
  <c r="D132" i="2" s="1"/>
  <c r="F132" i="2" s="1"/>
  <c r="R56" i="1"/>
  <c r="U56" i="1" s="1"/>
  <c r="P1123" i="1" l="1"/>
  <c r="R1123" i="1"/>
  <c r="U1123" i="1" s="1"/>
  <c r="Q1124" i="1" s="1"/>
  <c r="T1124" i="1" s="1"/>
  <c r="S1123" i="1"/>
  <c r="P910" i="1"/>
  <c r="S706" i="1"/>
  <c r="R706" i="1"/>
  <c r="U706" i="1" s="1"/>
  <c r="Q707" i="1" s="1"/>
  <c r="T707" i="1" s="1"/>
  <c r="S808" i="1"/>
  <c r="R808" i="1"/>
  <c r="U808" i="1" s="1"/>
  <c r="Q809" i="1" s="1"/>
  <c r="T809" i="1" s="1"/>
  <c r="S402" i="1"/>
  <c r="R402" i="1"/>
  <c r="U402" i="1" s="1"/>
  <c r="Q403" i="1" s="1"/>
  <c r="T403" i="1" s="1"/>
  <c r="R1019" i="1"/>
  <c r="U1019" i="1" s="1"/>
  <c r="Q1020" i="1" s="1"/>
  <c r="T1020" i="1" s="1"/>
  <c r="S1019" i="1"/>
  <c r="S608" i="1"/>
  <c r="R608" i="1"/>
  <c r="U608" i="1" s="1"/>
  <c r="Q609" i="1" s="1"/>
  <c r="T609" i="1" s="1"/>
  <c r="S910" i="1"/>
  <c r="R910" i="1"/>
  <c r="U910" i="1" s="1"/>
  <c r="Q911" i="1" s="1"/>
  <c r="T911" i="1" s="1"/>
  <c r="R204" i="1"/>
  <c r="U204" i="1" s="1"/>
  <c r="Q205" i="1" s="1"/>
  <c r="T205" i="1" s="1"/>
  <c r="S204" i="1"/>
  <c r="P304" i="1"/>
  <c r="R304" i="1" s="1"/>
  <c r="U304" i="1" s="1"/>
  <c r="Q305" i="1" s="1"/>
  <c r="T305" i="1" s="1"/>
  <c r="R505" i="1"/>
  <c r="U505" i="1" s="1"/>
  <c r="Q506" i="1" s="1"/>
  <c r="T506" i="1" s="1"/>
  <c r="S505" i="1"/>
  <c r="E133" i="2"/>
  <c r="D133" i="2" s="1"/>
  <c r="F133" i="2" s="1"/>
  <c r="P57" i="1"/>
  <c r="S57" i="1" s="1"/>
  <c r="P1124" i="1" l="1"/>
  <c r="P707" i="1"/>
  <c r="P1020" i="1"/>
  <c r="P809" i="1"/>
  <c r="P403" i="1"/>
  <c r="P205" i="1"/>
  <c r="S205" i="1" s="1"/>
  <c r="R1020" i="1"/>
  <c r="U1020" i="1" s="1"/>
  <c r="Q1021" i="1" s="1"/>
  <c r="T1021" i="1" s="1"/>
  <c r="S1020" i="1"/>
  <c r="P1021" i="1" s="1"/>
  <c r="R1021" i="1" s="1"/>
  <c r="U1021" i="1" s="1"/>
  <c r="Q1022" i="1" s="1"/>
  <c r="T1022" i="1" s="1"/>
  <c r="P609" i="1"/>
  <c r="S304" i="1"/>
  <c r="P305" i="1" s="1"/>
  <c r="P911" i="1"/>
  <c r="P506" i="1"/>
  <c r="R506" i="1" s="1"/>
  <c r="U506" i="1" s="1"/>
  <c r="Q507" i="1" s="1"/>
  <c r="T507" i="1" s="1"/>
  <c r="E134" i="2"/>
  <c r="D134" i="2" s="1"/>
  <c r="F134" i="2" s="1"/>
  <c r="Q57" i="1"/>
  <c r="T57" i="1" s="1"/>
  <c r="R1124" i="1" l="1"/>
  <c r="U1124" i="1" s="1"/>
  <c r="S1124" i="1"/>
  <c r="R205" i="1"/>
  <c r="U205" i="1" s="1"/>
  <c r="Q206" i="1" s="1"/>
  <c r="T206" i="1" s="1"/>
  <c r="R809" i="1"/>
  <c r="U809" i="1" s="1"/>
  <c r="Q810" i="1" s="1"/>
  <c r="T810" i="1" s="1"/>
  <c r="S809" i="1"/>
  <c r="P810" i="1" s="1"/>
  <c r="R707" i="1"/>
  <c r="U707" i="1" s="1"/>
  <c r="Q708" i="1" s="1"/>
  <c r="T708" i="1" s="1"/>
  <c r="S707" i="1"/>
  <c r="P708" i="1" s="1"/>
  <c r="S1021" i="1"/>
  <c r="P1022" i="1" s="1"/>
  <c r="R403" i="1"/>
  <c r="U403" i="1" s="1"/>
  <c r="Q404" i="1" s="1"/>
  <c r="T404" i="1" s="1"/>
  <c r="S403" i="1"/>
  <c r="S506" i="1"/>
  <c r="P507" i="1" s="1"/>
  <c r="R507" i="1" s="1"/>
  <c r="U507" i="1" s="1"/>
  <c r="Q508" i="1" s="1"/>
  <c r="T508" i="1" s="1"/>
  <c r="S609" i="1"/>
  <c r="R609" i="1"/>
  <c r="U609" i="1" s="1"/>
  <c r="Q610" i="1" s="1"/>
  <c r="T610" i="1" s="1"/>
  <c r="R305" i="1"/>
  <c r="U305" i="1" s="1"/>
  <c r="Q306" i="1" s="1"/>
  <c r="T306" i="1" s="1"/>
  <c r="S305" i="1"/>
  <c r="P306" i="1" s="1"/>
  <c r="S911" i="1"/>
  <c r="R911" i="1"/>
  <c r="U911" i="1" s="1"/>
  <c r="Q912" i="1" s="1"/>
  <c r="T912" i="1" s="1"/>
  <c r="E135" i="2"/>
  <c r="D135" i="2" s="1"/>
  <c r="F135" i="2" s="1"/>
  <c r="R57" i="1"/>
  <c r="U57" i="1" s="1"/>
  <c r="S810" i="1" l="1"/>
  <c r="R810" i="1"/>
  <c r="U810" i="1" s="1"/>
  <c r="Q811" i="1" s="1"/>
  <c r="T811" i="1" s="1"/>
  <c r="R708" i="1"/>
  <c r="U708" i="1" s="1"/>
  <c r="Q709" i="1" s="1"/>
  <c r="T709" i="1" s="1"/>
  <c r="S708" i="1"/>
  <c r="P709" i="1" s="1"/>
  <c r="P404" i="1"/>
  <c r="P206" i="1"/>
  <c r="S404" i="1"/>
  <c r="R404" i="1"/>
  <c r="U404" i="1" s="1"/>
  <c r="Q405" i="1" s="1"/>
  <c r="T405" i="1" s="1"/>
  <c r="P610" i="1"/>
  <c r="R306" i="1"/>
  <c r="U306" i="1" s="1"/>
  <c r="Q307" i="1" s="1"/>
  <c r="T307" i="1" s="1"/>
  <c r="S306" i="1"/>
  <c r="P307" i="1" s="1"/>
  <c r="P912" i="1"/>
  <c r="S1022" i="1"/>
  <c r="R1022" i="1"/>
  <c r="U1022" i="1" s="1"/>
  <c r="S507" i="1"/>
  <c r="P508" i="1" s="1"/>
  <c r="E136" i="2"/>
  <c r="D136" i="2" s="1"/>
  <c r="F136" i="2" s="1"/>
  <c r="P58" i="1"/>
  <c r="S58" i="1" s="1"/>
  <c r="R709" i="1" l="1"/>
  <c r="U709" i="1" s="1"/>
  <c r="Q710" i="1" s="1"/>
  <c r="T710" i="1" s="1"/>
  <c r="S709" i="1"/>
  <c r="P710" i="1" s="1"/>
  <c r="S206" i="1"/>
  <c r="R206" i="1"/>
  <c r="U206" i="1" s="1"/>
  <c r="P811" i="1"/>
  <c r="P405" i="1"/>
  <c r="S610" i="1"/>
  <c r="R610" i="1"/>
  <c r="U610" i="1" s="1"/>
  <c r="Q611" i="1" s="1"/>
  <c r="T611" i="1" s="1"/>
  <c r="R912" i="1"/>
  <c r="U912" i="1" s="1"/>
  <c r="Q913" i="1" s="1"/>
  <c r="T913" i="1" s="1"/>
  <c r="S912" i="1"/>
  <c r="S307" i="1"/>
  <c r="R307" i="1"/>
  <c r="U307" i="1" s="1"/>
  <c r="Q308" i="1" s="1"/>
  <c r="T308" i="1" s="1"/>
  <c r="S508" i="1"/>
  <c r="R508" i="1"/>
  <c r="U508" i="1" s="1"/>
  <c r="Q509" i="1" s="1"/>
  <c r="T509" i="1" s="1"/>
  <c r="E137" i="2"/>
  <c r="D137" i="2" s="1"/>
  <c r="F137" i="2" s="1"/>
  <c r="Q58" i="1"/>
  <c r="T58" i="1" s="1"/>
  <c r="P913" i="1" l="1"/>
  <c r="S811" i="1"/>
  <c r="R811" i="1"/>
  <c r="U811" i="1" s="1"/>
  <c r="Q812" i="1" s="1"/>
  <c r="T812" i="1" s="1"/>
  <c r="R710" i="1"/>
  <c r="U710" i="1" s="1"/>
  <c r="Q711" i="1" s="1"/>
  <c r="T711" i="1" s="1"/>
  <c r="S710" i="1"/>
  <c r="P711" i="1" s="1"/>
  <c r="R405" i="1"/>
  <c r="U405" i="1" s="1"/>
  <c r="Q406" i="1" s="1"/>
  <c r="T406" i="1" s="1"/>
  <c r="S405" i="1"/>
  <c r="P406" i="1" s="1"/>
  <c r="P611" i="1"/>
  <c r="R913" i="1"/>
  <c r="U913" i="1" s="1"/>
  <c r="Q914" i="1" s="1"/>
  <c r="T914" i="1" s="1"/>
  <c r="S913" i="1"/>
  <c r="P308" i="1"/>
  <c r="P509" i="1"/>
  <c r="R509" i="1"/>
  <c r="U509" i="1" s="1"/>
  <c r="Q510" i="1" s="1"/>
  <c r="T510" i="1" s="1"/>
  <c r="S509" i="1"/>
  <c r="E138" i="2"/>
  <c r="D138" i="2" s="1"/>
  <c r="F138" i="2" s="1"/>
  <c r="R58" i="1"/>
  <c r="U58" i="1" s="1"/>
  <c r="R711" i="1" l="1"/>
  <c r="U711" i="1" s="1"/>
  <c r="Q712" i="1" s="1"/>
  <c r="T712" i="1" s="1"/>
  <c r="S711" i="1"/>
  <c r="P712" i="1" s="1"/>
  <c r="P812" i="1"/>
  <c r="S406" i="1"/>
  <c r="R406" i="1"/>
  <c r="U406" i="1" s="1"/>
  <c r="Q407" i="1" s="1"/>
  <c r="T407" i="1" s="1"/>
  <c r="S611" i="1"/>
  <c r="R611" i="1"/>
  <c r="U611" i="1" s="1"/>
  <c r="Q612" i="1" s="1"/>
  <c r="T612" i="1" s="1"/>
  <c r="P914" i="1"/>
  <c r="S914" i="1" s="1"/>
  <c r="P510" i="1"/>
  <c r="R510" i="1" s="1"/>
  <c r="U510" i="1" s="1"/>
  <c r="Q511" i="1" s="1"/>
  <c r="T511" i="1" s="1"/>
  <c r="R308" i="1"/>
  <c r="U308" i="1" s="1"/>
  <c r="S308" i="1"/>
  <c r="E139" i="2"/>
  <c r="D139" i="2" s="1"/>
  <c r="F139" i="2" s="1"/>
  <c r="P59" i="1"/>
  <c r="S59" i="1" s="1"/>
  <c r="S510" i="1" l="1"/>
  <c r="S812" i="1"/>
  <c r="R812" i="1"/>
  <c r="U812" i="1" s="1"/>
  <c r="Q813" i="1" s="1"/>
  <c r="T813" i="1" s="1"/>
  <c r="R914" i="1"/>
  <c r="U914" i="1" s="1"/>
  <c r="Q915" i="1" s="1"/>
  <c r="T915" i="1" s="1"/>
  <c r="S712" i="1"/>
  <c r="R712" i="1"/>
  <c r="U712" i="1" s="1"/>
  <c r="Q713" i="1" s="1"/>
  <c r="T713" i="1" s="1"/>
  <c r="P407" i="1"/>
  <c r="P612" i="1"/>
  <c r="P511" i="1"/>
  <c r="E140" i="2"/>
  <c r="D140" i="2" s="1"/>
  <c r="F140" i="2" s="1"/>
  <c r="Q59" i="1"/>
  <c r="T59" i="1" s="1"/>
  <c r="P915" i="1" l="1"/>
  <c r="P713" i="1"/>
  <c r="P813" i="1"/>
  <c r="S407" i="1"/>
  <c r="R407" i="1"/>
  <c r="U407" i="1" s="1"/>
  <c r="Q408" i="1" s="1"/>
  <c r="T408" i="1" s="1"/>
  <c r="R612" i="1"/>
  <c r="U612" i="1" s="1"/>
  <c r="Q613" i="1" s="1"/>
  <c r="T613" i="1" s="1"/>
  <c r="S612" i="1"/>
  <c r="R915" i="1"/>
  <c r="U915" i="1" s="1"/>
  <c r="Q916" i="1" s="1"/>
  <c r="T916" i="1" s="1"/>
  <c r="S915" i="1"/>
  <c r="R511" i="1"/>
  <c r="U511" i="1" s="1"/>
  <c r="Q512" i="1" s="1"/>
  <c r="T512" i="1" s="1"/>
  <c r="S511" i="1"/>
  <c r="E141" i="2"/>
  <c r="D141" i="2" s="1"/>
  <c r="F141" i="2" s="1"/>
  <c r="R59" i="1"/>
  <c r="U59" i="1" s="1"/>
  <c r="R813" i="1" l="1"/>
  <c r="U813" i="1" s="1"/>
  <c r="Q814" i="1" s="1"/>
  <c r="T814" i="1" s="1"/>
  <c r="S813" i="1"/>
  <c r="P814" i="1" s="1"/>
  <c r="S713" i="1"/>
  <c r="R713" i="1"/>
  <c r="U713" i="1" s="1"/>
  <c r="Q714" i="1" s="1"/>
  <c r="T714" i="1" s="1"/>
  <c r="P408" i="1"/>
  <c r="P916" i="1"/>
  <c r="R916" i="1" s="1"/>
  <c r="U916" i="1" s="1"/>
  <c r="Q917" i="1" s="1"/>
  <c r="T917" i="1" s="1"/>
  <c r="P613" i="1"/>
  <c r="S613" i="1" s="1"/>
  <c r="R613" i="1"/>
  <c r="U613" i="1" s="1"/>
  <c r="Q614" i="1" s="1"/>
  <c r="T614" i="1" s="1"/>
  <c r="P512" i="1"/>
  <c r="R512" i="1" s="1"/>
  <c r="U512" i="1" s="1"/>
  <c r="E142" i="2"/>
  <c r="D142" i="2" s="1"/>
  <c r="F142" i="2" s="1"/>
  <c r="P60" i="1"/>
  <c r="S60" i="1" s="1"/>
  <c r="P614" i="1" l="1"/>
  <c r="S916" i="1"/>
  <c r="P917" i="1" s="1"/>
  <c r="R917" i="1" s="1"/>
  <c r="U917" i="1" s="1"/>
  <c r="Q918" i="1" s="1"/>
  <c r="T918" i="1" s="1"/>
  <c r="P714" i="1"/>
  <c r="R814" i="1"/>
  <c r="U814" i="1" s="1"/>
  <c r="Q815" i="1" s="1"/>
  <c r="T815" i="1" s="1"/>
  <c r="S814" i="1"/>
  <c r="P815" i="1" s="1"/>
  <c r="S408" i="1"/>
  <c r="R408" i="1"/>
  <c r="U408" i="1" s="1"/>
  <c r="Q409" i="1" s="1"/>
  <c r="T409" i="1" s="1"/>
  <c r="S512" i="1"/>
  <c r="R614" i="1"/>
  <c r="U614" i="1" s="1"/>
  <c r="S614" i="1"/>
  <c r="E143" i="2"/>
  <c r="D143" i="2" s="1"/>
  <c r="F143" i="2" s="1"/>
  <c r="Q60" i="1"/>
  <c r="T60" i="1" s="1"/>
  <c r="S815" i="1" l="1"/>
  <c r="R815" i="1"/>
  <c r="U815" i="1" s="1"/>
  <c r="Q816" i="1" s="1"/>
  <c r="T816" i="1" s="1"/>
  <c r="S714" i="1"/>
  <c r="R714" i="1"/>
  <c r="U714" i="1" s="1"/>
  <c r="Q715" i="1" s="1"/>
  <c r="T715" i="1" s="1"/>
  <c r="P409" i="1"/>
  <c r="S917" i="1"/>
  <c r="P918" i="1" s="1"/>
  <c r="R918" i="1" s="1"/>
  <c r="U918" i="1" s="1"/>
  <c r="Q919" i="1" s="1"/>
  <c r="T919" i="1" s="1"/>
  <c r="E144" i="2"/>
  <c r="D144" i="2" s="1"/>
  <c r="F144" i="2" s="1"/>
  <c r="R60" i="1"/>
  <c r="U60" i="1" s="1"/>
  <c r="P715" i="1" l="1"/>
  <c r="P816" i="1"/>
  <c r="R409" i="1"/>
  <c r="U409" i="1" s="1"/>
  <c r="Q410" i="1" s="1"/>
  <c r="T410" i="1" s="1"/>
  <c r="S409" i="1"/>
  <c r="P410" i="1" s="1"/>
  <c r="S918" i="1"/>
  <c r="P919" i="1" s="1"/>
  <c r="S919" i="1" s="1"/>
  <c r="E145" i="2"/>
  <c r="D145" i="2" s="1"/>
  <c r="F145" i="2" s="1"/>
  <c r="P61" i="1"/>
  <c r="S61" i="1" s="1"/>
  <c r="S816" i="1" l="1"/>
  <c r="R816" i="1"/>
  <c r="U816" i="1" s="1"/>
  <c r="Q817" i="1" s="1"/>
  <c r="T817" i="1" s="1"/>
  <c r="S715" i="1"/>
  <c r="R715" i="1"/>
  <c r="U715" i="1" s="1"/>
  <c r="Q716" i="1" s="1"/>
  <c r="T716" i="1" s="1"/>
  <c r="R410" i="1"/>
  <c r="U410" i="1" s="1"/>
  <c r="S410" i="1"/>
  <c r="R919" i="1"/>
  <c r="U919" i="1" s="1"/>
  <c r="Q920" i="1" s="1"/>
  <c r="T920" i="1" s="1"/>
  <c r="E146" i="2"/>
  <c r="D146" i="2" s="1"/>
  <c r="F146" i="2" s="1"/>
  <c r="Q61" i="1"/>
  <c r="T61" i="1" s="1"/>
  <c r="P716" i="1" l="1"/>
  <c r="P817" i="1"/>
  <c r="P920" i="1"/>
  <c r="S920" i="1" s="1"/>
  <c r="R920" i="1"/>
  <c r="U920" i="1" s="1"/>
  <c r="E147" i="2"/>
  <c r="D147" i="2" s="1"/>
  <c r="F147" i="2" s="1"/>
  <c r="R61" i="1"/>
  <c r="U61" i="1" s="1"/>
  <c r="R817" i="1" l="1"/>
  <c r="U817" i="1" s="1"/>
  <c r="Q818" i="1" s="1"/>
  <c r="T818" i="1" s="1"/>
  <c r="S817" i="1"/>
  <c r="P818" i="1" s="1"/>
  <c r="R716" i="1"/>
  <c r="U716" i="1" s="1"/>
  <c r="S716" i="1"/>
  <c r="E148" i="2"/>
  <c r="D148" i="2" s="1"/>
  <c r="F148" i="2" s="1"/>
  <c r="P62" i="1"/>
  <c r="S62" i="1" s="1"/>
  <c r="S818" i="1" l="1"/>
  <c r="R818" i="1"/>
  <c r="U818" i="1" s="1"/>
  <c r="E149" i="2"/>
  <c r="D149" i="2" s="1"/>
  <c r="F149" i="2" s="1"/>
  <c r="Q62" i="1"/>
  <c r="T62" i="1" s="1"/>
  <c r="E150" i="2" l="1"/>
  <c r="D150" i="2" s="1"/>
  <c r="F150" i="2" s="1"/>
  <c r="R62" i="1"/>
  <c r="U62" i="1" s="1"/>
  <c r="E151" i="2" l="1"/>
  <c r="D151" i="2" s="1"/>
  <c r="F151" i="2" s="1"/>
  <c r="P63" i="1"/>
  <c r="S63" i="1" s="1"/>
  <c r="E152" i="2" l="1"/>
  <c r="D152" i="2" s="1"/>
  <c r="F152" i="2" s="1"/>
  <c r="Q63" i="1"/>
  <c r="T63" i="1" s="1"/>
  <c r="E153" i="2" l="1"/>
  <c r="D153" i="2" s="1"/>
  <c r="F153" i="2" s="1"/>
  <c r="R63" i="1"/>
  <c r="U63" i="1" s="1"/>
  <c r="E154" i="2" l="1"/>
  <c r="D154" i="2" s="1"/>
  <c r="F154" i="2" s="1"/>
  <c r="P64" i="1"/>
  <c r="S64" i="1" s="1"/>
  <c r="E155" i="2" l="1"/>
  <c r="D155" i="2" s="1"/>
  <c r="F155" i="2" s="1"/>
  <c r="Q64" i="1"/>
  <c r="T64" i="1" s="1"/>
  <c r="E156" i="2" l="1"/>
  <c r="D156" i="2" s="1"/>
  <c r="F156" i="2" s="1"/>
  <c r="R64" i="1"/>
  <c r="U64" i="1" s="1"/>
  <c r="E157" i="2" l="1"/>
  <c r="D157" i="2" s="1"/>
  <c r="F157" i="2" s="1"/>
  <c r="P65" i="1"/>
  <c r="S65" i="1" s="1"/>
  <c r="E158" i="2" l="1"/>
  <c r="D158" i="2" s="1"/>
  <c r="F158" i="2" s="1"/>
  <c r="Q65" i="1"/>
  <c r="T65" i="1" s="1"/>
  <c r="E159" i="2" l="1"/>
  <c r="D159" i="2" s="1"/>
  <c r="F159" i="2" s="1"/>
  <c r="R65" i="1"/>
  <c r="U65" i="1" s="1"/>
  <c r="E160" i="2" l="1"/>
  <c r="D160" i="2" s="1"/>
  <c r="F160" i="2" s="1"/>
  <c r="P66" i="1"/>
  <c r="S66" i="1" s="1"/>
  <c r="E161" i="2" l="1"/>
  <c r="D161" i="2" s="1"/>
  <c r="F161" i="2" s="1"/>
  <c r="Q66" i="1"/>
  <c r="T66" i="1" s="1"/>
  <c r="E162" i="2" l="1"/>
  <c r="D162" i="2" s="1"/>
  <c r="F162" i="2" s="1"/>
  <c r="R66" i="1"/>
  <c r="U66" i="1" s="1"/>
  <c r="E163" i="2" l="1"/>
  <c r="D163" i="2" s="1"/>
  <c r="F163" i="2" s="1"/>
  <c r="P67" i="1"/>
  <c r="S67" i="1" s="1"/>
  <c r="E164" i="2" l="1"/>
  <c r="D164" i="2" s="1"/>
  <c r="F164" i="2" s="1"/>
  <c r="Q67" i="1"/>
  <c r="T67" i="1" s="1"/>
  <c r="E165" i="2" l="1"/>
  <c r="D165" i="2" s="1"/>
  <c r="F165" i="2" s="1"/>
  <c r="R67" i="1"/>
  <c r="U67" i="1" s="1"/>
  <c r="E166" i="2" l="1"/>
  <c r="D166" i="2" s="1"/>
  <c r="F166" i="2" s="1"/>
  <c r="P68" i="1"/>
  <c r="S68" i="1" s="1"/>
  <c r="E167" i="2" l="1"/>
  <c r="D167" i="2" s="1"/>
  <c r="F167" i="2" s="1"/>
  <c r="Q68" i="1"/>
  <c r="T68" i="1" s="1"/>
  <c r="E168" i="2" l="1"/>
  <c r="D168" i="2" s="1"/>
  <c r="F168" i="2" s="1"/>
  <c r="R68" i="1"/>
  <c r="U68" i="1" s="1"/>
  <c r="E169" i="2" l="1"/>
  <c r="D169" i="2" s="1"/>
  <c r="F169" i="2" s="1"/>
  <c r="P69" i="1"/>
  <c r="S69" i="1" s="1"/>
  <c r="E170" i="2" l="1"/>
  <c r="D170" i="2" s="1"/>
  <c r="F170" i="2" s="1"/>
  <c r="Q69" i="1"/>
  <c r="T69" i="1" s="1"/>
  <c r="E171" i="2" l="1"/>
  <c r="D171" i="2" s="1"/>
  <c r="F171" i="2" s="1"/>
  <c r="R69" i="1"/>
  <c r="U69" i="1" s="1"/>
  <c r="E172" i="2" l="1"/>
  <c r="D172" i="2" s="1"/>
  <c r="F172" i="2" s="1"/>
  <c r="P70" i="1"/>
  <c r="S70" i="1" s="1"/>
  <c r="E173" i="2" l="1"/>
  <c r="D173" i="2" s="1"/>
  <c r="F173" i="2" s="1"/>
  <c r="Q70" i="1"/>
  <c r="T70" i="1" s="1"/>
  <c r="E174" i="2" l="1"/>
  <c r="D174" i="2" s="1"/>
  <c r="F174" i="2" s="1"/>
  <c r="R70" i="1"/>
  <c r="U70" i="1" s="1"/>
  <c r="E175" i="2" l="1"/>
  <c r="D175" i="2" s="1"/>
  <c r="F175" i="2" s="1"/>
  <c r="P71" i="1"/>
  <c r="S71" i="1" s="1"/>
  <c r="E176" i="2" l="1"/>
  <c r="D176" i="2" s="1"/>
  <c r="F176" i="2" s="1"/>
  <c r="Q71" i="1"/>
  <c r="T71" i="1" s="1"/>
  <c r="E177" i="2" l="1"/>
  <c r="D177" i="2" s="1"/>
  <c r="F177" i="2" s="1"/>
  <c r="R71" i="1"/>
  <c r="U71" i="1" s="1"/>
  <c r="E178" i="2" l="1"/>
  <c r="D178" i="2" s="1"/>
  <c r="F178" i="2" s="1"/>
  <c r="P72" i="1"/>
  <c r="S72" i="1" s="1"/>
  <c r="E179" i="2" l="1"/>
  <c r="D179" i="2" s="1"/>
  <c r="F179" i="2" s="1"/>
  <c r="Q72" i="1"/>
  <c r="T72" i="1" s="1"/>
  <c r="E180" i="2" l="1"/>
  <c r="D180" i="2" s="1"/>
  <c r="F180" i="2" s="1"/>
  <c r="R72" i="1"/>
  <c r="U72" i="1" s="1"/>
  <c r="E181" i="2" l="1"/>
  <c r="D181" i="2" s="1"/>
  <c r="F181" i="2" s="1"/>
  <c r="P73" i="1"/>
  <c r="S73" i="1" s="1"/>
  <c r="E182" i="2" l="1"/>
  <c r="D182" i="2" s="1"/>
  <c r="F182" i="2" s="1"/>
  <c r="Q73" i="1"/>
  <c r="T73" i="1" s="1"/>
  <c r="E183" i="2" l="1"/>
  <c r="D183" i="2" s="1"/>
  <c r="F183" i="2" s="1"/>
  <c r="R73" i="1"/>
  <c r="U73" i="1" s="1"/>
  <c r="E184" i="2" l="1"/>
  <c r="D184" i="2" s="1"/>
  <c r="F184" i="2" s="1"/>
  <c r="P74" i="1"/>
  <c r="S74" i="1" s="1"/>
  <c r="E185" i="2" l="1"/>
  <c r="D185" i="2" s="1"/>
  <c r="F185" i="2" s="1"/>
  <c r="Q74" i="1"/>
  <c r="T74" i="1" s="1"/>
  <c r="E186" i="2" l="1"/>
  <c r="D186" i="2" s="1"/>
  <c r="F186" i="2" s="1"/>
  <c r="R74" i="1"/>
  <c r="U74" i="1" s="1"/>
  <c r="E187" i="2" l="1"/>
  <c r="D187" i="2" s="1"/>
  <c r="F187" i="2" s="1"/>
  <c r="P75" i="1"/>
  <c r="S75" i="1" s="1"/>
  <c r="E188" i="2" l="1"/>
  <c r="D188" i="2" s="1"/>
  <c r="F188" i="2" s="1"/>
  <c r="Q75" i="1"/>
  <c r="T75" i="1" s="1"/>
  <c r="E189" i="2" l="1"/>
  <c r="D189" i="2" s="1"/>
  <c r="F189" i="2" s="1"/>
  <c r="R75" i="1"/>
  <c r="U75" i="1" s="1"/>
  <c r="E190" i="2" l="1"/>
  <c r="D190" i="2" s="1"/>
  <c r="F190" i="2" s="1"/>
  <c r="P76" i="1"/>
  <c r="S76" i="1" s="1"/>
  <c r="E191" i="2" l="1"/>
  <c r="D191" i="2" s="1"/>
  <c r="F191" i="2" s="1"/>
  <c r="Q76" i="1"/>
  <c r="T76" i="1" s="1"/>
  <c r="E192" i="2" l="1"/>
  <c r="D192" i="2" s="1"/>
  <c r="F192" i="2" s="1"/>
  <c r="R76" i="1"/>
  <c r="U76" i="1" s="1"/>
  <c r="E193" i="2" l="1"/>
  <c r="D193" i="2" s="1"/>
  <c r="F193" i="2" s="1"/>
  <c r="P77" i="1"/>
  <c r="S77" i="1" s="1"/>
  <c r="E194" i="2" l="1"/>
  <c r="D194" i="2" s="1"/>
  <c r="F194" i="2" s="1"/>
  <c r="Q77" i="1"/>
  <c r="T77" i="1" s="1"/>
  <c r="E195" i="2" l="1"/>
  <c r="D195" i="2" s="1"/>
  <c r="F195" i="2" s="1"/>
  <c r="R77" i="1"/>
  <c r="U77" i="1" s="1"/>
  <c r="E196" i="2" l="1"/>
  <c r="D196" i="2" s="1"/>
  <c r="F196" i="2" s="1"/>
  <c r="P78" i="1"/>
  <c r="S78" i="1" s="1"/>
  <c r="E197" i="2" l="1"/>
  <c r="D197" i="2" s="1"/>
  <c r="F197" i="2" s="1"/>
  <c r="Q78" i="1"/>
  <c r="T78" i="1" s="1"/>
  <c r="E198" i="2" l="1"/>
  <c r="D198" i="2" s="1"/>
  <c r="F198" i="2" s="1"/>
  <c r="R78" i="1"/>
  <c r="U78" i="1" s="1"/>
  <c r="E199" i="2" l="1"/>
  <c r="D199" i="2" s="1"/>
  <c r="F199" i="2" s="1"/>
  <c r="P79" i="1"/>
  <c r="S79" i="1" s="1"/>
  <c r="E200" i="2" l="1"/>
  <c r="D200" i="2" s="1"/>
  <c r="F200" i="2" s="1"/>
  <c r="Q79" i="1"/>
  <c r="T79" i="1" s="1"/>
  <c r="E201" i="2" l="1"/>
  <c r="D201" i="2" s="1"/>
  <c r="F201" i="2" s="1"/>
  <c r="R79" i="1"/>
  <c r="U79" i="1" s="1"/>
  <c r="E202" i="2" l="1"/>
  <c r="D202" i="2" s="1"/>
  <c r="F202" i="2" s="1"/>
  <c r="P80" i="1"/>
  <c r="S80" i="1" s="1"/>
  <c r="E203" i="2" l="1"/>
  <c r="D203" i="2" s="1"/>
  <c r="F203" i="2" s="1"/>
  <c r="Q80" i="1"/>
  <c r="T80" i="1" s="1"/>
  <c r="E204" i="2" l="1"/>
  <c r="D204" i="2" s="1"/>
  <c r="F204" i="2" s="1"/>
  <c r="R80" i="1"/>
  <c r="U80" i="1" s="1"/>
  <c r="E205" i="2" l="1"/>
  <c r="D205" i="2" s="1"/>
  <c r="F205" i="2" s="1"/>
  <c r="P81" i="1"/>
  <c r="S81" i="1" s="1"/>
  <c r="E206" i="2" l="1"/>
  <c r="D206" i="2" s="1"/>
  <c r="F206" i="2" s="1"/>
  <c r="Q81" i="1"/>
  <c r="T81" i="1" s="1"/>
  <c r="E207" i="2" l="1"/>
  <c r="D207" i="2" s="1"/>
  <c r="F207" i="2" s="1"/>
  <c r="R81" i="1"/>
  <c r="U81" i="1" s="1"/>
  <c r="E208" i="2" l="1"/>
  <c r="D208" i="2" s="1"/>
  <c r="F208" i="2" s="1"/>
  <c r="P82" i="1"/>
  <c r="S82" i="1" s="1"/>
  <c r="E209" i="2" l="1"/>
  <c r="D209" i="2" s="1"/>
  <c r="F209" i="2" s="1"/>
  <c r="Q82" i="1"/>
  <c r="T82" i="1" s="1"/>
  <c r="E210" i="2" l="1"/>
  <c r="D210" i="2" s="1"/>
  <c r="F210" i="2" s="1"/>
  <c r="R82" i="1"/>
  <c r="U82" i="1" s="1"/>
  <c r="E211" i="2" l="1"/>
  <c r="D211" i="2" s="1"/>
  <c r="F211" i="2" s="1"/>
  <c r="P83" i="1"/>
  <c r="S83" i="1" s="1"/>
  <c r="E212" i="2" l="1"/>
  <c r="D212" i="2" s="1"/>
  <c r="F212" i="2" s="1"/>
  <c r="Q83" i="1"/>
  <c r="T83" i="1" s="1"/>
  <c r="E213" i="2" l="1"/>
  <c r="D213" i="2" s="1"/>
  <c r="F213" i="2" s="1"/>
  <c r="R83" i="1"/>
  <c r="U83" i="1" s="1"/>
  <c r="E214" i="2" l="1"/>
  <c r="D214" i="2" s="1"/>
  <c r="F214" i="2" s="1"/>
  <c r="P84" i="1"/>
  <c r="S84" i="1" s="1"/>
  <c r="E215" i="2" l="1"/>
  <c r="D215" i="2" s="1"/>
  <c r="F215" i="2" s="1"/>
  <c r="Q84" i="1"/>
  <c r="T84" i="1" s="1"/>
  <c r="E216" i="2" l="1"/>
  <c r="D216" i="2" s="1"/>
  <c r="F216" i="2" s="1"/>
  <c r="R84" i="1"/>
  <c r="U84" i="1" s="1"/>
  <c r="E217" i="2" l="1"/>
  <c r="D217" i="2" s="1"/>
  <c r="F217" i="2" s="1"/>
  <c r="P85" i="1"/>
  <c r="S85" i="1" s="1"/>
  <c r="E218" i="2" l="1"/>
  <c r="D218" i="2" s="1"/>
  <c r="F218" i="2" s="1"/>
  <c r="Q85" i="1"/>
  <c r="T85" i="1" s="1"/>
  <c r="E219" i="2" l="1"/>
  <c r="D219" i="2" s="1"/>
  <c r="F219" i="2" s="1"/>
  <c r="R85" i="1"/>
  <c r="U85" i="1" s="1"/>
  <c r="E220" i="2" l="1"/>
  <c r="D220" i="2" s="1"/>
  <c r="F220" i="2" s="1"/>
  <c r="P86" i="1"/>
  <c r="S86" i="1" s="1"/>
  <c r="E221" i="2" l="1"/>
  <c r="D221" i="2" s="1"/>
  <c r="F221" i="2" s="1"/>
  <c r="Q86" i="1"/>
  <c r="T86" i="1" s="1"/>
  <c r="E222" i="2" l="1"/>
  <c r="D222" i="2" s="1"/>
  <c r="F222" i="2" s="1"/>
  <c r="R86" i="1"/>
  <c r="U86" i="1" s="1"/>
  <c r="E223" i="2" l="1"/>
  <c r="D223" i="2" s="1"/>
  <c r="F223" i="2" s="1"/>
  <c r="P87" i="1"/>
  <c r="S87" i="1" s="1"/>
  <c r="E224" i="2" l="1"/>
  <c r="D224" i="2" s="1"/>
  <c r="F224" i="2" s="1"/>
  <c r="Q87" i="1"/>
  <c r="T87" i="1" s="1"/>
  <c r="E225" i="2" l="1"/>
  <c r="D225" i="2" s="1"/>
  <c r="F225" i="2" s="1"/>
  <c r="R87" i="1"/>
  <c r="U87" i="1" s="1"/>
  <c r="E226" i="2" l="1"/>
  <c r="D226" i="2" s="1"/>
  <c r="F226" i="2" s="1"/>
  <c r="P88" i="1"/>
  <c r="S88" i="1" s="1"/>
  <c r="E227" i="2" l="1"/>
  <c r="D227" i="2" s="1"/>
  <c r="F227" i="2" s="1"/>
  <c r="Q88" i="1"/>
  <c r="T88" i="1" s="1"/>
  <c r="E228" i="2" l="1"/>
  <c r="D228" i="2" s="1"/>
  <c r="F228" i="2" s="1"/>
  <c r="R88" i="1"/>
  <c r="U88" i="1" s="1"/>
  <c r="E229" i="2" l="1"/>
  <c r="D229" i="2" s="1"/>
  <c r="F229" i="2" s="1"/>
  <c r="P89" i="1"/>
  <c r="S89" i="1" s="1"/>
  <c r="E230" i="2" l="1"/>
  <c r="D230" i="2" s="1"/>
  <c r="F230" i="2" s="1"/>
  <c r="Q89" i="1"/>
  <c r="T89" i="1" s="1"/>
  <c r="E231" i="2" l="1"/>
  <c r="D231" i="2" s="1"/>
  <c r="F231" i="2" s="1"/>
  <c r="R89" i="1"/>
  <c r="U89" i="1" s="1"/>
  <c r="E232" i="2" l="1"/>
  <c r="D232" i="2" s="1"/>
  <c r="F232" i="2" s="1"/>
  <c r="P90" i="1"/>
  <c r="S90" i="1" s="1"/>
  <c r="E233" i="2" l="1"/>
  <c r="D233" i="2" s="1"/>
  <c r="F233" i="2" s="1"/>
  <c r="Q90" i="1"/>
  <c r="T90" i="1" s="1"/>
  <c r="E234" i="2" l="1"/>
  <c r="D234" i="2" s="1"/>
  <c r="F234" i="2" s="1"/>
  <c r="R90" i="1"/>
  <c r="U90" i="1" s="1"/>
  <c r="E235" i="2" l="1"/>
  <c r="D235" i="2" s="1"/>
  <c r="F235" i="2" s="1"/>
  <c r="P91" i="1"/>
  <c r="S91" i="1" s="1"/>
  <c r="E236" i="2" l="1"/>
  <c r="D236" i="2" s="1"/>
  <c r="F236" i="2" s="1"/>
  <c r="Q91" i="1"/>
  <c r="T91" i="1" s="1"/>
  <c r="E237" i="2" l="1"/>
  <c r="D237" i="2" s="1"/>
  <c r="F237" i="2" s="1"/>
  <c r="R91" i="1"/>
  <c r="U91" i="1" s="1"/>
  <c r="E238" i="2" l="1"/>
  <c r="D238" i="2" s="1"/>
  <c r="F238" i="2" s="1"/>
  <c r="P92" i="1"/>
  <c r="S92" i="1" s="1"/>
  <c r="E239" i="2" l="1"/>
  <c r="D239" i="2" s="1"/>
  <c r="F239" i="2" s="1"/>
  <c r="Q92" i="1"/>
  <c r="T92" i="1" s="1"/>
  <c r="E240" i="2" l="1"/>
  <c r="D240" i="2" s="1"/>
  <c r="F240" i="2" s="1"/>
  <c r="R92" i="1"/>
  <c r="U92" i="1" s="1"/>
  <c r="E241" i="2" l="1"/>
  <c r="D241" i="2" s="1"/>
  <c r="F241" i="2" s="1"/>
  <c r="P93" i="1"/>
  <c r="S93" i="1" s="1"/>
  <c r="E242" i="2" l="1"/>
  <c r="D242" i="2" s="1"/>
  <c r="F242" i="2" s="1"/>
  <c r="Q93" i="1"/>
  <c r="T93" i="1" s="1"/>
  <c r="E243" i="2" l="1"/>
  <c r="D243" i="2" s="1"/>
  <c r="F243" i="2" s="1"/>
  <c r="R93" i="1"/>
  <c r="U93" i="1" s="1"/>
  <c r="E244" i="2" l="1"/>
  <c r="D244" i="2" s="1"/>
  <c r="F244" i="2" s="1"/>
  <c r="P94" i="1"/>
  <c r="S94" i="1" s="1"/>
  <c r="E245" i="2" l="1"/>
  <c r="D245" i="2" s="1"/>
  <c r="F245" i="2" s="1"/>
  <c r="Q94" i="1"/>
  <c r="T94" i="1" s="1"/>
  <c r="E246" i="2" l="1"/>
  <c r="D246" i="2" s="1"/>
  <c r="F246" i="2" s="1"/>
  <c r="R94" i="1"/>
  <c r="U94" i="1" s="1"/>
  <c r="E247" i="2" l="1"/>
  <c r="D247" i="2" s="1"/>
  <c r="F247" i="2" s="1"/>
  <c r="P95" i="1"/>
  <c r="S95" i="1" s="1"/>
  <c r="E248" i="2" l="1"/>
  <c r="D248" i="2" s="1"/>
  <c r="F248" i="2" s="1"/>
  <c r="Q95" i="1"/>
  <c r="T95" i="1" s="1"/>
  <c r="E249" i="2" l="1"/>
  <c r="D249" i="2" s="1"/>
  <c r="F249" i="2" s="1"/>
  <c r="R95" i="1"/>
  <c r="U95" i="1" s="1"/>
  <c r="E250" i="2" l="1"/>
  <c r="D250" i="2" s="1"/>
  <c r="F250" i="2" s="1"/>
  <c r="P96" i="1"/>
  <c r="S96" i="1" s="1"/>
  <c r="E251" i="2" l="1"/>
  <c r="D251" i="2" s="1"/>
  <c r="F251" i="2" s="1"/>
  <c r="Q96" i="1"/>
  <c r="T96" i="1" s="1"/>
  <c r="E252" i="2" l="1"/>
  <c r="D252" i="2" s="1"/>
  <c r="F252" i="2" s="1"/>
  <c r="R96" i="1"/>
  <c r="U96" i="1" s="1"/>
  <c r="E253" i="2" l="1"/>
  <c r="D253" i="2" s="1"/>
  <c r="F253" i="2" s="1"/>
  <c r="P97" i="1"/>
  <c r="S97" i="1" s="1"/>
  <c r="E254" i="2" l="1"/>
  <c r="D254" i="2" s="1"/>
  <c r="F254" i="2" s="1"/>
  <c r="Q97" i="1"/>
  <c r="T97" i="1" s="1"/>
  <c r="E255" i="2" l="1"/>
  <c r="D255" i="2" s="1"/>
  <c r="F255" i="2" s="1"/>
  <c r="R97" i="1"/>
  <c r="U97" i="1" s="1"/>
  <c r="E256" i="2" l="1"/>
  <c r="D256" i="2" s="1"/>
  <c r="F256" i="2" s="1"/>
  <c r="P98" i="1"/>
  <c r="S98" i="1" s="1"/>
  <c r="E257" i="2" l="1"/>
  <c r="D257" i="2" s="1"/>
  <c r="F257" i="2" s="1"/>
  <c r="Q98" i="1"/>
  <c r="T98" i="1" s="1"/>
  <c r="E258" i="2" l="1"/>
  <c r="D258" i="2" s="1"/>
  <c r="F258" i="2" s="1"/>
  <c r="R98" i="1"/>
  <c r="U98" i="1" s="1"/>
  <c r="E259" i="2" l="1"/>
  <c r="D259" i="2" s="1"/>
  <c r="F259" i="2" s="1"/>
  <c r="P99" i="1"/>
  <c r="S99" i="1" s="1"/>
  <c r="E260" i="2" l="1"/>
  <c r="D260" i="2" s="1"/>
  <c r="F260" i="2" s="1"/>
  <c r="Q99" i="1"/>
  <c r="T99" i="1" s="1"/>
  <c r="E261" i="2" l="1"/>
  <c r="D261" i="2" s="1"/>
  <c r="F261" i="2" s="1"/>
  <c r="R99" i="1"/>
  <c r="U99" i="1" s="1"/>
  <c r="E262" i="2" l="1"/>
  <c r="D262" i="2" s="1"/>
  <c r="F262" i="2" s="1"/>
  <c r="P100" i="1"/>
  <c r="S100" i="1" s="1"/>
  <c r="E263" i="2" l="1"/>
  <c r="D263" i="2" s="1"/>
  <c r="F263" i="2" s="1"/>
  <c r="Q100" i="1"/>
  <c r="T100" i="1" s="1"/>
  <c r="E264" i="2" l="1"/>
  <c r="D264" i="2" s="1"/>
  <c r="F264" i="2" s="1"/>
  <c r="R100" i="1"/>
  <c r="U100" i="1" s="1"/>
  <c r="E265" i="2" l="1"/>
  <c r="D265" i="2" s="1"/>
  <c r="F265" i="2" s="1"/>
  <c r="P101" i="1"/>
  <c r="S101" i="1" s="1"/>
  <c r="E266" i="2" l="1"/>
  <c r="D266" i="2" s="1"/>
  <c r="F266" i="2" s="1"/>
  <c r="Q101" i="1"/>
  <c r="T101" i="1" s="1"/>
  <c r="E267" i="2" l="1"/>
  <c r="D267" i="2" s="1"/>
  <c r="F267" i="2" s="1"/>
  <c r="R101" i="1"/>
  <c r="U101" i="1" s="1"/>
  <c r="E268" i="2" l="1"/>
  <c r="D268" i="2" s="1"/>
  <c r="F268" i="2" s="1"/>
  <c r="P102" i="1"/>
  <c r="S102" i="1" s="1"/>
  <c r="E269" i="2" l="1"/>
  <c r="D269" i="2" s="1"/>
  <c r="F269" i="2" s="1"/>
  <c r="Q102" i="1"/>
  <c r="T102" i="1" s="1"/>
  <c r="E270" i="2" l="1"/>
  <c r="D270" i="2" s="1"/>
  <c r="F270" i="2" s="1"/>
  <c r="R102" i="1"/>
  <c r="U102" i="1" s="1"/>
  <c r="E271" i="2" l="1"/>
  <c r="D271" i="2" s="1"/>
  <c r="F271" i="2" s="1"/>
  <c r="P103" i="1"/>
  <c r="S103" i="1" s="1"/>
  <c r="E272" i="2" l="1"/>
  <c r="D272" i="2" s="1"/>
  <c r="F272" i="2" s="1"/>
  <c r="Q103" i="1"/>
  <c r="T103" i="1" s="1"/>
  <c r="E273" i="2" l="1"/>
  <c r="D273" i="2" s="1"/>
  <c r="F273" i="2" s="1"/>
  <c r="R103" i="1"/>
  <c r="U103" i="1" s="1"/>
  <c r="E274" i="2" l="1"/>
  <c r="D274" i="2" s="1"/>
  <c r="F274" i="2" s="1"/>
  <c r="P104" i="1"/>
  <c r="S104" i="1" s="1"/>
  <c r="E275" i="2" l="1"/>
  <c r="D275" i="2" s="1"/>
  <c r="F275" i="2" s="1"/>
  <c r="Q104" i="1"/>
  <c r="T104" i="1" s="1"/>
  <c r="E276" i="2" l="1"/>
  <c r="D276" i="2" s="1"/>
  <c r="F276" i="2" s="1"/>
  <c r="R104" i="1"/>
  <c r="E25" i="1" l="1"/>
  <c r="U104" i="1"/>
  <c r="E277" i="2"/>
  <c r="D277" i="2" s="1"/>
  <c r="F277" i="2" s="1"/>
  <c r="E278" i="2" l="1"/>
  <c r="D278" i="2" s="1"/>
  <c r="F278" i="2" s="1"/>
  <c r="E279" i="2" l="1"/>
  <c r="D279" i="2" s="1"/>
  <c r="F279" i="2" s="1"/>
  <c r="E280" i="2" l="1"/>
  <c r="D280" i="2" s="1"/>
  <c r="F280" i="2" s="1"/>
  <c r="E281" i="2" l="1"/>
  <c r="D281" i="2" s="1"/>
  <c r="F281" i="2" s="1"/>
  <c r="E282" i="2" l="1"/>
  <c r="D282" i="2" s="1"/>
  <c r="F282" i="2" s="1"/>
  <c r="E283" i="2" l="1"/>
  <c r="D283" i="2" s="1"/>
  <c r="F283" i="2" s="1"/>
  <c r="E284" i="2" l="1"/>
  <c r="D284" i="2" s="1"/>
  <c r="F284" i="2" s="1"/>
  <c r="E285" i="2" l="1"/>
  <c r="D285" i="2" s="1"/>
  <c r="F285" i="2" s="1"/>
  <c r="E286" i="2" l="1"/>
  <c r="D286" i="2" s="1"/>
  <c r="F286" i="2" s="1"/>
  <c r="E287" i="2" l="1"/>
  <c r="D287" i="2" s="1"/>
  <c r="F287" i="2" s="1"/>
  <c r="E288" i="2" l="1"/>
  <c r="D288" i="2" s="1"/>
  <c r="F288" i="2" s="1"/>
  <c r="E289" i="2" l="1"/>
  <c r="D289" i="2" s="1"/>
  <c r="F289" i="2" s="1"/>
  <c r="E290" i="2" l="1"/>
  <c r="D290" i="2" s="1"/>
  <c r="F290" i="2" s="1"/>
  <c r="E291" i="2" l="1"/>
  <c r="D291" i="2" s="1"/>
  <c r="F291" i="2" s="1"/>
  <c r="E292" i="2" l="1"/>
  <c r="D292" i="2" s="1"/>
  <c r="F292" i="2" s="1"/>
  <c r="E293" i="2" l="1"/>
  <c r="D293" i="2" s="1"/>
  <c r="F293" i="2" s="1"/>
  <c r="E294" i="2" l="1"/>
  <c r="D294" i="2" s="1"/>
  <c r="F294" i="2" s="1"/>
  <c r="E295" i="2" l="1"/>
  <c r="D295" i="2" s="1"/>
  <c r="F295" i="2" s="1"/>
  <c r="E296" i="2" l="1"/>
  <c r="D296" i="2" s="1"/>
  <c r="F296" i="2" s="1"/>
  <c r="E297" i="2" l="1"/>
  <c r="D297" i="2" s="1"/>
  <c r="F297" i="2" s="1"/>
  <c r="E298" i="2" l="1"/>
  <c r="D298" i="2" s="1"/>
  <c r="F298" i="2" s="1"/>
  <c r="E299" i="2" l="1"/>
  <c r="D299" i="2" s="1"/>
  <c r="F299" i="2" s="1"/>
  <c r="E300" i="2" l="1"/>
  <c r="D300" i="2" s="1"/>
  <c r="F300" i="2" s="1"/>
  <c r="E301" i="2" l="1"/>
  <c r="D301" i="2" s="1"/>
  <c r="F301" i="2" s="1"/>
  <c r="E302" i="2" l="1"/>
  <c r="D302" i="2" s="1"/>
  <c r="F302" i="2" s="1"/>
  <c r="E303" i="2" l="1"/>
  <c r="D303" i="2" s="1"/>
  <c r="F303" i="2" s="1"/>
  <c r="E304" i="2" l="1"/>
  <c r="D304" i="2" s="1"/>
  <c r="F304" i="2" s="1"/>
  <c r="E305" i="2" l="1"/>
  <c r="D305" i="2" s="1"/>
  <c r="F305" i="2" s="1"/>
  <c r="E306" i="2" l="1"/>
  <c r="D306" i="2" s="1"/>
  <c r="F306" i="2" s="1"/>
  <c r="E307" i="2" l="1"/>
  <c r="D307" i="2" s="1"/>
  <c r="F307" i="2" s="1"/>
  <c r="E308" i="2" l="1"/>
  <c r="D308" i="2" s="1"/>
  <c r="F308" i="2" s="1"/>
  <c r="E309" i="2" l="1"/>
  <c r="D309" i="2" s="1"/>
  <c r="F309" i="2" s="1"/>
  <c r="E310" i="2" l="1"/>
  <c r="D310" i="2" s="1"/>
  <c r="F310" i="2" s="1"/>
  <c r="E311" i="2" l="1"/>
  <c r="D311" i="2" s="1"/>
  <c r="F311" i="2" s="1"/>
  <c r="E312" i="2" l="1"/>
  <c r="D312" i="2" s="1"/>
  <c r="F312" i="2" s="1"/>
  <c r="E313" i="2" l="1"/>
  <c r="D313" i="2" s="1"/>
  <c r="F313" i="2" s="1"/>
  <c r="E314" i="2" l="1"/>
  <c r="D314" i="2" s="1"/>
  <c r="F314" i="2" s="1"/>
  <c r="E315" i="2" l="1"/>
  <c r="D315" i="2" s="1"/>
  <c r="F315" i="2" s="1"/>
  <c r="E316" i="2" l="1"/>
  <c r="D316" i="2" s="1"/>
  <c r="F316" i="2" s="1"/>
  <c r="E317" i="2" l="1"/>
  <c r="D317" i="2" s="1"/>
  <c r="F317" i="2" s="1"/>
  <c r="E318" i="2" l="1"/>
  <c r="D318" i="2" s="1"/>
  <c r="F318" i="2" s="1"/>
  <c r="E319" i="2" l="1"/>
  <c r="D319" i="2" s="1"/>
  <c r="F319" i="2" s="1"/>
  <c r="E320" i="2" l="1"/>
  <c r="D320" i="2" s="1"/>
  <c r="F320" i="2" s="1"/>
  <c r="E321" i="2" l="1"/>
  <c r="D321" i="2" s="1"/>
  <c r="F321" i="2" s="1"/>
  <c r="E322" i="2" l="1"/>
  <c r="D322" i="2" s="1"/>
  <c r="F322" i="2" s="1"/>
  <c r="E323" i="2" l="1"/>
  <c r="D323" i="2" s="1"/>
  <c r="F323" i="2" s="1"/>
  <c r="E324" i="2" l="1"/>
  <c r="D324" i="2" s="1"/>
  <c r="F324" i="2" s="1"/>
  <c r="E325" i="2" l="1"/>
  <c r="D325" i="2" s="1"/>
  <c r="F325" i="2" s="1"/>
  <c r="E326" i="2" l="1"/>
  <c r="D326" i="2" s="1"/>
  <c r="F326" i="2" s="1"/>
  <c r="E327" i="2" l="1"/>
  <c r="D327" i="2" s="1"/>
  <c r="F327" i="2" s="1"/>
  <c r="E328" i="2" l="1"/>
  <c r="D328" i="2" s="1"/>
  <c r="F328" i="2" s="1"/>
  <c r="E329" i="2" l="1"/>
  <c r="D329" i="2" s="1"/>
  <c r="F329" i="2" s="1"/>
  <c r="E330" i="2" l="1"/>
  <c r="D330" i="2" s="1"/>
  <c r="F330" i="2" s="1"/>
  <c r="E331" i="2" l="1"/>
  <c r="D331" i="2" s="1"/>
  <c r="F331" i="2" s="1"/>
  <c r="E332" i="2" l="1"/>
  <c r="D332" i="2" s="1"/>
  <c r="F332" i="2" s="1"/>
  <c r="E333" i="2" l="1"/>
  <c r="D333" i="2" s="1"/>
  <c r="F333" i="2" s="1"/>
  <c r="E334" i="2" l="1"/>
  <c r="D334" i="2" s="1"/>
  <c r="F334" i="2" s="1"/>
  <c r="E335" i="2" l="1"/>
  <c r="D335" i="2" s="1"/>
  <c r="F335" i="2" s="1"/>
  <c r="E336" i="2" l="1"/>
  <c r="D336" i="2" s="1"/>
  <c r="F336" i="2" s="1"/>
  <c r="E337" i="2" l="1"/>
  <c r="D337" i="2" s="1"/>
  <c r="F337" i="2" s="1"/>
  <c r="E338" i="2" l="1"/>
  <c r="D338" i="2" s="1"/>
  <c r="F338" i="2" s="1"/>
  <c r="E339" i="2" l="1"/>
  <c r="D339" i="2" s="1"/>
  <c r="F339" i="2" s="1"/>
  <c r="E340" i="2" l="1"/>
  <c r="D340" i="2" s="1"/>
  <c r="F340" i="2" s="1"/>
  <c r="E341" i="2" l="1"/>
  <c r="D341" i="2" s="1"/>
  <c r="F341" i="2" s="1"/>
  <c r="E342" i="2" l="1"/>
  <c r="D342" i="2" s="1"/>
  <c r="F342" i="2" s="1"/>
  <c r="E343" i="2" l="1"/>
  <c r="D343" i="2" s="1"/>
  <c r="F343" i="2" s="1"/>
  <c r="E344" i="2" l="1"/>
  <c r="D344" i="2" s="1"/>
  <c r="F344" i="2" s="1"/>
  <c r="E345" i="2" l="1"/>
  <c r="D345" i="2" s="1"/>
  <c r="F345" i="2" s="1"/>
  <c r="E346" i="2" l="1"/>
  <c r="D346" i="2" s="1"/>
  <c r="F346" i="2" s="1"/>
  <c r="E347" i="2" l="1"/>
  <c r="D347" i="2" s="1"/>
  <c r="F347" i="2" s="1"/>
  <c r="E348" i="2" l="1"/>
  <c r="D348" i="2" s="1"/>
  <c r="F348" i="2" s="1"/>
  <c r="E349" i="2" l="1"/>
  <c r="D349" i="2" s="1"/>
  <c r="F349" i="2" s="1"/>
  <c r="E350" i="2" l="1"/>
  <c r="D350" i="2" s="1"/>
  <c r="F350" i="2" s="1"/>
  <c r="E351" i="2" l="1"/>
  <c r="D351" i="2" s="1"/>
  <c r="F351" i="2" s="1"/>
  <c r="E352" i="2" l="1"/>
  <c r="D352" i="2" s="1"/>
  <c r="F352" i="2" s="1"/>
  <c r="E353" i="2" l="1"/>
  <c r="D353" i="2" s="1"/>
  <c r="F353" i="2" s="1"/>
  <c r="E354" i="2" l="1"/>
  <c r="D354" i="2" s="1"/>
  <c r="F354" i="2" s="1"/>
  <c r="E355" i="2" l="1"/>
  <c r="D355" i="2" s="1"/>
  <c r="F355" i="2" s="1"/>
  <c r="E356" i="2" l="1"/>
  <c r="D356" i="2" s="1"/>
  <c r="F356" i="2" s="1"/>
  <c r="E357" i="2" l="1"/>
  <c r="D357" i="2" s="1"/>
  <c r="F357" i="2" s="1"/>
  <c r="E358" i="2" l="1"/>
  <c r="D358" i="2" s="1"/>
  <c r="F358" i="2" s="1"/>
  <c r="E359" i="2" l="1"/>
  <c r="D359" i="2" s="1"/>
  <c r="F359" i="2" s="1"/>
  <c r="E360" i="2" l="1"/>
  <c r="D360" i="2" s="1"/>
  <c r="F360" i="2" s="1"/>
  <c r="E361" i="2" l="1"/>
  <c r="D361" i="2" s="1"/>
  <c r="F361" i="2" s="1"/>
  <c r="E362" i="2" l="1"/>
  <c r="D362" i="2" s="1"/>
  <c r="F362" i="2" s="1"/>
  <c r="E363" i="2" l="1"/>
  <c r="D363" i="2" s="1"/>
  <c r="F363" i="2" s="1"/>
</calcChain>
</file>

<file path=xl/sharedStrings.xml><?xml version="1.0" encoding="utf-8"?>
<sst xmlns="http://schemas.openxmlformats.org/spreadsheetml/2006/main" count="126" uniqueCount="36">
  <si>
    <t>i/p</t>
  </si>
  <si>
    <t xml:space="preserve">A </t>
  </si>
  <si>
    <t>B</t>
  </si>
  <si>
    <t>půlka</t>
  </si>
  <si>
    <t>f(A)</t>
  </si>
  <si>
    <t>f(B)</t>
  </si>
  <si>
    <t>f(půlka)</t>
  </si>
  <si>
    <t>%</t>
  </si>
  <si>
    <t>Metoda půlení intervalů</t>
  </si>
  <si>
    <t>počet všech period</t>
  </si>
  <si>
    <t>p.a.</t>
  </si>
  <si>
    <t>Loan amount</t>
  </si>
  <si>
    <t>Number of payments</t>
  </si>
  <si>
    <t xml:space="preserve">Annual interest rate </t>
  </si>
  <si>
    <t>BASIC INFORMATION</t>
  </si>
  <si>
    <t>Payment frequency</t>
  </si>
  <si>
    <t>currency</t>
  </si>
  <si>
    <t>ONE TIME FEES</t>
  </si>
  <si>
    <t>termination fee</t>
  </si>
  <si>
    <t>signing fee</t>
  </si>
  <si>
    <t>fee during the loan term</t>
  </si>
  <si>
    <t>SPECIAL FEE</t>
  </si>
  <si>
    <t>RECURRING FEES</t>
  </si>
  <si>
    <t>weekly</t>
  </si>
  <si>
    <t>monthly</t>
  </si>
  <si>
    <t>quarterly</t>
  </si>
  <si>
    <t>semiannual</t>
  </si>
  <si>
    <t>annual</t>
  </si>
  <si>
    <t>paid at the time</t>
  </si>
  <si>
    <t>fee-free payment</t>
  </si>
  <si>
    <t>APR</t>
  </si>
  <si>
    <t>Period</t>
  </si>
  <si>
    <t>Payment</t>
  </si>
  <si>
    <t>Principal</t>
  </si>
  <si>
    <t>Interest</t>
  </si>
  <si>
    <t>Remaining debt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</si>
</sst>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K_č_-;\-* #,##0.00\ _K_č_-;_-* &quot;-&quot;??\ _K_č_-;_-@_-"/>
    <numFmt numFmtId="165" formatCode="_-* #,##0_-;\-* #,##0_-;_-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">
    <xf numFmtId="0" fontId="0" fillId="0" borderId="0" xfId="0"/>
    <xf numFmtId="0" fontId="0" fillId="0" borderId="1" xfId="0" applyFill="1" applyBorder="1"/>
    <xf numFmtId="0" fontId="0" fillId="0" borderId="2" xfId="0" applyFill="1" applyBorder="1"/>
    <xf numFmtId="0" fontId="0" fillId="2" borderId="0" xfId="0" applyFill="1"/>
    <xf numFmtId="0" fontId="2" fillId="2" borderId="0" xfId="0" applyFont="1" applyFill="1"/>
    <xf numFmtId="0" fontId="0" fillId="2" borderId="0" xfId="0" applyFill="1" applyBorder="1"/>
    <xf numFmtId="0" fontId="0" fillId="2" borderId="4" xfId="0" applyFill="1" applyBorder="1"/>
    <xf numFmtId="43" fontId="0" fillId="2" borderId="0" xfId="1" applyFont="1" applyFill="1" applyBorder="1"/>
    <xf numFmtId="0" fontId="0" fillId="2" borderId="0" xfId="0" quotePrefix="1" applyFill="1"/>
    <xf numFmtId="165" fontId="0" fillId="0" borderId="1" xfId="1" applyNumberFormat="1" applyFont="1" applyFill="1" applyBorder="1" applyAlignment="1">
      <alignment horizontal="right"/>
    </xf>
    <xf numFmtId="0" fontId="0" fillId="0" borderId="1" xfId="0" applyFill="1" applyBorder="1" applyAlignment="1">
      <alignment horizontal="right"/>
    </xf>
    <xf numFmtId="0" fontId="0" fillId="0" borderId="3" xfId="0" applyFill="1" applyBorder="1"/>
    <xf numFmtId="0" fontId="2" fillId="3" borderId="1" xfId="0" applyFont="1" applyFill="1" applyBorder="1"/>
    <xf numFmtId="164" fontId="0" fillId="0" borderId="1" xfId="0" applyNumberFormat="1" applyFill="1" applyBorder="1" applyAlignment="1"/>
    <xf numFmtId="2" fontId="0" fillId="3" borderId="1" xfId="0" applyNumberFormat="1" applyFill="1" applyBorder="1" applyAlignment="1"/>
    <xf numFmtId="0" fontId="3" fillId="0" borderId="0" xfId="0" applyFont="1"/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/>
    <xf numFmtId="0" fontId="4" fillId="0" borderId="0" xfId="0" applyFont="1"/>
    <xf numFmtId="0" fontId="0" fillId="0" borderId="0" xfId="0" applyFont="1"/>
    <xf numFmtId="43" fontId="0" fillId="0" borderId="5" xfId="1" applyNumberFormat="1" applyFont="1" applyBorder="1" applyAlignment="1">
      <alignment horizontal="center" vertical="center"/>
    </xf>
    <xf numFmtId="43" fontId="0" fillId="0" borderId="0" xfId="1" applyNumberFormat="1" applyFont="1" applyAlignment="1">
      <alignment horizontal="center" vertical="center"/>
    </xf>
    <xf numFmtId="165" fontId="0" fillId="0" borderId="1" xfId="1" applyNumberFormat="1" applyFont="1" applyFill="1" applyBorder="1"/>
  </cellXfs>
  <cellStyles count="2">
    <cellStyle name="Čárka" xfId="1" builtinId="3"/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chartsheet" Target="chartsheets/sheet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chartsheet" Target="chartsheets/sheet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>
                <a:solidFill>
                  <a:schemeClr val="tx1"/>
                </a:solidFill>
              </a:rPr>
              <a:t>Remaining debt over</a:t>
            </a:r>
            <a:r>
              <a:rPr lang="cs-CZ" baseline="0">
                <a:solidFill>
                  <a:schemeClr val="tx1"/>
                </a:solidFill>
              </a:rPr>
              <a:t> time</a:t>
            </a:r>
            <a:endParaRPr lang="cs-CZ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>
        <c:manualLayout>
          <c:layoutTarget val="inner"/>
          <c:xMode val="edge"/>
          <c:yMode val="edge"/>
          <c:x val="0.13021401636342789"/>
          <c:y val="7.9855005907375265E-2"/>
          <c:w val="0.84694459496447316"/>
          <c:h val="0.86819531897815683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'Remaining debt'!$F$2</c:f>
              <c:strCache>
                <c:ptCount val="1"/>
                <c:pt idx="0">
                  <c:v> Remaining debt 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'Remaining debt'!$B$3:$B$501</c:f>
              <c:strCach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strCache>
            </c:strRef>
          </c:xVal>
          <c:yVal>
            <c:numRef>
              <c:f>'Remaining debt'!$F$3:$F$551</c:f>
              <c:numCache>
                <c:formatCode>_(* #,##0.00_);_(* \(#,##0.00\);_(* "-"??_);_(@_)</c:formatCode>
                <c:ptCount val="549"/>
                <c:pt idx="0">
                  <c:v>4000000</c:v>
                </c:pt>
                <c:pt idx="1">
                  <c:v>3995538.7683252152</c:v>
                </c:pt>
                <c:pt idx="2">
                  <c:v>3991057.4611078938</c:v>
                </c:pt>
                <c:pt idx="3">
                  <c:v>3986555.9880080945</c:v>
                </c:pt>
                <c:pt idx="4">
                  <c:v>3982034.2582793459</c:v>
                </c:pt>
                <c:pt idx="5">
                  <c:v>3977492.1807668181</c:v>
                </c:pt>
                <c:pt idx="6">
                  <c:v>3972929.6639054841</c:v>
                </c:pt>
                <c:pt idx="7">
                  <c:v>3968346.6157182739</c:v>
                </c:pt>
                <c:pt idx="8">
                  <c:v>3963742.9438142213</c:v>
                </c:pt>
                <c:pt idx="9">
                  <c:v>3959118.5553866006</c:v>
                </c:pt>
                <c:pt idx="10">
                  <c:v>3954473.3572110552</c:v>
                </c:pt>
                <c:pt idx="11">
                  <c:v>3949807.2556437203</c:v>
                </c:pt>
                <c:pt idx="12">
                  <c:v>3945120.1566193323</c:v>
                </c:pt>
                <c:pt idx="13">
                  <c:v>3940411.9656493342</c:v>
                </c:pt>
                <c:pt idx="14">
                  <c:v>3935682.5878199716</c:v>
                </c:pt>
                <c:pt idx="15">
                  <c:v>3930931.9277903768</c:v>
                </c:pt>
                <c:pt idx="16">
                  <c:v>3926159.8897906486</c:v>
                </c:pt>
                <c:pt idx="17">
                  <c:v>3921366.3776199217</c:v>
                </c:pt>
                <c:pt idx="18">
                  <c:v>3916551.2946444266</c:v>
                </c:pt>
                <c:pt idx="19">
                  <c:v>3911714.5437955419</c:v>
                </c:pt>
                <c:pt idx="20">
                  <c:v>3906856.0275678369</c:v>
                </c:pt>
                <c:pt idx="21">
                  <c:v>3901975.6480171075</c:v>
                </c:pt>
                <c:pt idx="22">
                  <c:v>3897073.3067583996</c:v>
                </c:pt>
                <c:pt idx="23">
                  <c:v>3892148.9049640275</c:v>
                </c:pt>
                <c:pt idx="24">
                  <c:v>3887202.3433615807</c:v>
                </c:pt>
                <c:pt idx="25">
                  <c:v>3882233.522231923</c:v>
                </c:pt>
                <c:pt idx="26">
                  <c:v>3877242.3414071817</c:v>
                </c:pt>
                <c:pt idx="27">
                  <c:v>3872228.7002687291</c:v>
                </c:pt>
                <c:pt idx="28">
                  <c:v>3867192.4977451535</c:v>
                </c:pt>
                <c:pt idx="29">
                  <c:v>3862133.6323102219</c:v>
                </c:pt>
                <c:pt idx="30">
                  <c:v>3857052.0019808332</c:v>
                </c:pt>
                <c:pt idx="31">
                  <c:v>3851947.5043149623</c:v>
                </c:pt>
                <c:pt idx="32">
                  <c:v>3846820.036409595</c:v>
                </c:pt>
                <c:pt idx="33">
                  <c:v>3841669.4948986536</c:v>
                </c:pt>
                <c:pt idx="34">
                  <c:v>3836495.7759509129</c:v>
                </c:pt>
                <c:pt idx="35">
                  <c:v>3831298.775267907</c:v>
                </c:pt>
                <c:pt idx="36">
                  <c:v>3826078.3880818277</c:v>
                </c:pt>
                <c:pt idx="37">
                  <c:v>3820834.5091534113</c:v>
                </c:pt>
                <c:pt idx="38">
                  <c:v>3815567.0327698169</c:v>
                </c:pt>
                <c:pt idx="39">
                  <c:v>3810275.8527424964</c:v>
                </c:pt>
                <c:pt idx="40">
                  <c:v>3804960.8624050529</c:v>
                </c:pt>
                <c:pt idx="41">
                  <c:v>3799621.9546110909</c:v>
                </c:pt>
                <c:pt idx="42">
                  <c:v>3794259.021732056</c:v>
                </c:pt>
                <c:pt idx="43">
                  <c:v>3788871.9556550654</c:v>
                </c:pt>
                <c:pt idx="44">
                  <c:v>3783460.6477807285</c:v>
                </c:pt>
                <c:pt idx="45">
                  <c:v>3778024.9890209571</c:v>
                </c:pt>
                <c:pt idx="46">
                  <c:v>3772564.8697967664</c:v>
                </c:pt>
                <c:pt idx="47">
                  <c:v>3767080.180036067</c:v>
                </c:pt>
                <c:pt idx="48">
                  <c:v>3761570.8091714447</c:v>
                </c:pt>
                <c:pt idx="49">
                  <c:v>3756036.6461379314</c:v>
                </c:pt>
                <c:pt idx="50">
                  <c:v>3750477.5793707673</c:v>
                </c:pt>
                <c:pt idx="51">
                  <c:v>3744893.496803151</c:v>
                </c:pt>
                <c:pt idx="52">
                  <c:v>3739284.2858639802</c:v>
                </c:pt>
                <c:pt idx="53">
                  <c:v>3733649.8334755832</c:v>
                </c:pt>
                <c:pt idx="54">
                  <c:v>3727990.0260514384</c:v>
                </c:pt>
                <c:pt idx="55">
                  <c:v>3722304.7494938849</c:v>
                </c:pt>
                <c:pt idx="56">
                  <c:v>3716593.8891918226</c:v>
                </c:pt>
                <c:pt idx="57">
                  <c:v>3710857.3300184011</c:v>
                </c:pt>
                <c:pt idx="58">
                  <c:v>3705094.9563286994</c:v>
                </c:pt>
                <c:pt idx="59">
                  <c:v>3699306.6519573936</c:v>
                </c:pt>
                <c:pt idx="60">
                  <c:v>3693492.3002164173</c:v>
                </c:pt>
                <c:pt idx="61">
                  <c:v>3687651.7838926064</c:v>
                </c:pt>
                <c:pt idx="62">
                  <c:v>3681784.9852453382</c:v>
                </c:pt>
                <c:pt idx="63">
                  <c:v>3675891.7860041573</c:v>
                </c:pt>
                <c:pt idx="64">
                  <c:v>3669972.067366391</c:v>
                </c:pt>
                <c:pt idx="65">
                  <c:v>3664025.7099947548</c:v>
                </c:pt>
                <c:pt idx="66">
                  <c:v>3658052.5940149464</c:v>
                </c:pt>
                <c:pt idx="67">
                  <c:v>3652052.5990132289</c:v>
                </c:pt>
                <c:pt idx="68">
                  <c:v>3646025.6040340038</c:v>
                </c:pt>
                <c:pt idx="69">
                  <c:v>3639971.4875773722</c:v>
                </c:pt>
                <c:pt idx="70">
                  <c:v>3633890.1275966857</c:v>
                </c:pt>
                <c:pt idx="71">
                  <c:v>3627781.4014960858</c:v>
                </c:pt>
                <c:pt idx="72">
                  <c:v>3621645.1861280333</c:v>
                </c:pt>
                <c:pt idx="73">
                  <c:v>3615481.3577908245</c:v>
                </c:pt>
                <c:pt idx="74">
                  <c:v>3609289.7922260985</c:v>
                </c:pt>
                <c:pt idx="75">
                  <c:v>3603070.3646163312</c:v>
                </c:pt>
                <c:pt idx="76">
                  <c:v>3596822.9495823197</c:v>
                </c:pt>
                <c:pt idx="77">
                  <c:v>3590547.4211806552</c:v>
                </c:pt>
                <c:pt idx="78">
                  <c:v>3584243.6529011833</c:v>
                </c:pt>
                <c:pt idx="79">
                  <c:v>3577911.5176644539</c:v>
                </c:pt>
                <c:pt idx="80">
                  <c:v>3571550.8878191593</c:v>
                </c:pt>
                <c:pt idx="81">
                  <c:v>3565161.6351395608</c:v>
                </c:pt>
                <c:pt idx="82">
                  <c:v>3558743.6308229039</c:v>
                </c:pt>
                <c:pt idx="83">
                  <c:v>3552296.745486822</c:v>
                </c:pt>
                <c:pt idx="84">
                  <c:v>3545820.8491667281</c:v>
                </c:pt>
                <c:pt idx="85">
                  <c:v>3539315.8113131938</c:v>
                </c:pt>
                <c:pt idx="86">
                  <c:v>3532781.5007893182</c:v>
                </c:pt>
                <c:pt idx="87">
                  <c:v>3526217.7858680855</c:v>
                </c:pt>
                <c:pt idx="88">
                  <c:v>3519624.534229707</c:v>
                </c:pt>
                <c:pt idx="89">
                  <c:v>3513001.612958956</c:v>
                </c:pt>
                <c:pt idx="90">
                  <c:v>3506348.8885424864</c:v>
                </c:pt>
                <c:pt idx="91">
                  <c:v>3499666.2268661428</c:v>
                </c:pt>
                <c:pt idx="92">
                  <c:v>3492953.4932122556</c:v>
                </c:pt>
                <c:pt idx="93">
                  <c:v>3486210.552256926</c:v>
                </c:pt>
                <c:pt idx="94">
                  <c:v>3479437.2680672975</c:v>
                </c:pt>
                <c:pt idx="95">
                  <c:v>3472633.5040988154</c:v>
                </c:pt>
                <c:pt idx="96">
                  <c:v>3465799.1231924752</c:v>
                </c:pt>
                <c:pt idx="97">
                  <c:v>3458933.9875720567</c:v>
                </c:pt>
                <c:pt idx="98">
                  <c:v>3452037.9588413462</c:v>
                </c:pt>
                <c:pt idx="99">
                  <c:v>3445110.8979813475</c:v>
                </c:pt>
                <c:pt idx="100">
                  <c:v>3438152.6653474788</c:v>
                </c:pt>
                <c:pt idx="101">
                  <c:v>3431163.1206667577</c:v>
                </c:pt>
                <c:pt idx="102">
                  <c:v>3424142.1230349732</c:v>
                </c:pt>
                <c:pt idx="103">
                  <c:v>3417089.5309138456</c:v>
                </c:pt>
                <c:pt idx="104">
                  <c:v>3410005.2021281733</c:v>
                </c:pt>
                <c:pt idx="105">
                  <c:v>3402888.9938629651</c:v>
                </c:pt>
                <c:pt idx="106">
                  <c:v>3395740.7626605635</c:v>
                </c:pt>
                <c:pt idx="107">
                  <c:v>3388560.3644177513</c:v>
                </c:pt>
                <c:pt idx="108">
                  <c:v>3381347.6543828463</c:v>
                </c:pt>
                <c:pt idx="109">
                  <c:v>3374102.4871527841</c:v>
                </c:pt>
                <c:pt idx="110">
                  <c:v>3366824.7166701867</c:v>
                </c:pt>
                <c:pt idx="111">
                  <c:v>3359514.196220418</c:v>
                </c:pt>
                <c:pt idx="112">
                  <c:v>3352170.7784286248</c:v>
                </c:pt>
                <c:pt idx="113">
                  <c:v>3344794.3152567688</c:v>
                </c:pt>
                <c:pt idx="114">
                  <c:v>3337384.6580006396</c:v>
                </c:pt>
                <c:pt idx="115">
                  <c:v>3329941.6572868577</c:v>
                </c:pt>
                <c:pt idx="116">
                  <c:v>3322465.1630698638</c:v>
                </c:pt>
                <c:pt idx="117">
                  <c:v>3314955.0246288935</c:v>
                </c:pt>
                <c:pt idx="118">
                  <c:v>3307411.0905649387</c:v>
                </c:pt>
                <c:pt idx="119">
                  <c:v>3299833.208797696</c:v>
                </c:pt>
                <c:pt idx="120">
                  <c:v>3292221.2265625009</c:v>
                </c:pt>
                <c:pt idx="121">
                  <c:v>3284574.9904072476</c:v>
                </c:pt>
                <c:pt idx="122">
                  <c:v>3276894.3461892954</c:v>
                </c:pt>
                <c:pt idx="123">
                  <c:v>3269179.1390723623</c:v>
                </c:pt>
                <c:pt idx="124">
                  <c:v>3261429.2135234033</c:v>
                </c:pt>
                <c:pt idx="125">
                  <c:v>3253644.413309474</c:v>
                </c:pt>
                <c:pt idx="126">
                  <c:v>3245824.5814945819</c:v>
                </c:pt>
                <c:pt idx="127">
                  <c:v>3237969.5604365226</c:v>
                </c:pt>
                <c:pt idx="128">
                  <c:v>3230079.191783702</c:v>
                </c:pt>
                <c:pt idx="129">
                  <c:v>3222153.3164719436</c:v>
                </c:pt>
                <c:pt idx="130">
                  <c:v>3214191.7747212825</c:v>
                </c:pt>
                <c:pt idx="131">
                  <c:v>3206194.4060327434</c:v>
                </c:pt>
                <c:pt idx="132">
                  <c:v>3198161.0491851061</c:v>
                </c:pt>
                <c:pt idx="133">
                  <c:v>3190091.5422316543</c:v>
                </c:pt>
                <c:pt idx="134">
                  <c:v>3181985.7224969119</c:v>
                </c:pt>
                <c:pt idx="135">
                  <c:v>3173843.4265733631</c:v>
                </c:pt>
                <c:pt idx="136">
                  <c:v>3165664.4903181586</c:v>
                </c:pt>
                <c:pt idx="137">
                  <c:v>3157448.7488498054</c:v>
                </c:pt>
                <c:pt idx="138">
                  <c:v>3149196.036544845</c:v>
                </c:pt>
                <c:pt idx="139">
                  <c:v>3140906.1870345119</c:v>
                </c:pt>
                <c:pt idx="140">
                  <c:v>3132579.0332013825</c:v>
                </c:pt>
                <c:pt idx="141">
                  <c:v>3124214.4071760038</c:v>
                </c:pt>
                <c:pt idx="142">
                  <c:v>3115812.1403335109</c:v>
                </c:pt>
                <c:pt idx="143">
                  <c:v>3107372.0632902267</c:v>
                </c:pt>
                <c:pt idx="144">
                  <c:v>3098894.005900248</c:v>
                </c:pt>
                <c:pt idx="145">
                  <c:v>3090377.7972520143</c:v>
                </c:pt>
                <c:pt idx="146">
                  <c:v>3081823.2656648634</c:v>
                </c:pt>
                <c:pt idx="147">
                  <c:v>3073230.2386855707</c:v>
                </c:pt>
                <c:pt idx="148">
                  <c:v>3064598.543084871</c:v>
                </c:pt>
                <c:pt idx="149">
                  <c:v>3055928.004853968</c:v>
                </c:pt>
                <c:pt idx="150">
                  <c:v>3047218.449201026</c:v>
                </c:pt>
                <c:pt idx="151">
                  <c:v>3038469.7005476458</c:v>
                </c:pt>
                <c:pt idx="152">
                  <c:v>3029681.5825253255</c:v>
                </c:pt>
                <c:pt idx="153">
                  <c:v>3020853.9179719049</c:v>
                </c:pt>
                <c:pt idx="154">
                  <c:v>3011986.5289279935</c:v>
                </c:pt>
                <c:pt idx="155">
                  <c:v>3003079.2366333846</c:v>
                </c:pt>
                <c:pt idx="156">
                  <c:v>2994131.8615234499</c:v>
                </c:pt>
                <c:pt idx="157">
                  <c:v>2985144.2232255205</c:v>
                </c:pt>
                <c:pt idx="158">
                  <c:v>2976116.1405552505</c:v>
                </c:pt>
                <c:pt idx="159">
                  <c:v>2967047.4315129644</c:v>
                </c:pt>
                <c:pt idx="160">
                  <c:v>2957937.9132799879</c:v>
                </c:pt>
                <c:pt idx="161">
                  <c:v>2948787.402214963</c:v>
                </c:pt>
                <c:pt idx="162">
                  <c:v>2939595.7138501457</c:v>
                </c:pt>
                <c:pt idx="163">
                  <c:v>2930362.6628876864</c:v>
                </c:pt>
                <c:pt idx="164">
                  <c:v>2921088.0631958963</c:v>
                </c:pt>
                <c:pt idx="165">
                  <c:v>2911771.7278054929</c:v>
                </c:pt>
                <c:pt idx="166">
                  <c:v>2902413.4689058326</c:v>
                </c:pt>
                <c:pt idx="167">
                  <c:v>2893013.0978411241</c:v>
                </c:pt>
                <c:pt idx="168">
                  <c:v>2883570.4251066241</c:v>
                </c:pt>
                <c:pt idx="169">
                  <c:v>2874085.2603448192</c:v>
                </c:pt>
                <c:pt idx="170">
                  <c:v>2864557.4123415858</c:v>
                </c:pt>
                <c:pt idx="171">
                  <c:v>2854986.689022338</c:v>
                </c:pt>
                <c:pt idx="172">
                  <c:v>2845372.8974481537</c:v>
                </c:pt>
                <c:pt idx="173">
                  <c:v>2835715.8438118855</c:v>
                </c:pt>
                <c:pt idx="174">
                  <c:v>2826015.3334342539</c:v>
                </c:pt>
                <c:pt idx="175">
                  <c:v>2816271.1707599233</c:v>
                </c:pt>
                <c:pt idx="176">
                  <c:v>2806483.159353558</c:v>
                </c:pt>
                <c:pt idx="177">
                  <c:v>2796651.1018958641</c:v>
                </c:pt>
                <c:pt idx="178">
                  <c:v>2786774.8001796105</c:v>
                </c:pt>
                <c:pt idx="179">
                  <c:v>2776854.055105634</c:v>
                </c:pt>
                <c:pt idx="180">
                  <c:v>2766888.6666788245</c:v>
                </c:pt>
                <c:pt idx="181">
                  <c:v>2756878.4340040945</c:v>
                </c:pt>
                <c:pt idx="182">
                  <c:v>2746823.1552823279</c:v>
                </c:pt>
                <c:pt idx="183">
                  <c:v>2736722.6278063138</c:v>
                </c:pt>
                <c:pt idx="184">
                  <c:v>2726576.6479566572</c:v>
                </c:pt>
                <c:pt idx="185">
                  <c:v>2716385.0111976773</c:v>
                </c:pt>
                <c:pt idx="186">
                  <c:v>2706147.5120732822</c:v>
                </c:pt>
                <c:pt idx="187">
                  <c:v>2695863.9442028273</c:v>
                </c:pt>
                <c:pt idx="188">
                  <c:v>2685534.1002769554</c:v>
                </c:pt>
                <c:pt idx="189">
                  <c:v>2675157.7720534168</c:v>
                </c:pt>
                <c:pt idx="190">
                  <c:v>2664734.7503528725</c:v>
                </c:pt>
                <c:pt idx="191">
                  <c:v>2654264.8250546758</c:v>
                </c:pt>
                <c:pt idx="192">
                  <c:v>2643747.7850926369</c:v>
                </c:pt>
                <c:pt idx="193">
                  <c:v>2633183.418450769</c:v>
                </c:pt>
                <c:pt idx="194">
                  <c:v>2622571.5121590127</c:v>
                </c:pt>
                <c:pt idx="195">
                  <c:v>2611911.8522889432</c:v>
                </c:pt>
                <c:pt idx="196">
                  <c:v>2601204.2239494589</c:v>
                </c:pt>
                <c:pt idx="197">
                  <c:v>2590448.4112824467</c:v>
                </c:pt>
                <c:pt idx="198">
                  <c:v>2579644.197458433</c:v>
                </c:pt>
                <c:pt idx="199">
                  <c:v>2568791.364672211</c:v>
                </c:pt>
                <c:pt idx="200">
                  <c:v>2557889.694138451</c:v>
                </c:pt>
                <c:pt idx="201">
                  <c:v>2546938.9660872892</c:v>
                </c:pt>
                <c:pt idx="202">
                  <c:v>2535938.9597598971</c:v>
                </c:pt>
                <c:pt idx="203">
                  <c:v>2524889.4534040317</c:v>
                </c:pt>
                <c:pt idx="204">
                  <c:v>2513790.2242695652</c:v>
                </c:pt>
                <c:pt idx="205">
                  <c:v>2502641.0486039934</c:v>
                </c:pt>
                <c:pt idx="206">
                  <c:v>2491441.7016479266</c:v>
                </c:pt>
                <c:pt idx="207">
                  <c:v>2480191.9576305575</c:v>
                </c:pt>
                <c:pt idx="208">
                  <c:v>2468891.5897651101</c:v>
                </c:pt>
                <c:pt idx="209">
                  <c:v>2457540.3702442683</c:v>
                </c:pt>
                <c:pt idx="210">
                  <c:v>2446138.0702355825</c:v>
                </c:pt>
                <c:pt idx="211">
                  <c:v>2434684.4598768577</c:v>
                </c:pt>
                <c:pt idx="212">
                  <c:v>2423179.3082715189</c:v>
                </c:pt>
                <c:pt idx="213">
                  <c:v>2411622.3834839561</c:v>
                </c:pt>
                <c:pt idx="214">
                  <c:v>2400013.4525348493</c:v>
                </c:pt>
                <c:pt idx="215">
                  <c:v>2388352.2813964714</c:v>
                </c:pt>
                <c:pt idx="216">
                  <c:v>2376638.6349879708</c:v>
                </c:pt>
                <c:pt idx="217">
                  <c:v>2364872.277170632</c:v>
                </c:pt>
                <c:pt idx="218">
                  <c:v>2353052.9707431151</c:v>
                </c:pt>
                <c:pt idx="219">
                  <c:v>2341180.4774366743</c:v>
                </c:pt>
                <c:pt idx="220">
                  <c:v>2329254.5579103543</c:v>
                </c:pt>
                <c:pt idx="221">
                  <c:v>2317274.9717461662</c:v>
                </c:pt>
                <c:pt idx="222">
                  <c:v>2305241.477444239</c:v>
                </c:pt>
                <c:pt idx="223">
                  <c:v>2293153.8324179533</c:v>
                </c:pt>
                <c:pt idx="224">
                  <c:v>2281011.7929890491</c:v>
                </c:pt>
                <c:pt idx="225">
                  <c:v>2268815.114382715</c:v>
                </c:pt>
                <c:pt idx="226">
                  <c:v>2256563.5507226526</c:v>
                </c:pt>
                <c:pt idx="227">
                  <c:v>2244256.8550261199</c:v>
                </c:pt>
                <c:pt idx="228">
                  <c:v>2231894.7791989525</c:v>
                </c:pt>
                <c:pt idx="229">
                  <c:v>2219477.0740305628</c:v>
                </c:pt>
                <c:pt idx="230">
                  <c:v>2207003.4891889156</c:v>
                </c:pt>
                <c:pt idx="231">
                  <c:v>2194473.7732154811</c:v>
                </c:pt>
                <c:pt idx="232">
                  <c:v>2181887.673520166</c:v>
                </c:pt>
                <c:pt idx="233">
                  <c:v>2169244.9363762219</c:v>
                </c:pt>
                <c:pt idx="234">
                  <c:v>2156545.30691513</c:v>
                </c:pt>
                <c:pt idx="235">
                  <c:v>2143788.5291214632</c:v>
                </c:pt>
                <c:pt idx="236">
                  <c:v>2130974.3458277248</c:v>
                </c:pt>
                <c:pt idx="237">
                  <c:v>2118102.4987091646</c:v>
                </c:pt>
                <c:pt idx="238">
                  <c:v>2105172.7282785708</c:v>
                </c:pt>
                <c:pt idx="239">
                  <c:v>2092184.7738810396</c:v>
                </c:pt>
                <c:pt idx="240">
                  <c:v>2079138.3736887195</c:v>
                </c:pt>
                <c:pt idx="241">
                  <c:v>2066033.264695534</c:v>
                </c:pt>
                <c:pt idx="242">
                  <c:v>2052869.182711879</c:v>
                </c:pt>
                <c:pt idx="243">
                  <c:v>2039645.8623592977</c:v>
                </c:pt>
                <c:pt idx="244">
                  <c:v>2026363.0370651297</c:v>
                </c:pt>
                <c:pt idx="245">
                  <c:v>2013020.439057138</c:v>
                </c:pt>
                <c:pt idx="246">
                  <c:v>1999617.7993581104</c:v>
                </c:pt>
                <c:pt idx="247">
                  <c:v>1986154.8477804372</c:v>
                </c:pt>
                <c:pt idx="248">
                  <c:v>1972631.3129206644</c:v>
                </c:pt>
                <c:pt idx="249">
                  <c:v>1959046.9221540226</c:v>
                </c:pt>
                <c:pt idx="250">
                  <c:v>1945401.4016289308</c:v>
                </c:pt>
                <c:pt idx="251">
                  <c:v>1931694.4762614763</c:v>
                </c:pt>
                <c:pt idx="252">
                  <c:v>1917925.8697298681</c:v>
                </c:pt>
                <c:pt idx="253">
                  <c:v>1904095.3044688678</c:v>
                </c:pt>
                <c:pt idx="254">
                  <c:v>1890202.5016641929</c:v>
                </c:pt>
                <c:pt idx="255">
                  <c:v>1876247.181246897</c:v>
                </c:pt>
                <c:pt idx="256">
                  <c:v>1862229.0618877232</c:v>
                </c:pt>
                <c:pt idx="257">
                  <c:v>1848147.860991433</c:v>
                </c:pt>
                <c:pt idx="258">
                  <c:v>1834003.2946911096</c:v>
                </c:pt>
                <c:pt idx="259">
                  <c:v>1819795.0778424349</c:v>
                </c:pt>
                <c:pt idx="260">
                  <c:v>1805522.9240179411</c:v>
                </c:pt>
                <c:pt idx="261">
                  <c:v>1791186.545501237</c:v>
                </c:pt>
                <c:pt idx="262">
                  <c:v>1776785.6532812079</c:v>
                </c:pt>
                <c:pt idx="263">
                  <c:v>1762319.9570461884</c:v>
                </c:pt>
                <c:pt idx="264">
                  <c:v>1747789.1651781115</c:v>
                </c:pt>
                <c:pt idx="265">
                  <c:v>1733192.9847466282</c:v>
                </c:pt>
                <c:pt idx="266">
                  <c:v>1718531.1215032032</c:v>
                </c:pt>
                <c:pt idx="267">
                  <c:v>1703803.2798751828</c:v>
                </c:pt>
                <c:pt idx="268">
                  <c:v>1689009.1629598362</c:v>
                </c:pt>
                <c:pt idx="269">
                  <c:v>1674148.4725183707</c:v>
                </c:pt>
                <c:pt idx="270">
                  <c:v>1659220.9089699185</c:v>
                </c:pt>
                <c:pt idx="271">
                  <c:v>1644226.1713854983</c:v>
                </c:pt>
                <c:pt idx="272">
                  <c:v>1629163.9574819482</c:v>
                </c:pt>
                <c:pt idx="273">
                  <c:v>1614033.9636158322</c:v>
                </c:pt>
                <c:pt idx="274">
                  <c:v>1598835.8847773187</c:v>
                </c:pt>
                <c:pt idx="275">
                  <c:v>1583569.4145840318</c:v>
                </c:pt>
                <c:pt idx="276">
                  <c:v>1568234.2452748751</c:v>
                </c:pt>
                <c:pt idx="277">
                  <c:v>1552830.0677038273</c:v>
                </c:pt>
                <c:pt idx="278">
                  <c:v>1537356.5713337096</c:v>
                </c:pt>
                <c:pt idx="279">
                  <c:v>1521813.4442299264</c:v>
                </c:pt>
                <c:pt idx="280">
                  <c:v>1506200.3730541763</c:v>
                </c:pt>
                <c:pt idx="281">
                  <c:v>1490517.0430581353</c:v>
                </c:pt>
                <c:pt idx="282">
                  <c:v>1474763.1380771121</c:v>
                </c:pt>
                <c:pt idx="283">
                  <c:v>1458938.3405236744</c:v>
                </c:pt>
                <c:pt idx="284">
                  <c:v>1443042.3313812462</c:v>
                </c:pt>
                <c:pt idx="285">
                  <c:v>1427074.790197677</c:v>
                </c:pt>
                <c:pt idx="286">
                  <c:v>1411035.3950787818</c:v>
                </c:pt>
                <c:pt idx="287">
                  <c:v>1394923.8226818515</c:v>
                </c:pt>
                <c:pt idx="288">
                  <c:v>1378739.7482091349</c:v>
                </c:pt>
                <c:pt idx="289">
                  <c:v>1362482.8454012913</c:v>
                </c:pt>
                <c:pt idx="290">
                  <c:v>1346152.7865308123</c:v>
                </c:pt>
                <c:pt idx="291">
                  <c:v>1329749.2423954161</c:v>
                </c:pt>
                <c:pt idx="292">
                  <c:v>1313271.8823114107</c:v>
                </c:pt>
                <c:pt idx="293">
                  <c:v>1296720.3741070272</c:v>
                </c:pt>
                <c:pt idx="294">
                  <c:v>1280094.3841157239</c:v>
                </c:pt>
                <c:pt idx="295">
                  <c:v>1263393.5771694598</c:v>
                </c:pt>
                <c:pt idx="296">
                  <c:v>1246617.6165919376</c:v>
                </c:pt>
                <c:pt idx="297">
                  <c:v>1229766.1641918165</c:v>
                </c:pt>
                <c:pt idx="298">
                  <c:v>1212838.8802558947</c:v>
                </c:pt>
                <c:pt idx="299">
                  <c:v>1195835.4235422614</c:v>
                </c:pt>
                <c:pt idx="300">
                  <c:v>1178755.4512734166</c:v>
                </c:pt>
                <c:pt idx="301">
                  <c:v>1161598.6191293623</c:v>
                </c:pt>
                <c:pt idx="302">
                  <c:v>1144364.5812406596</c:v>
                </c:pt>
                <c:pt idx="303">
                  <c:v>1127052.9901814577</c:v>
                </c:pt>
                <c:pt idx="304">
                  <c:v>1109663.4969624896</c:v>
                </c:pt>
                <c:pt idx="305">
                  <c:v>1092195.751024036</c:v>
                </c:pt>
                <c:pt idx="306">
                  <c:v>1074649.4002288594</c:v>
                </c:pt>
                <c:pt idx="307">
                  <c:v>1057024.0908551044</c:v>
                </c:pt>
                <c:pt idx="308">
                  <c:v>1039319.4675891675</c:v>
                </c:pt>
                <c:pt idx="309">
                  <c:v>1021535.1735185339</c:v>
                </c:pt>
                <c:pt idx="310">
                  <c:v>1003670.8501245825</c:v>
                </c:pt>
                <c:pt idx="311">
                  <c:v>985726.13727535831</c:v>
                </c:pt>
                <c:pt idx="312">
                  <c:v>967700.67321831267</c:v>
                </c:pt>
                <c:pt idx="313">
                  <c:v>949594.09457301022</c:v>
                </c:pt>
                <c:pt idx="314">
                  <c:v>931406.03632380394</c:v>
                </c:pt>
                <c:pt idx="315">
                  <c:v>913136.1318124762</c:v>
                </c:pt>
                <c:pt idx="316">
                  <c:v>894784.01273084758</c:v>
                </c:pt>
                <c:pt idx="317">
                  <c:v>876349.30911335163</c:v>
                </c:pt>
                <c:pt idx="318">
                  <c:v>857831.64932957687</c:v>
                </c:pt>
                <c:pt idx="319">
                  <c:v>839230.66007677512</c:v>
                </c:pt>
                <c:pt idx="320">
                  <c:v>820545.9663723358</c:v>
                </c:pt>
                <c:pt idx="321">
                  <c:v>801777.1915462265</c:v>
                </c:pt>
                <c:pt idx="322">
                  <c:v>782923.95723339973</c:v>
                </c:pt>
                <c:pt idx="323">
                  <c:v>763985.88336616522</c:v>
                </c:pt>
                <c:pt idx="324">
                  <c:v>744962.58816652815</c:v>
                </c:pt>
                <c:pt idx="325">
                  <c:v>725853.68813849275</c:v>
                </c:pt>
                <c:pt idx="326">
                  <c:v>706658.79806033114</c:v>
                </c:pt>
                <c:pt idx="327">
                  <c:v>687377.53097681783</c:v>
                </c:pt>
                <c:pt idx="328">
                  <c:v>668009.49819142872</c:v>
                </c:pt>
                <c:pt idx="329">
                  <c:v>648554.30925850535</c:v>
                </c:pt>
                <c:pt idx="330">
                  <c:v>629011.57197538379</c:v>
                </c:pt>
                <c:pt idx="331">
                  <c:v>609380.89237448818</c:v>
                </c:pt>
                <c:pt idx="332">
                  <c:v>589661.87471538852</c:v>
                </c:pt>
                <c:pt idx="333">
                  <c:v>569854.121476823</c:v>
                </c:pt>
                <c:pt idx="334">
                  <c:v>549957.23334868392</c:v>
                </c:pt>
                <c:pt idx="335">
                  <c:v>529970.80922396819</c:v>
                </c:pt>
                <c:pt idx="336">
                  <c:v>509894.44619069126</c:v>
                </c:pt>
                <c:pt idx="337">
                  <c:v>489727.73952376458</c:v>
                </c:pt>
                <c:pt idx="338">
                  <c:v>469470.28267683671</c:v>
                </c:pt>
                <c:pt idx="339">
                  <c:v>449121.66727409768</c:v>
                </c:pt>
                <c:pt idx="340">
                  <c:v>428681.4831020463</c:v>
                </c:pt>
                <c:pt idx="341">
                  <c:v>408149.31810122071</c:v>
                </c:pt>
                <c:pt idx="342">
                  <c:v>387524.75835789141</c:v>
                </c:pt>
                <c:pt idx="343">
                  <c:v>366807.38809571712</c:v>
                </c:pt>
                <c:pt idx="344">
                  <c:v>345996.78966736305</c:v>
                </c:pt>
                <c:pt idx="345">
                  <c:v>325092.5435460814</c:v>
                </c:pt>
                <c:pt idx="346">
                  <c:v>304094.22831725399</c:v>
                </c:pt>
                <c:pt idx="347">
                  <c:v>283001.42066989682</c:v>
                </c:pt>
                <c:pt idx="348">
                  <c:v>261813.69538812654</c:v>
                </c:pt>
                <c:pt idx="349">
                  <c:v>240530.62534258829</c:v>
                </c:pt>
                <c:pt idx="350">
                  <c:v>219151.78148184513</c:v>
                </c:pt>
                <c:pt idx="351">
                  <c:v>197676.73282372864</c:v>
                </c:pt>
                <c:pt idx="352">
                  <c:v>176105.04644665061</c:v>
                </c:pt>
                <c:pt idx="353">
                  <c:v>154436.28748087573</c:v>
                </c:pt>
                <c:pt idx="354">
                  <c:v>132670.01909975486</c:v>
                </c:pt>
                <c:pt idx="355">
                  <c:v>110805.80251091896</c:v>
                </c:pt>
                <c:pt idx="356">
                  <c:v>88843.196947433287</c:v>
                </c:pt>
                <c:pt idx="357">
                  <c:v>66781.759658911935</c:v>
                </c:pt>
                <c:pt idx="358">
                  <c:v>44621.045902592232</c:v>
                </c:pt>
                <c:pt idx="359">
                  <c:v>22360.608934369091</c:v>
                </c:pt>
                <c:pt idx="360">
                  <c:v>-2.1105370251461864E-7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8E0-41BB-8E76-9607149C8B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7438832"/>
        <c:axId val="747439160"/>
      </c:scatterChart>
      <c:valAx>
        <c:axId val="747438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 sz="1400" b="1">
                    <a:solidFill>
                      <a:schemeClr val="tx1"/>
                    </a:solidFill>
                  </a:rPr>
                  <a:t>Period</a:t>
                </a:r>
                <a:r>
                  <a:rPr lang="cs-CZ" sz="1400" b="1" baseline="0">
                    <a:solidFill>
                      <a:schemeClr val="tx1"/>
                    </a:solidFill>
                  </a:rPr>
                  <a:t> t</a:t>
                </a:r>
                <a:endParaRPr lang="cs-CZ" sz="1100" b="1">
                  <a:solidFill>
                    <a:schemeClr val="tx1"/>
                  </a:solidFill>
                </a:endParaRPr>
              </a:p>
            </c:rich>
          </c:tx>
          <c:layout>
            <c:manualLayout>
              <c:xMode val="edge"/>
              <c:yMode val="edge"/>
              <c:x val="0.50628585510376944"/>
              <c:y val="0.9402491690712800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747439160"/>
        <c:crosses val="autoZero"/>
        <c:crossBetween val="midCat"/>
      </c:valAx>
      <c:valAx>
        <c:axId val="747439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 sz="1400" b="1" baseline="0">
                    <a:solidFill>
                      <a:schemeClr val="tx1"/>
                    </a:solidFill>
                  </a:rPr>
                  <a:t>Remaining debt  [currency]</a:t>
                </a:r>
                <a:endParaRPr lang="cs-CZ" sz="1400" b="1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7474388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Payment breakdown</a:t>
            </a:r>
            <a:r>
              <a:rPr lang="cs-CZ" baseline="0"/>
              <a:t>:  principal vs. interest</a:t>
            </a:r>
            <a:endParaRPr lang="cs-CZ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>
        <c:manualLayout>
          <c:layoutTarget val="inner"/>
          <c:xMode val="edge"/>
          <c:yMode val="edge"/>
          <c:x val="0.11334470075043436"/>
          <c:y val="7.4419160907638823E-2"/>
          <c:w val="0.76180058261948025"/>
          <c:h val="0.84019167328854538"/>
        </c:manualLayout>
      </c:layout>
      <c:scatterChart>
        <c:scatterStyle val="lineMarker"/>
        <c:varyColors val="0"/>
        <c:ser>
          <c:idx val="1"/>
          <c:order val="0"/>
          <c:tx>
            <c:strRef>
              <c:f>'Remaining debt'!$D$2</c:f>
              <c:strCache>
                <c:ptCount val="1"/>
                <c:pt idx="0">
                  <c:v> Principal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'Remaining debt'!$B$4:$B$501</c:f>
              <c:strCache>
                <c:ptCount val="3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</c:strCache>
            </c:strRef>
          </c:xVal>
          <c:yVal>
            <c:numRef>
              <c:f>'Remaining debt'!$D$4:$D$501</c:f>
              <c:numCache>
                <c:formatCode>_(* #,##0.00_);_(* \(#,##0.00\);_(* "-"??_);_(@_)</c:formatCode>
                <c:ptCount val="498"/>
                <c:pt idx="0">
                  <c:v>4461.2316747848054</c:v>
                </c:pt>
                <c:pt idx="1">
                  <c:v>4481.3072173213368</c:v>
                </c:pt>
                <c:pt idx="2">
                  <c:v>4501.473099799281</c:v>
                </c:pt>
                <c:pt idx="3">
                  <c:v>4521.7297287483816</c:v>
                </c:pt>
                <c:pt idx="4">
                  <c:v>4542.0775125277505</c:v>
                </c:pt>
                <c:pt idx="5">
                  <c:v>4562.516861334123</c:v>
                </c:pt>
                <c:pt idx="6">
                  <c:v>4583.0481872101263</c:v>
                </c:pt>
                <c:pt idx="7">
                  <c:v>4603.6719040525713</c:v>
                </c:pt>
                <c:pt idx="8">
                  <c:v>4624.3884276208119</c:v>
                </c:pt>
                <c:pt idx="9">
                  <c:v>4645.1981755451052</c:v>
                </c:pt>
                <c:pt idx="10">
                  <c:v>4666.1015673350557</c:v>
                </c:pt>
                <c:pt idx="11">
                  <c:v>4687.099024388066</c:v>
                </c:pt>
                <c:pt idx="12">
                  <c:v>4708.1909699978096</c:v>
                </c:pt>
                <c:pt idx="13">
                  <c:v>4729.377829362802</c:v>
                </c:pt>
                <c:pt idx="14">
                  <c:v>4750.660029594932</c:v>
                </c:pt>
                <c:pt idx="15">
                  <c:v>4772.0379997281088</c:v>
                </c:pt>
                <c:pt idx="16">
                  <c:v>4793.5121707268845</c:v>
                </c:pt>
                <c:pt idx="17">
                  <c:v>4815.0829754951556</c:v>
                </c:pt>
                <c:pt idx="18">
                  <c:v>4836.7508488848871</c:v>
                </c:pt>
                <c:pt idx="19">
                  <c:v>4858.5162277048657</c:v>
                </c:pt>
                <c:pt idx="20">
                  <c:v>4880.3795507295399</c:v>
                </c:pt>
                <c:pt idx="21">
                  <c:v>4902.3412587078201</c:v>
                </c:pt>
                <c:pt idx="22">
                  <c:v>4924.4017943720064</c:v>
                </c:pt>
                <c:pt idx="23">
                  <c:v>4946.5616024466799</c:v>
                </c:pt>
                <c:pt idx="24">
                  <c:v>4968.8211296576919</c:v>
                </c:pt>
                <c:pt idx="25">
                  <c:v>4991.1808247411536</c:v>
                </c:pt>
                <c:pt idx="26">
                  <c:v>5013.6411384524872</c:v>
                </c:pt>
                <c:pt idx="27">
                  <c:v>5036.2025235755245</c:v>
                </c:pt>
                <c:pt idx="28">
                  <c:v>5058.865434931613</c:v>
                </c:pt>
                <c:pt idx="29">
                  <c:v>5081.630329388805</c:v>
                </c:pt>
                <c:pt idx="30">
                  <c:v>5104.4976658710548</c:v>
                </c:pt>
                <c:pt idx="31">
                  <c:v>5127.4679053674772</c:v>
                </c:pt>
                <c:pt idx="32">
                  <c:v>5150.5415109416281</c:v>
                </c:pt>
                <c:pt idx="33">
                  <c:v>5173.7189477408647</c:v>
                </c:pt>
                <c:pt idx="34">
                  <c:v>5197.0006830056955</c:v>
                </c:pt>
                <c:pt idx="35">
                  <c:v>5220.3871860792242</c:v>
                </c:pt>
                <c:pt idx="36">
                  <c:v>5243.8789284165832</c:v>
                </c:pt>
                <c:pt idx="37">
                  <c:v>5267.4763835944541</c:v>
                </c:pt>
                <c:pt idx="38">
                  <c:v>5291.1800273206318</c:v>
                </c:pt>
                <c:pt idx="39">
                  <c:v>5314.9903374435708</c:v>
                </c:pt>
                <c:pt idx="40">
                  <c:v>5338.9077939620693</c:v>
                </c:pt>
                <c:pt idx="41">
                  <c:v>5362.9328790348954</c:v>
                </c:pt>
                <c:pt idx="42">
                  <c:v>5387.0660769905517</c:v>
                </c:pt>
                <c:pt idx="43">
                  <c:v>5411.3078743370133</c:v>
                </c:pt>
                <c:pt idx="44">
                  <c:v>5435.6587597715261</c:v>
                </c:pt>
                <c:pt idx="45">
                  <c:v>5460.1192241904973</c:v>
                </c:pt>
                <c:pt idx="46">
                  <c:v>5484.6897606993589</c:v>
                </c:pt>
                <c:pt idx="47">
                  <c:v>5509.3708646225059</c:v>
                </c:pt>
                <c:pt idx="48">
                  <c:v>5534.163033513305</c:v>
                </c:pt>
                <c:pt idx="49">
                  <c:v>5559.0667671641131</c:v>
                </c:pt>
                <c:pt idx="50">
                  <c:v>5584.0825676163513</c:v>
                </c:pt>
                <c:pt idx="51">
                  <c:v>5609.2109391706254</c:v>
                </c:pt>
                <c:pt idx="52">
                  <c:v>5634.4523883968941</c:v>
                </c:pt>
                <c:pt idx="53">
                  <c:v>5659.8074241446811</c:v>
                </c:pt>
                <c:pt idx="54">
                  <c:v>5685.276557553334</c:v>
                </c:pt>
                <c:pt idx="55">
                  <c:v>5710.8603020623232</c:v>
                </c:pt>
                <c:pt idx="56">
                  <c:v>5736.5591734216032</c:v>
                </c:pt>
                <c:pt idx="57">
                  <c:v>5762.373689701999</c:v>
                </c:pt>
                <c:pt idx="58">
                  <c:v>5788.3043713056577</c:v>
                </c:pt>
                <c:pt idx="59">
                  <c:v>5814.3517409765336</c:v>
                </c:pt>
                <c:pt idx="60">
                  <c:v>5840.5163238109271</c:v>
                </c:pt>
                <c:pt idx="61">
                  <c:v>5866.7986472680786</c:v>
                </c:pt>
                <c:pt idx="62">
                  <c:v>5893.1992411807842</c:v>
                </c:pt>
                <c:pt idx="63">
                  <c:v>5919.7186377660983</c:v>
                </c:pt>
                <c:pt idx="64">
                  <c:v>5946.3573716360479</c:v>
                </c:pt>
                <c:pt idx="65">
                  <c:v>5973.1159798084082</c:v>
                </c:pt>
                <c:pt idx="66">
                  <c:v>5999.995001717547</c:v>
                </c:pt>
                <c:pt idx="67">
                  <c:v>6026.9949792252737</c:v>
                </c:pt>
                <c:pt idx="68">
                  <c:v>6054.1164566317893</c:v>
                </c:pt>
                <c:pt idx="69">
                  <c:v>6081.3599806866296</c:v>
                </c:pt>
                <c:pt idx="70">
                  <c:v>6108.7261005997188</c:v>
                </c:pt>
                <c:pt idx="71">
                  <c:v>6136.2153680524189</c:v>
                </c:pt>
                <c:pt idx="72">
                  <c:v>6163.8283372086553</c:v>
                </c:pt>
                <c:pt idx="73">
                  <c:v>6191.5655647260955</c:v>
                </c:pt>
                <c:pt idx="74">
                  <c:v>6219.4276097673628</c:v>
                </c:pt>
                <c:pt idx="75">
                  <c:v>6247.4150340113156</c:v>
                </c:pt>
                <c:pt idx="76">
                  <c:v>6275.5284016643673</c:v>
                </c:pt>
                <c:pt idx="77">
                  <c:v>6303.7682794718585</c:v>
                </c:pt>
                <c:pt idx="78">
                  <c:v>6332.1352367294803</c:v>
                </c:pt>
                <c:pt idx="79">
                  <c:v>6360.6298452947631</c:v>
                </c:pt>
                <c:pt idx="80">
                  <c:v>6389.2526795985887</c:v>
                </c:pt>
                <c:pt idx="81">
                  <c:v>6418.0043166567812</c:v>
                </c:pt>
                <c:pt idx="82">
                  <c:v>6446.8853360817393</c:v>
                </c:pt>
                <c:pt idx="83">
                  <c:v>6475.8963200941052</c:v>
                </c:pt>
                <c:pt idx="84">
                  <c:v>6505.037853534528</c:v>
                </c:pt>
                <c:pt idx="85">
                  <c:v>6534.3105238754342</c:v>
                </c:pt>
                <c:pt idx="86">
                  <c:v>6563.714921232875</c:v>
                </c:pt>
                <c:pt idx="87">
                  <c:v>6593.2516383784205</c:v>
                </c:pt>
                <c:pt idx="88">
                  <c:v>6622.9212707511233</c:v>
                </c:pt>
                <c:pt idx="89">
                  <c:v>6652.7244164695039</c:v>
                </c:pt>
                <c:pt idx="90">
                  <c:v>6682.6616763436159</c:v>
                </c:pt>
                <c:pt idx="91">
                  <c:v>6712.7336538871623</c:v>
                </c:pt>
                <c:pt idx="92">
                  <c:v>6742.9409553296555</c:v>
                </c:pt>
                <c:pt idx="93">
                  <c:v>6773.2841896286391</c:v>
                </c:pt>
                <c:pt idx="94">
                  <c:v>6803.7639684819678</c:v>
                </c:pt>
                <c:pt idx="95">
                  <c:v>6834.3809063401368</c:v>
                </c:pt>
                <c:pt idx="96">
                  <c:v>6865.1356204186686</c:v>
                </c:pt>
                <c:pt idx="97">
                  <c:v>6896.02873071055</c:v>
                </c:pt>
                <c:pt idx="98">
                  <c:v>6927.0608599987481</c:v>
                </c:pt>
                <c:pt idx="99">
                  <c:v>6958.2326338687435</c:v>
                </c:pt>
                <c:pt idx="100">
                  <c:v>6989.544680721152</c:v>
                </c:pt>
                <c:pt idx="101">
                  <c:v>7020.9976317843957</c:v>
                </c:pt>
                <c:pt idx="102">
                  <c:v>7052.5921211274272</c:v>
                </c:pt>
                <c:pt idx="103">
                  <c:v>7084.3287856725019</c:v>
                </c:pt>
                <c:pt idx="104">
                  <c:v>7116.2082652080262</c:v>
                </c:pt>
                <c:pt idx="105">
                  <c:v>7148.2312024014627</c:v>
                </c:pt>
                <c:pt idx="106">
                  <c:v>7180.3982428122708</c:v>
                </c:pt>
                <c:pt idx="107">
                  <c:v>7212.7100349049251</c:v>
                </c:pt>
                <c:pt idx="108">
                  <c:v>7245.1672300619957</c:v>
                </c:pt>
                <c:pt idx="109">
                  <c:v>7277.7704825972778</c:v>
                </c:pt>
                <c:pt idx="110">
                  <c:v>7310.5204497689647</c:v>
                </c:pt>
                <c:pt idx="111">
                  <c:v>7343.4177917929246</c:v>
                </c:pt>
                <c:pt idx="112">
                  <c:v>7376.463171855994</c:v>
                </c:pt>
                <c:pt idx="113">
                  <c:v>7409.6572561293469</c:v>
                </c:pt>
                <c:pt idx="114">
                  <c:v>7443.0007137819284</c:v>
                </c:pt>
                <c:pt idx="115">
                  <c:v>7476.4942169939441</c:v>
                </c:pt>
                <c:pt idx="116">
                  <c:v>7510.1384409704169</c:v>
                </c:pt>
                <c:pt idx="117">
                  <c:v>7543.9340639547845</c:v>
                </c:pt>
                <c:pt idx="118">
                  <c:v>7577.8817672425812</c:v>
                </c:pt>
                <c:pt idx="119">
                  <c:v>7611.9822351951716</c:v>
                </c:pt>
                <c:pt idx="120">
                  <c:v>7646.2361552535531</c:v>
                </c:pt>
                <c:pt idx="121">
                  <c:v>7680.6442179521928</c:v>
                </c:pt>
                <c:pt idx="122">
                  <c:v>7715.2071169329756</c:v>
                </c:pt>
                <c:pt idx="123">
                  <c:v>7749.925548959176</c:v>
                </c:pt>
                <c:pt idx="124">
                  <c:v>7784.8002139294895</c:v>
                </c:pt>
                <c:pt idx="125">
                  <c:v>7819.8318148921717</c:v>
                </c:pt>
                <c:pt idx="126">
                  <c:v>7855.0210580591865</c:v>
                </c:pt>
                <c:pt idx="127">
                  <c:v>7890.3686528204544</c:v>
                </c:pt>
                <c:pt idx="128">
                  <c:v>7925.8753117581473</c:v>
                </c:pt>
                <c:pt idx="129">
                  <c:v>7961.5417506610593</c:v>
                </c:pt>
                <c:pt idx="130">
                  <c:v>7997.3686885390325</c:v>
                </c:pt>
                <c:pt idx="131">
                  <c:v>8033.3568476374603</c:v>
                </c:pt>
                <c:pt idx="132">
                  <c:v>8069.5069534518279</c:v>
                </c:pt>
                <c:pt idx="133">
                  <c:v>8105.8197347423611</c:v>
                </c:pt>
                <c:pt idx="134">
                  <c:v>8142.2959235487015</c:v>
                </c:pt>
                <c:pt idx="135">
                  <c:v>8178.9362552046714</c:v>
                </c:pt>
                <c:pt idx="136">
                  <c:v>8215.7414683530915</c:v>
                </c:pt>
                <c:pt idx="137">
                  <c:v>8252.7123049606798</c:v>
                </c:pt>
                <c:pt idx="138">
                  <c:v>8289.8495103330024</c:v>
                </c:pt>
                <c:pt idx="139">
                  <c:v>8327.1538331295033</c:v>
                </c:pt>
                <c:pt idx="140">
                  <c:v>8364.626025378584</c:v>
                </c:pt>
                <c:pt idx="141">
                  <c:v>8402.2668424927888</c:v>
                </c:pt>
                <c:pt idx="142">
                  <c:v>8440.0770432840054</c:v>
                </c:pt>
                <c:pt idx="143">
                  <c:v>8478.0573899787869</c:v>
                </c:pt>
                <c:pt idx="144">
                  <c:v>8516.2086482336908</c:v>
                </c:pt>
                <c:pt idx="145">
                  <c:v>8554.5315871507428</c:v>
                </c:pt>
                <c:pt idx="146">
                  <c:v>8593.0269792929212</c:v>
                </c:pt>
                <c:pt idx="147">
                  <c:v>8631.695600699737</c:v>
                </c:pt>
                <c:pt idx="148">
                  <c:v>8670.5382309028846</c:v>
                </c:pt>
                <c:pt idx="149">
                  <c:v>8709.55565294195</c:v>
                </c:pt>
                <c:pt idx="150">
                  <c:v>8748.7486533801894</c:v>
                </c:pt>
                <c:pt idx="151">
                  <c:v>8788.118022320401</c:v>
                </c:pt>
                <c:pt idx="152">
                  <c:v>8827.6645534208401</c:v>
                </c:pt>
                <c:pt idx="153">
                  <c:v>8867.3890439112329</c:v>
                </c:pt>
                <c:pt idx="154">
                  <c:v>8907.2922946088347</c:v>
                </c:pt>
                <c:pt idx="155">
                  <c:v>8947.3751099345736</c:v>
                </c:pt>
                <c:pt idx="156">
                  <c:v>8987.6382979292812</c:v>
                </c:pt>
                <c:pt idx="157">
                  <c:v>9028.0826702699651</c:v>
                </c:pt>
                <c:pt idx="158">
                  <c:v>9068.7090422861784</c:v>
                </c:pt>
                <c:pt idx="159">
                  <c:v>9109.5182329764666</c:v>
                </c:pt>
                <c:pt idx="160">
                  <c:v>9150.5110650248589</c:v>
                </c:pt>
                <c:pt idx="161">
                  <c:v>9191.6883648174717</c:v>
                </c:pt>
                <c:pt idx="162">
                  <c:v>9233.0509624591486</c:v>
                </c:pt>
                <c:pt idx="163">
                  <c:v>9274.5996917902175</c:v>
                </c:pt>
                <c:pt idx="164">
                  <c:v>9316.335390403272</c:v>
                </c:pt>
                <c:pt idx="165">
                  <c:v>9358.2588996600862</c:v>
                </c:pt>
                <c:pt idx="166">
                  <c:v>9400.3710647085591</c:v>
                </c:pt>
                <c:pt idx="167">
                  <c:v>9442.6727344997471</c:v>
                </c:pt>
                <c:pt idx="168">
                  <c:v>9485.1647618049956</c:v>
                </c:pt>
                <c:pt idx="169">
                  <c:v>9527.848003233119</c:v>
                </c:pt>
                <c:pt idx="170">
                  <c:v>9570.7233192476688</c:v>
                </c:pt>
                <c:pt idx="171">
                  <c:v>9613.7915741842844</c:v>
                </c:pt>
                <c:pt idx="172">
                  <c:v>9657.0536362681141</c:v>
                </c:pt>
                <c:pt idx="173">
                  <c:v>9700.5103776313208</c:v>
                </c:pt>
                <c:pt idx="174">
                  <c:v>9744.1626743306642</c:v>
                </c:pt>
                <c:pt idx="175">
                  <c:v>9788.0114063651508</c:v>
                </c:pt>
                <c:pt idx="176">
                  <c:v>9832.0574576937961</c:v>
                </c:pt>
                <c:pt idx="177">
                  <c:v>9876.3017162534179</c:v>
                </c:pt>
                <c:pt idx="178">
                  <c:v>9920.7450739765591</c:v>
                </c:pt>
                <c:pt idx="179">
                  <c:v>9965.3884268094516</c:v>
                </c:pt>
                <c:pt idx="180">
                  <c:v>10010.232674730096</c:v>
                </c:pt>
                <c:pt idx="181">
                  <c:v>10055.278721766381</c:v>
                </c:pt>
                <c:pt idx="182">
                  <c:v>10100.527476014331</c:v>
                </c:pt>
                <c:pt idx="183">
                  <c:v>10145.979849656393</c:v>
                </c:pt>
                <c:pt idx="184">
                  <c:v>10191.636758979848</c:v>
                </c:pt>
                <c:pt idx="185">
                  <c:v>10237.499124395257</c:v>
                </c:pt>
                <c:pt idx="186">
                  <c:v>10283.567870455036</c:v>
                </c:pt>
                <c:pt idx="187">
                  <c:v>10329.843925872081</c:v>
                </c:pt>
                <c:pt idx="188">
                  <c:v>10376.328223538507</c:v>
                </c:pt>
                <c:pt idx="189">
                  <c:v>10423.02170054443</c:v>
                </c:pt>
                <c:pt idx="190">
                  <c:v>10469.925298196878</c:v>
                </c:pt>
                <c:pt idx="191">
                  <c:v>10517.039962038765</c:v>
                </c:pt>
                <c:pt idx="192">
                  <c:v>10564.366641867939</c:v>
                </c:pt>
                <c:pt idx="193">
                  <c:v>10611.906291756346</c:v>
                </c:pt>
                <c:pt idx="194">
                  <c:v>10659.659870069247</c:v>
                </c:pt>
                <c:pt idx="195">
                  <c:v>10707.628339484561</c:v>
                </c:pt>
                <c:pt idx="196">
                  <c:v>10755.81266701224</c:v>
                </c:pt>
                <c:pt idx="197">
                  <c:v>10804.213824013796</c:v>
                </c:pt>
                <c:pt idx="198">
                  <c:v>10852.832786221856</c:v>
                </c:pt>
                <c:pt idx="199">
                  <c:v>10901.670533759856</c:v>
                </c:pt>
                <c:pt idx="200">
                  <c:v>10950.728051161776</c:v>
                </c:pt>
                <c:pt idx="201">
                  <c:v>11000.006327392004</c:v>
                </c:pt>
                <c:pt idx="202">
                  <c:v>11049.506355865267</c:v>
                </c:pt>
                <c:pt idx="203">
                  <c:v>11099.229134466663</c:v>
                </c:pt>
                <c:pt idx="204">
                  <c:v>11149.175665571764</c:v>
                </c:pt>
                <c:pt idx="205">
                  <c:v>11199.346956066835</c:v>
                </c:pt>
                <c:pt idx="206">
                  <c:v>11249.744017369138</c:v>
                </c:pt>
                <c:pt idx="207">
                  <c:v>11300.367865447295</c:v>
                </c:pt>
                <c:pt idx="208">
                  <c:v>11351.219520841811</c:v>
                </c:pt>
                <c:pt idx="209">
                  <c:v>11402.300008685599</c:v>
                </c:pt>
                <c:pt idx="210">
                  <c:v>11453.610358724685</c:v>
                </c:pt>
                <c:pt idx="211">
                  <c:v>11505.151605338946</c:v>
                </c:pt>
                <c:pt idx="212">
                  <c:v>11556.92478756297</c:v>
                </c:pt>
                <c:pt idx="213">
                  <c:v>11608.930949107003</c:v>
                </c:pt>
                <c:pt idx="214">
                  <c:v>11661.171138377984</c:v>
                </c:pt>
                <c:pt idx="215">
                  <c:v>11713.646408500685</c:v>
                </c:pt>
                <c:pt idx="216">
                  <c:v>11766.357817338938</c:v>
                </c:pt>
                <c:pt idx="217">
                  <c:v>11819.306427516962</c:v>
                </c:pt>
                <c:pt idx="218">
                  <c:v>11872.493306440787</c:v>
                </c:pt>
                <c:pt idx="219">
                  <c:v>11925.919526319771</c:v>
                </c:pt>
                <c:pt idx="220">
                  <c:v>11979.586164188211</c:v>
                </c:pt>
                <c:pt idx="221">
                  <c:v>12033.494301927058</c:v>
                </c:pt>
                <c:pt idx="222">
                  <c:v>12087.645026285731</c:v>
                </c:pt>
                <c:pt idx="223">
                  <c:v>12142.039428904016</c:v>
                </c:pt>
                <c:pt idx="224">
                  <c:v>12196.678606334084</c:v>
                </c:pt>
                <c:pt idx="225">
                  <c:v>12251.563660062588</c:v>
                </c:pt>
                <c:pt idx="226">
                  <c:v>12306.69569653287</c:v>
                </c:pt>
                <c:pt idx="227">
                  <c:v>12362.075827167266</c:v>
                </c:pt>
                <c:pt idx="228">
                  <c:v>12417.705168389519</c:v>
                </c:pt>
                <c:pt idx="229">
                  <c:v>12473.584841647273</c:v>
                </c:pt>
                <c:pt idx="230">
                  <c:v>12529.715973434684</c:v>
                </c:pt>
                <c:pt idx="231">
                  <c:v>12586.099695315141</c:v>
                </c:pt>
                <c:pt idx="232">
                  <c:v>12642.737143944059</c:v>
                </c:pt>
                <c:pt idx="233">
                  <c:v>12699.629461091807</c:v>
                </c:pt>
                <c:pt idx="234">
                  <c:v>12756.777793666721</c:v>
                </c:pt>
                <c:pt idx="235">
                  <c:v>12814.183293738221</c:v>
                </c:pt>
                <c:pt idx="236">
                  <c:v>12871.847118560045</c:v>
                </c:pt>
                <c:pt idx="237">
                  <c:v>12929.770430593564</c:v>
                </c:pt>
                <c:pt idx="238">
                  <c:v>12987.954397531237</c:v>
                </c:pt>
                <c:pt idx="239">
                  <c:v>13046.400192320127</c:v>
                </c:pt>
                <c:pt idx="240">
                  <c:v>13105.108993185568</c:v>
                </c:pt>
                <c:pt idx="241">
                  <c:v>13164.081983654904</c:v>
                </c:pt>
                <c:pt idx="242">
                  <c:v>13223.32035258135</c:v>
                </c:pt>
                <c:pt idx="243">
                  <c:v>13282.825294167966</c:v>
                </c:pt>
                <c:pt idx="244">
                  <c:v>13342.598007991723</c:v>
                </c:pt>
                <c:pt idx="245">
                  <c:v>13402.639699027684</c:v>
                </c:pt>
                <c:pt idx="246">
                  <c:v>13462.951577673308</c:v>
                </c:pt>
                <c:pt idx="247">
                  <c:v>13523.534859772839</c:v>
                </c:pt>
                <c:pt idx="248">
                  <c:v>13584.390766641814</c:v>
                </c:pt>
                <c:pt idx="249">
                  <c:v>13645.520525091704</c:v>
                </c:pt>
                <c:pt idx="250">
                  <c:v>13706.925367454616</c:v>
                </c:pt>
                <c:pt idx="251">
                  <c:v>13768.606531608162</c:v>
                </c:pt>
                <c:pt idx="252">
                  <c:v>13830.565261000398</c:v>
                </c:pt>
                <c:pt idx="253">
                  <c:v>13892.8028046749</c:v>
                </c:pt>
                <c:pt idx="254">
                  <c:v>13955.320417295938</c:v>
                </c:pt>
                <c:pt idx="255">
                  <c:v>14018.11935917377</c:v>
                </c:pt>
                <c:pt idx="256">
                  <c:v>14081.200896290051</c:v>
                </c:pt>
                <c:pt idx="257">
                  <c:v>14144.566300323357</c:v>
                </c:pt>
                <c:pt idx="258">
                  <c:v>14208.216848674812</c:v>
                </c:pt>
                <c:pt idx="259">
                  <c:v>14272.153824493849</c:v>
                </c:pt>
                <c:pt idx="260">
                  <c:v>14336.37851670407</c:v>
                </c:pt>
                <c:pt idx="261">
                  <c:v>14400.89222002924</c:v>
                </c:pt>
                <c:pt idx="262">
                  <c:v>14465.696235019372</c:v>
                </c:pt>
                <c:pt idx="263">
                  <c:v>14530.791868076958</c:v>
                </c:pt>
                <c:pt idx="264">
                  <c:v>14596.180431483303</c:v>
                </c:pt>
                <c:pt idx="265">
                  <c:v>14661.863243424978</c:v>
                </c:pt>
                <c:pt idx="266">
                  <c:v>14727.841628020393</c:v>
                </c:pt>
                <c:pt idx="267">
                  <c:v>14794.116915346483</c:v>
                </c:pt>
                <c:pt idx="268">
                  <c:v>14860.690441465544</c:v>
                </c:pt>
                <c:pt idx="269">
                  <c:v>14927.563548452137</c:v>
                </c:pt>
                <c:pt idx="270">
                  <c:v>14994.737584420171</c:v>
                </c:pt>
                <c:pt idx="271">
                  <c:v>15062.213903550062</c:v>
                </c:pt>
                <c:pt idx="272">
                  <c:v>15129.993866116038</c:v>
                </c:pt>
                <c:pt idx="273">
                  <c:v>15198.07883851356</c:v>
                </c:pt>
                <c:pt idx="274">
                  <c:v>15266.47019328687</c:v>
                </c:pt>
                <c:pt idx="275">
                  <c:v>15335.169309156663</c:v>
                </c:pt>
                <c:pt idx="276">
                  <c:v>15404.177571047869</c:v>
                </c:pt>
                <c:pt idx="277">
                  <c:v>15473.496370117584</c:v>
                </c:pt>
                <c:pt idx="278">
                  <c:v>15543.127103783114</c:v>
                </c:pt>
                <c:pt idx="279">
                  <c:v>15613.071175750138</c:v>
                </c:pt>
                <c:pt idx="280">
                  <c:v>15683.329996041011</c:v>
                </c:pt>
                <c:pt idx="281">
                  <c:v>15753.904981023195</c:v>
                </c:pt>
                <c:pt idx="282">
                  <c:v>15824.797553437802</c:v>
                </c:pt>
                <c:pt idx="283">
                  <c:v>15896.009142428269</c:v>
                </c:pt>
                <c:pt idx="284">
                  <c:v>15967.541183569196</c:v>
                </c:pt>
                <c:pt idx="285">
                  <c:v>16039.39511889526</c:v>
                </c:pt>
                <c:pt idx="286">
                  <c:v>16111.572396930289</c:v>
                </c:pt>
                <c:pt idx="287">
                  <c:v>16184.074472716475</c:v>
                </c:pt>
                <c:pt idx="288">
                  <c:v>16256.902807843697</c:v>
                </c:pt>
                <c:pt idx="289">
                  <c:v>16330.058870478995</c:v>
                </c:pt>
                <c:pt idx="290">
                  <c:v>16403.544135396151</c:v>
                </c:pt>
                <c:pt idx="291">
                  <c:v>16477.360084005431</c:v>
                </c:pt>
                <c:pt idx="292">
                  <c:v>16551.508204383455</c:v>
                </c:pt>
                <c:pt idx="293">
                  <c:v>16625.989991303184</c:v>
                </c:pt>
                <c:pt idx="294">
                  <c:v>16700.806946264049</c:v>
                </c:pt>
                <c:pt idx="295">
                  <c:v>16775.960577522237</c:v>
                </c:pt>
                <c:pt idx="296">
                  <c:v>16851.452400121085</c:v>
                </c:pt>
                <c:pt idx="297">
                  <c:v>16927.28393592163</c:v>
                </c:pt>
                <c:pt idx="298">
                  <c:v>17003.456713633277</c:v>
                </c:pt>
                <c:pt idx="299">
                  <c:v>17079.972268844627</c:v>
                </c:pt>
                <c:pt idx="300">
                  <c:v>17156.832144054431</c:v>
                </c:pt>
                <c:pt idx="301">
                  <c:v>17234.037888702675</c:v>
                </c:pt>
                <c:pt idx="302">
                  <c:v>17311.591059201837</c:v>
                </c:pt>
                <c:pt idx="303">
                  <c:v>17389.493218968244</c:v>
                </c:pt>
                <c:pt idx="304">
                  <c:v>17467.745938453601</c:v>
                </c:pt>
                <c:pt idx="305">
                  <c:v>17546.350795176644</c:v>
                </c:pt>
                <c:pt idx="306">
                  <c:v>17625.309373754939</c:v>
                </c:pt>
                <c:pt idx="307">
                  <c:v>17704.623265936836</c:v>
                </c:pt>
                <c:pt idx="308">
                  <c:v>17784.29407063355</c:v>
                </c:pt>
                <c:pt idx="309">
                  <c:v>17864.323393951403</c:v>
                </c:pt>
                <c:pt idx="310">
                  <c:v>17944.712849224183</c:v>
                </c:pt>
                <c:pt idx="311">
                  <c:v>18025.464057045694</c:v>
                </c:pt>
                <c:pt idx="312">
                  <c:v>18106.578645302397</c:v>
                </c:pt>
                <c:pt idx="313">
                  <c:v>18188.05824920626</c:v>
                </c:pt>
                <c:pt idx="314">
                  <c:v>18269.904511327688</c:v>
                </c:pt>
                <c:pt idx="315">
                  <c:v>18352.119081628662</c:v>
                </c:pt>
                <c:pt idx="316">
                  <c:v>18434.70361749599</c:v>
                </c:pt>
                <c:pt idx="317">
                  <c:v>18517.659783774725</c:v>
                </c:pt>
                <c:pt idx="318">
                  <c:v>18600.989252801708</c:v>
                </c:pt>
                <c:pt idx="319">
                  <c:v>18684.693704439316</c:v>
                </c:pt>
                <c:pt idx="320">
                  <c:v>18768.774826109293</c:v>
                </c:pt>
                <c:pt idx="321">
                  <c:v>18853.234312826786</c:v>
                </c:pt>
                <c:pt idx="322">
                  <c:v>18938.073867234507</c:v>
                </c:pt>
                <c:pt idx="323">
                  <c:v>19023.295199637061</c:v>
                </c:pt>
                <c:pt idx="324">
                  <c:v>19108.90002803543</c:v>
                </c:pt>
                <c:pt idx="325">
                  <c:v>19194.890078161588</c:v>
                </c:pt>
                <c:pt idx="326">
                  <c:v>19281.267083513314</c:v>
                </c:pt>
                <c:pt idx="327">
                  <c:v>19368.032785389125</c:v>
                </c:pt>
                <c:pt idx="328">
                  <c:v>19455.188932923375</c:v>
                </c:pt>
                <c:pt idx="329">
                  <c:v>19542.737283121533</c:v>
                </c:pt>
                <c:pt idx="330">
                  <c:v>19630.679600895579</c:v>
                </c:pt>
                <c:pt idx="331">
                  <c:v>19719.017659099609</c:v>
                </c:pt>
                <c:pt idx="332">
                  <c:v>19807.753238565558</c:v>
                </c:pt>
                <c:pt idx="333">
                  <c:v>19896.8881281391</c:v>
                </c:pt>
                <c:pt idx="334">
                  <c:v>19986.424124715726</c:v>
                </c:pt>
                <c:pt idx="335">
                  <c:v>20076.36303327695</c:v>
                </c:pt>
                <c:pt idx="336">
                  <c:v>20166.706666926693</c:v>
                </c:pt>
                <c:pt idx="337">
                  <c:v>20257.456846927864</c:v>
                </c:pt>
                <c:pt idx="338">
                  <c:v>20348.61540273904</c:v>
                </c:pt>
                <c:pt idx="339">
                  <c:v>20440.184172051366</c:v>
                </c:pt>
                <c:pt idx="340">
                  <c:v>20532.165000825597</c:v>
                </c:pt>
                <c:pt idx="341">
                  <c:v>20624.559743329311</c:v>
                </c:pt>
                <c:pt idx="342">
                  <c:v>20717.370262174292</c:v>
                </c:pt>
                <c:pt idx="343">
                  <c:v>20810.598428354078</c:v>
                </c:pt>
                <c:pt idx="344">
                  <c:v>20904.246121281671</c:v>
                </c:pt>
                <c:pt idx="345">
                  <c:v>20998.31522882744</c:v>
                </c:pt>
                <c:pt idx="346">
                  <c:v>21092.807647357164</c:v>
                </c:pt>
                <c:pt idx="347">
                  <c:v>21187.725281770268</c:v>
                </c:pt>
                <c:pt idx="348">
                  <c:v>21283.070045538236</c:v>
                </c:pt>
                <c:pt idx="349">
                  <c:v>21378.84386074316</c:v>
                </c:pt>
                <c:pt idx="350">
                  <c:v>21475.048658116502</c:v>
                </c:pt>
                <c:pt idx="351">
                  <c:v>21571.686377078026</c:v>
                </c:pt>
                <c:pt idx="352">
                  <c:v>21668.758965774876</c:v>
                </c:pt>
                <c:pt idx="353">
                  <c:v>21766.268381120866</c:v>
                </c:pt>
                <c:pt idx="354">
                  <c:v>21864.216588835909</c:v>
                </c:pt>
                <c:pt idx="355">
                  <c:v>21962.605563485671</c:v>
                </c:pt>
                <c:pt idx="356">
                  <c:v>22061.437288521356</c:v>
                </c:pt>
                <c:pt idx="357">
                  <c:v>22160.713756319703</c:v>
                </c:pt>
                <c:pt idx="358">
                  <c:v>22260.436968223141</c:v>
                </c:pt>
                <c:pt idx="359">
                  <c:v>22360.608934580145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817-4412-BBAD-54F5FE6DF64A}"/>
            </c:ext>
          </c:extLst>
        </c:ser>
        <c:ser>
          <c:idx val="0"/>
          <c:order val="1"/>
          <c:tx>
            <c:strRef>
              <c:f>'Remaining debt'!$C$2</c:f>
              <c:strCache>
                <c:ptCount val="1"/>
                <c:pt idx="0">
                  <c:v> Payment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'Remaining debt'!$B$4:$B$501</c:f>
              <c:strCache>
                <c:ptCount val="3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</c:strCache>
            </c:strRef>
          </c:xVal>
          <c:yVal>
            <c:numRef>
              <c:f>'Remaining debt'!$C$4:$C$501</c:f>
              <c:numCache>
                <c:formatCode>_(* #,##0.00_);_(* \(#,##0.00\);_(* "-"??_);_(@_)</c:formatCode>
                <c:ptCount val="498"/>
                <c:pt idx="0">
                  <c:v>22461.231674784805</c:v>
                </c:pt>
                <c:pt idx="1">
                  <c:v>22461.231674784805</c:v>
                </c:pt>
                <c:pt idx="2">
                  <c:v>22461.231674784805</c:v>
                </c:pt>
                <c:pt idx="3">
                  <c:v>22461.231674784805</c:v>
                </c:pt>
                <c:pt idx="4">
                  <c:v>22461.231674784805</c:v>
                </c:pt>
                <c:pt idx="5">
                  <c:v>22461.231674784805</c:v>
                </c:pt>
                <c:pt idx="6">
                  <c:v>22461.231674784805</c:v>
                </c:pt>
                <c:pt idx="7">
                  <c:v>22461.231674784805</c:v>
                </c:pt>
                <c:pt idx="8">
                  <c:v>22461.231674784805</c:v>
                </c:pt>
                <c:pt idx="9">
                  <c:v>22461.231674784805</c:v>
                </c:pt>
                <c:pt idx="10">
                  <c:v>22461.231674784805</c:v>
                </c:pt>
                <c:pt idx="11">
                  <c:v>22461.231674784805</c:v>
                </c:pt>
                <c:pt idx="12">
                  <c:v>22461.231674784805</c:v>
                </c:pt>
                <c:pt idx="13">
                  <c:v>22461.231674784805</c:v>
                </c:pt>
                <c:pt idx="14">
                  <c:v>22461.231674784805</c:v>
                </c:pt>
                <c:pt idx="15">
                  <c:v>22461.231674784805</c:v>
                </c:pt>
                <c:pt idx="16">
                  <c:v>22461.231674784805</c:v>
                </c:pt>
                <c:pt idx="17">
                  <c:v>22461.231674784805</c:v>
                </c:pt>
                <c:pt idx="18">
                  <c:v>22461.231674784805</c:v>
                </c:pt>
                <c:pt idx="19">
                  <c:v>22461.231674784805</c:v>
                </c:pt>
                <c:pt idx="20">
                  <c:v>22461.231674784805</c:v>
                </c:pt>
                <c:pt idx="21">
                  <c:v>22461.231674784805</c:v>
                </c:pt>
                <c:pt idx="22">
                  <c:v>22461.231674784805</c:v>
                </c:pt>
                <c:pt idx="23">
                  <c:v>22461.231674784805</c:v>
                </c:pt>
                <c:pt idx="24">
                  <c:v>22461.231674784805</c:v>
                </c:pt>
                <c:pt idx="25">
                  <c:v>22461.231674784805</c:v>
                </c:pt>
                <c:pt idx="26">
                  <c:v>22461.231674784805</c:v>
                </c:pt>
                <c:pt idx="27">
                  <c:v>22461.231674784805</c:v>
                </c:pt>
                <c:pt idx="28">
                  <c:v>22461.231674784805</c:v>
                </c:pt>
                <c:pt idx="29">
                  <c:v>22461.231674784805</c:v>
                </c:pt>
                <c:pt idx="30">
                  <c:v>22461.231674784805</c:v>
                </c:pt>
                <c:pt idx="31">
                  <c:v>22461.231674784805</c:v>
                </c:pt>
                <c:pt idx="32">
                  <c:v>22461.231674784805</c:v>
                </c:pt>
                <c:pt idx="33">
                  <c:v>22461.231674784805</c:v>
                </c:pt>
                <c:pt idx="34">
                  <c:v>22461.231674784805</c:v>
                </c:pt>
                <c:pt idx="35">
                  <c:v>22461.231674784805</c:v>
                </c:pt>
                <c:pt idx="36">
                  <c:v>22461.231674784805</c:v>
                </c:pt>
                <c:pt idx="37">
                  <c:v>22461.231674784805</c:v>
                </c:pt>
                <c:pt idx="38">
                  <c:v>22461.231674784805</c:v>
                </c:pt>
                <c:pt idx="39">
                  <c:v>22461.231674784805</c:v>
                </c:pt>
                <c:pt idx="40">
                  <c:v>22461.231674784805</c:v>
                </c:pt>
                <c:pt idx="41">
                  <c:v>22461.231674784805</c:v>
                </c:pt>
                <c:pt idx="42">
                  <c:v>22461.231674784805</c:v>
                </c:pt>
                <c:pt idx="43">
                  <c:v>22461.231674784805</c:v>
                </c:pt>
                <c:pt idx="44">
                  <c:v>22461.231674784805</c:v>
                </c:pt>
                <c:pt idx="45">
                  <c:v>22461.231674784805</c:v>
                </c:pt>
                <c:pt idx="46">
                  <c:v>22461.231674784805</c:v>
                </c:pt>
                <c:pt idx="47">
                  <c:v>22461.231674784805</c:v>
                </c:pt>
                <c:pt idx="48">
                  <c:v>22461.231674784805</c:v>
                </c:pt>
                <c:pt idx="49">
                  <c:v>22461.231674784805</c:v>
                </c:pt>
                <c:pt idx="50">
                  <c:v>22461.231674784805</c:v>
                </c:pt>
                <c:pt idx="51">
                  <c:v>22461.231674784805</c:v>
                </c:pt>
                <c:pt idx="52">
                  <c:v>22461.231674784805</c:v>
                </c:pt>
                <c:pt idx="53">
                  <c:v>22461.231674784805</c:v>
                </c:pt>
                <c:pt idx="54">
                  <c:v>22461.231674784805</c:v>
                </c:pt>
                <c:pt idx="55">
                  <c:v>22461.231674784805</c:v>
                </c:pt>
                <c:pt idx="56">
                  <c:v>22461.231674784805</c:v>
                </c:pt>
                <c:pt idx="57">
                  <c:v>22461.231674784805</c:v>
                </c:pt>
                <c:pt idx="58">
                  <c:v>22461.231674784805</c:v>
                </c:pt>
                <c:pt idx="59">
                  <c:v>22461.231674784805</c:v>
                </c:pt>
                <c:pt idx="60">
                  <c:v>22461.231674784805</c:v>
                </c:pt>
                <c:pt idx="61">
                  <c:v>22461.231674784805</c:v>
                </c:pt>
                <c:pt idx="62">
                  <c:v>22461.231674784805</c:v>
                </c:pt>
                <c:pt idx="63">
                  <c:v>22461.231674784805</c:v>
                </c:pt>
                <c:pt idx="64">
                  <c:v>22461.231674784805</c:v>
                </c:pt>
                <c:pt idx="65">
                  <c:v>22461.231674784805</c:v>
                </c:pt>
                <c:pt idx="66">
                  <c:v>22461.231674784805</c:v>
                </c:pt>
                <c:pt idx="67">
                  <c:v>22461.231674784805</c:v>
                </c:pt>
                <c:pt idx="68">
                  <c:v>22461.231674784805</c:v>
                </c:pt>
                <c:pt idx="69">
                  <c:v>22461.231674784805</c:v>
                </c:pt>
                <c:pt idx="70">
                  <c:v>22461.231674784805</c:v>
                </c:pt>
                <c:pt idx="71">
                  <c:v>22461.231674784805</c:v>
                </c:pt>
                <c:pt idx="72">
                  <c:v>22461.231674784805</c:v>
                </c:pt>
                <c:pt idx="73">
                  <c:v>22461.231674784805</c:v>
                </c:pt>
                <c:pt idx="74">
                  <c:v>22461.231674784805</c:v>
                </c:pt>
                <c:pt idx="75">
                  <c:v>22461.231674784805</c:v>
                </c:pt>
                <c:pt idx="76">
                  <c:v>22461.231674784805</c:v>
                </c:pt>
                <c:pt idx="77">
                  <c:v>22461.231674784805</c:v>
                </c:pt>
                <c:pt idx="78">
                  <c:v>22461.231674784805</c:v>
                </c:pt>
                <c:pt idx="79">
                  <c:v>22461.231674784805</c:v>
                </c:pt>
                <c:pt idx="80">
                  <c:v>22461.231674784805</c:v>
                </c:pt>
                <c:pt idx="81">
                  <c:v>22461.231674784805</c:v>
                </c:pt>
                <c:pt idx="82">
                  <c:v>22461.231674784805</c:v>
                </c:pt>
                <c:pt idx="83">
                  <c:v>22461.231674784805</c:v>
                </c:pt>
                <c:pt idx="84">
                  <c:v>22461.231674784805</c:v>
                </c:pt>
                <c:pt idx="85">
                  <c:v>22461.231674784805</c:v>
                </c:pt>
                <c:pt idx="86">
                  <c:v>22461.231674784805</c:v>
                </c:pt>
                <c:pt idx="87">
                  <c:v>22461.231674784805</c:v>
                </c:pt>
                <c:pt idx="88">
                  <c:v>22461.231674784805</c:v>
                </c:pt>
                <c:pt idx="89">
                  <c:v>22461.231674784805</c:v>
                </c:pt>
                <c:pt idx="90">
                  <c:v>22461.231674784805</c:v>
                </c:pt>
                <c:pt idx="91">
                  <c:v>22461.231674784805</c:v>
                </c:pt>
                <c:pt idx="92">
                  <c:v>22461.231674784805</c:v>
                </c:pt>
                <c:pt idx="93">
                  <c:v>22461.231674784805</c:v>
                </c:pt>
                <c:pt idx="94">
                  <c:v>22461.231674784805</c:v>
                </c:pt>
                <c:pt idx="95">
                  <c:v>22461.231674784805</c:v>
                </c:pt>
                <c:pt idx="96">
                  <c:v>22461.231674784805</c:v>
                </c:pt>
                <c:pt idx="97">
                  <c:v>22461.231674784805</c:v>
                </c:pt>
                <c:pt idx="98">
                  <c:v>22461.231674784805</c:v>
                </c:pt>
                <c:pt idx="99">
                  <c:v>22461.231674784805</c:v>
                </c:pt>
                <c:pt idx="100">
                  <c:v>22461.231674784805</c:v>
                </c:pt>
                <c:pt idx="101">
                  <c:v>22461.231674784805</c:v>
                </c:pt>
                <c:pt idx="102">
                  <c:v>22461.231674784805</c:v>
                </c:pt>
                <c:pt idx="103">
                  <c:v>22461.231674784805</c:v>
                </c:pt>
                <c:pt idx="104">
                  <c:v>22461.231674784805</c:v>
                </c:pt>
                <c:pt idx="105">
                  <c:v>22461.231674784805</c:v>
                </c:pt>
                <c:pt idx="106">
                  <c:v>22461.231674784805</c:v>
                </c:pt>
                <c:pt idx="107">
                  <c:v>22461.231674784805</c:v>
                </c:pt>
                <c:pt idx="108">
                  <c:v>22461.231674784805</c:v>
                </c:pt>
                <c:pt idx="109">
                  <c:v>22461.231674784805</c:v>
                </c:pt>
                <c:pt idx="110">
                  <c:v>22461.231674784805</c:v>
                </c:pt>
                <c:pt idx="111">
                  <c:v>22461.231674784805</c:v>
                </c:pt>
                <c:pt idx="112">
                  <c:v>22461.231674784805</c:v>
                </c:pt>
                <c:pt idx="113">
                  <c:v>22461.231674784805</c:v>
                </c:pt>
                <c:pt idx="114">
                  <c:v>22461.231674784805</c:v>
                </c:pt>
                <c:pt idx="115">
                  <c:v>22461.231674784805</c:v>
                </c:pt>
                <c:pt idx="116">
                  <c:v>22461.231674784805</c:v>
                </c:pt>
                <c:pt idx="117">
                  <c:v>22461.231674784805</c:v>
                </c:pt>
                <c:pt idx="118">
                  <c:v>22461.231674784805</c:v>
                </c:pt>
                <c:pt idx="119">
                  <c:v>22461.231674784805</c:v>
                </c:pt>
                <c:pt idx="120">
                  <c:v>22461.231674784805</c:v>
                </c:pt>
                <c:pt idx="121">
                  <c:v>22461.231674784805</c:v>
                </c:pt>
                <c:pt idx="122">
                  <c:v>22461.231674784805</c:v>
                </c:pt>
                <c:pt idx="123">
                  <c:v>22461.231674784805</c:v>
                </c:pt>
                <c:pt idx="124">
                  <c:v>22461.231674784805</c:v>
                </c:pt>
                <c:pt idx="125">
                  <c:v>22461.231674784805</c:v>
                </c:pt>
                <c:pt idx="126">
                  <c:v>22461.231674784805</c:v>
                </c:pt>
                <c:pt idx="127">
                  <c:v>22461.231674784805</c:v>
                </c:pt>
                <c:pt idx="128">
                  <c:v>22461.231674784805</c:v>
                </c:pt>
                <c:pt idx="129">
                  <c:v>22461.231674784805</c:v>
                </c:pt>
                <c:pt idx="130">
                  <c:v>22461.231674784805</c:v>
                </c:pt>
                <c:pt idx="131">
                  <c:v>22461.231674784805</c:v>
                </c:pt>
                <c:pt idx="132">
                  <c:v>22461.231674784805</c:v>
                </c:pt>
                <c:pt idx="133">
                  <c:v>22461.231674784805</c:v>
                </c:pt>
                <c:pt idx="134">
                  <c:v>22461.231674784805</c:v>
                </c:pt>
                <c:pt idx="135">
                  <c:v>22461.231674784805</c:v>
                </c:pt>
                <c:pt idx="136">
                  <c:v>22461.231674784805</c:v>
                </c:pt>
                <c:pt idx="137">
                  <c:v>22461.231674784805</c:v>
                </c:pt>
                <c:pt idx="138">
                  <c:v>22461.231674784805</c:v>
                </c:pt>
                <c:pt idx="139">
                  <c:v>22461.231674784805</c:v>
                </c:pt>
                <c:pt idx="140">
                  <c:v>22461.231674784805</c:v>
                </c:pt>
                <c:pt idx="141">
                  <c:v>22461.231674784805</c:v>
                </c:pt>
                <c:pt idx="142">
                  <c:v>22461.231674784805</c:v>
                </c:pt>
                <c:pt idx="143">
                  <c:v>22461.231674784805</c:v>
                </c:pt>
                <c:pt idx="144">
                  <c:v>22461.231674784805</c:v>
                </c:pt>
                <c:pt idx="145">
                  <c:v>22461.231674784805</c:v>
                </c:pt>
                <c:pt idx="146">
                  <c:v>22461.231674784805</c:v>
                </c:pt>
                <c:pt idx="147">
                  <c:v>22461.231674784805</c:v>
                </c:pt>
                <c:pt idx="148">
                  <c:v>22461.231674784805</c:v>
                </c:pt>
                <c:pt idx="149">
                  <c:v>22461.231674784805</c:v>
                </c:pt>
                <c:pt idx="150">
                  <c:v>22461.231674784805</c:v>
                </c:pt>
                <c:pt idx="151">
                  <c:v>22461.231674784805</c:v>
                </c:pt>
                <c:pt idx="152">
                  <c:v>22461.231674784805</c:v>
                </c:pt>
                <c:pt idx="153">
                  <c:v>22461.231674784805</c:v>
                </c:pt>
                <c:pt idx="154">
                  <c:v>22461.231674784805</c:v>
                </c:pt>
                <c:pt idx="155">
                  <c:v>22461.231674784805</c:v>
                </c:pt>
                <c:pt idx="156">
                  <c:v>22461.231674784805</c:v>
                </c:pt>
                <c:pt idx="157">
                  <c:v>22461.231674784805</c:v>
                </c:pt>
                <c:pt idx="158">
                  <c:v>22461.231674784805</c:v>
                </c:pt>
                <c:pt idx="159">
                  <c:v>22461.231674784805</c:v>
                </c:pt>
                <c:pt idx="160">
                  <c:v>22461.231674784805</c:v>
                </c:pt>
                <c:pt idx="161">
                  <c:v>22461.231674784805</c:v>
                </c:pt>
                <c:pt idx="162">
                  <c:v>22461.231674784805</c:v>
                </c:pt>
                <c:pt idx="163">
                  <c:v>22461.231674784805</c:v>
                </c:pt>
                <c:pt idx="164">
                  <c:v>22461.231674784805</c:v>
                </c:pt>
                <c:pt idx="165">
                  <c:v>22461.231674784805</c:v>
                </c:pt>
                <c:pt idx="166">
                  <c:v>22461.231674784805</c:v>
                </c:pt>
                <c:pt idx="167">
                  <c:v>22461.231674784805</c:v>
                </c:pt>
                <c:pt idx="168">
                  <c:v>22461.231674784805</c:v>
                </c:pt>
                <c:pt idx="169">
                  <c:v>22461.231674784805</c:v>
                </c:pt>
                <c:pt idx="170">
                  <c:v>22461.231674784805</c:v>
                </c:pt>
                <c:pt idx="171">
                  <c:v>22461.231674784805</c:v>
                </c:pt>
                <c:pt idx="172">
                  <c:v>22461.231674784805</c:v>
                </c:pt>
                <c:pt idx="173">
                  <c:v>22461.231674784805</c:v>
                </c:pt>
                <c:pt idx="174">
                  <c:v>22461.231674784805</c:v>
                </c:pt>
                <c:pt idx="175">
                  <c:v>22461.231674784805</c:v>
                </c:pt>
                <c:pt idx="176">
                  <c:v>22461.231674784805</c:v>
                </c:pt>
                <c:pt idx="177">
                  <c:v>22461.231674784805</c:v>
                </c:pt>
                <c:pt idx="178">
                  <c:v>22461.231674784805</c:v>
                </c:pt>
                <c:pt idx="179">
                  <c:v>22461.231674784805</c:v>
                </c:pt>
                <c:pt idx="180">
                  <c:v>22461.231674784805</c:v>
                </c:pt>
                <c:pt idx="181">
                  <c:v>22461.231674784805</c:v>
                </c:pt>
                <c:pt idx="182">
                  <c:v>22461.231674784805</c:v>
                </c:pt>
                <c:pt idx="183">
                  <c:v>22461.231674784805</c:v>
                </c:pt>
                <c:pt idx="184">
                  <c:v>22461.231674784805</c:v>
                </c:pt>
                <c:pt idx="185">
                  <c:v>22461.231674784805</c:v>
                </c:pt>
                <c:pt idx="186">
                  <c:v>22461.231674784805</c:v>
                </c:pt>
                <c:pt idx="187">
                  <c:v>22461.231674784805</c:v>
                </c:pt>
                <c:pt idx="188">
                  <c:v>22461.231674784805</c:v>
                </c:pt>
                <c:pt idx="189">
                  <c:v>22461.231674784805</c:v>
                </c:pt>
                <c:pt idx="190">
                  <c:v>22461.231674784805</c:v>
                </c:pt>
                <c:pt idx="191">
                  <c:v>22461.231674784805</c:v>
                </c:pt>
                <c:pt idx="192">
                  <c:v>22461.231674784805</c:v>
                </c:pt>
                <c:pt idx="193">
                  <c:v>22461.231674784805</c:v>
                </c:pt>
                <c:pt idx="194">
                  <c:v>22461.231674784805</c:v>
                </c:pt>
                <c:pt idx="195">
                  <c:v>22461.231674784805</c:v>
                </c:pt>
                <c:pt idx="196">
                  <c:v>22461.231674784805</c:v>
                </c:pt>
                <c:pt idx="197">
                  <c:v>22461.231674784805</c:v>
                </c:pt>
                <c:pt idx="198">
                  <c:v>22461.231674784805</c:v>
                </c:pt>
                <c:pt idx="199">
                  <c:v>22461.231674784805</c:v>
                </c:pt>
                <c:pt idx="200">
                  <c:v>22461.231674784805</c:v>
                </c:pt>
                <c:pt idx="201">
                  <c:v>22461.231674784805</c:v>
                </c:pt>
                <c:pt idx="202">
                  <c:v>22461.231674784805</c:v>
                </c:pt>
                <c:pt idx="203">
                  <c:v>22461.231674784805</c:v>
                </c:pt>
                <c:pt idx="204">
                  <c:v>22461.231674784805</c:v>
                </c:pt>
                <c:pt idx="205">
                  <c:v>22461.231674784805</c:v>
                </c:pt>
                <c:pt idx="206">
                  <c:v>22461.231674784805</c:v>
                </c:pt>
                <c:pt idx="207">
                  <c:v>22461.231674784805</c:v>
                </c:pt>
                <c:pt idx="208">
                  <c:v>22461.231674784805</c:v>
                </c:pt>
                <c:pt idx="209">
                  <c:v>22461.231674784805</c:v>
                </c:pt>
                <c:pt idx="210">
                  <c:v>22461.231674784805</c:v>
                </c:pt>
                <c:pt idx="211">
                  <c:v>22461.231674784805</c:v>
                </c:pt>
                <c:pt idx="212">
                  <c:v>22461.231674784805</c:v>
                </c:pt>
                <c:pt idx="213">
                  <c:v>22461.231674784805</c:v>
                </c:pt>
                <c:pt idx="214">
                  <c:v>22461.231674784805</c:v>
                </c:pt>
                <c:pt idx="215">
                  <c:v>22461.231674784805</c:v>
                </c:pt>
                <c:pt idx="216">
                  <c:v>22461.231674784805</c:v>
                </c:pt>
                <c:pt idx="217">
                  <c:v>22461.231674784805</c:v>
                </c:pt>
                <c:pt idx="218">
                  <c:v>22461.231674784805</c:v>
                </c:pt>
                <c:pt idx="219">
                  <c:v>22461.231674784805</c:v>
                </c:pt>
                <c:pt idx="220">
                  <c:v>22461.231674784805</c:v>
                </c:pt>
                <c:pt idx="221">
                  <c:v>22461.231674784805</c:v>
                </c:pt>
                <c:pt idx="222">
                  <c:v>22461.231674784805</c:v>
                </c:pt>
                <c:pt idx="223">
                  <c:v>22461.231674784805</c:v>
                </c:pt>
                <c:pt idx="224">
                  <c:v>22461.231674784805</c:v>
                </c:pt>
                <c:pt idx="225">
                  <c:v>22461.231674784805</c:v>
                </c:pt>
                <c:pt idx="226">
                  <c:v>22461.231674784805</c:v>
                </c:pt>
                <c:pt idx="227">
                  <c:v>22461.231674784805</c:v>
                </c:pt>
                <c:pt idx="228">
                  <c:v>22461.231674784805</c:v>
                </c:pt>
                <c:pt idx="229">
                  <c:v>22461.231674784805</c:v>
                </c:pt>
                <c:pt idx="230">
                  <c:v>22461.231674784805</c:v>
                </c:pt>
                <c:pt idx="231">
                  <c:v>22461.231674784805</c:v>
                </c:pt>
                <c:pt idx="232">
                  <c:v>22461.231674784805</c:v>
                </c:pt>
                <c:pt idx="233">
                  <c:v>22461.231674784805</c:v>
                </c:pt>
                <c:pt idx="234">
                  <c:v>22461.231674784805</c:v>
                </c:pt>
                <c:pt idx="235">
                  <c:v>22461.231674784805</c:v>
                </c:pt>
                <c:pt idx="236">
                  <c:v>22461.231674784805</c:v>
                </c:pt>
                <c:pt idx="237">
                  <c:v>22461.231674784805</c:v>
                </c:pt>
                <c:pt idx="238">
                  <c:v>22461.231674784805</c:v>
                </c:pt>
                <c:pt idx="239">
                  <c:v>22461.231674784805</c:v>
                </c:pt>
                <c:pt idx="240">
                  <c:v>22461.231674784805</c:v>
                </c:pt>
                <c:pt idx="241">
                  <c:v>22461.231674784805</c:v>
                </c:pt>
                <c:pt idx="242">
                  <c:v>22461.231674784805</c:v>
                </c:pt>
                <c:pt idx="243">
                  <c:v>22461.231674784805</c:v>
                </c:pt>
                <c:pt idx="244">
                  <c:v>22461.231674784805</c:v>
                </c:pt>
                <c:pt idx="245">
                  <c:v>22461.231674784805</c:v>
                </c:pt>
                <c:pt idx="246">
                  <c:v>22461.231674784805</c:v>
                </c:pt>
                <c:pt idx="247">
                  <c:v>22461.231674784805</c:v>
                </c:pt>
                <c:pt idx="248">
                  <c:v>22461.231674784805</c:v>
                </c:pt>
                <c:pt idx="249">
                  <c:v>22461.231674784805</c:v>
                </c:pt>
                <c:pt idx="250">
                  <c:v>22461.231674784805</c:v>
                </c:pt>
                <c:pt idx="251">
                  <c:v>22461.231674784805</c:v>
                </c:pt>
                <c:pt idx="252">
                  <c:v>22461.231674784805</c:v>
                </c:pt>
                <c:pt idx="253">
                  <c:v>22461.231674784805</c:v>
                </c:pt>
                <c:pt idx="254">
                  <c:v>22461.231674784805</c:v>
                </c:pt>
                <c:pt idx="255">
                  <c:v>22461.231674784805</c:v>
                </c:pt>
                <c:pt idx="256">
                  <c:v>22461.231674784805</c:v>
                </c:pt>
                <c:pt idx="257">
                  <c:v>22461.231674784805</c:v>
                </c:pt>
                <c:pt idx="258">
                  <c:v>22461.231674784805</c:v>
                </c:pt>
                <c:pt idx="259">
                  <c:v>22461.231674784805</c:v>
                </c:pt>
                <c:pt idx="260">
                  <c:v>22461.231674784805</c:v>
                </c:pt>
                <c:pt idx="261">
                  <c:v>22461.231674784805</c:v>
                </c:pt>
                <c:pt idx="262">
                  <c:v>22461.231674784805</c:v>
                </c:pt>
                <c:pt idx="263">
                  <c:v>22461.231674784805</c:v>
                </c:pt>
                <c:pt idx="264">
                  <c:v>22461.231674784805</c:v>
                </c:pt>
                <c:pt idx="265">
                  <c:v>22461.231674784805</c:v>
                </c:pt>
                <c:pt idx="266">
                  <c:v>22461.231674784805</c:v>
                </c:pt>
                <c:pt idx="267">
                  <c:v>22461.231674784805</c:v>
                </c:pt>
                <c:pt idx="268">
                  <c:v>22461.231674784805</c:v>
                </c:pt>
                <c:pt idx="269">
                  <c:v>22461.231674784805</c:v>
                </c:pt>
                <c:pt idx="270">
                  <c:v>22461.231674784805</c:v>
                </c:pt>
                <c:pt idx="271">
                  <c:v>22461.231674784805</c:v>
                </c:pt>
                <c:pt idx="272">
                  <c:v>22461.231674784805</c:v>
                </c:pt>
                <c:pt idx="273">
                  <c:v>22461.231674784805</c:v>
                </c:pt>
                <c:pt idx="274">
                  <c:v>22461.231674784805</c:v>
                </c:pt>
                <c:pt idx="275">
                  <c:v>22461.231674784805</c:v>
                </c:pt>
                <c:pt idx="276">
                  <c:v>22461.231674784805</c:v>
                </c:pt>
                <c:pt idx="277">
                  <c:v>22461.231674784805</c:v>
                </c:pt>
                <c:pt idx="278">
                  <c:v>22461.231674784805</c:v>
                </c:pt>
                <c:pt idx="279">
                  <c:v>22461.231674784805</c:v>
                </c:pt>
                <c:pt idx="280">
                  <c:v>22461.231674784805</c:v>
                </c:pt>
                <c:pt idx="281">
                  <c:v>22461.231674784805</c:v>
                </c:pt>
                <c:pt idx="282">
                  <c:v>22461.231674784805</c:v>
                </c:pt>
                <c:pt idx="283">
                  <c:v>22461.231674784805</c:v>
                </c:pt>
                <c:pt idx="284">
                  <c:v>22461.231674784805</c:v>
                </c:pt>
                <c:pt idx="285">
                  <c:v>22461.231674784805</c:v>
                </c:pt>
                <c:pt idx="286">
                  <c:v>22461.231674784805</c:v>
                </c:pt>
                <c:pt idx="287">
                  <c:v>22461.231674784805</c:v>
                </c:pt>
                <c:pt idx="288">
                  <c:v>22461.231674784805</c:v>
                </c:pt>
                <c:pt idx="289">
                  <c:v>22461.231674784805</c:v>
                </c:pt>
                <c:pt idx="290">
                  <c:v>22461.231674784805</c:v>
                </c:pt>
                <c:pt idx="291">
                  <c:v>22461.231674784805</c:v>
                </c:pt>
                <c:pt idx="292">
                  <c:v>22461.231674784805</c:v>
                </c:pt>
                <c:pt idx="293">
                  <c:v>22461.231674784805</c:v>
                </c:pt>
                <c:pt idx="294">
                  <c:v>22461.231674784805</c:v>
                </c:pt>
                <c:pt idx="295">
                  <c:v>22461.231674784805</c:v>
                </c:pt>
                <c:pt idx="296">
                  <c:v>22461.231674784805</c:v>
                </c:pt>
                <c:pt idx="297">
                  <c:v>22461.231674784805</c:v>
                </c:pt>
                <c:pt idx="298">
                  <c:v>22461.231674784805</c:v>
                </c:pt>
                <c:pt idx="299">
                  <c:v>22461.231674784805</c:v>
                </c:pt>
                <c:pt idx="300">
                  <c:v>22461.231674784805</c:v>
                </c:pt>
                <c:pt idx="301">
                  <c:v>22461.231674784805</c:v>
                </c:pt>
                <c:pt idx="302">
                  <c:v>22461.231674784805</c:v>
                </c:pt>
                <c:pt idx="303">
                  <c:v>22461.231674784805</c:v>
                </c:pt>
                <c:pt idx="304">
                  <c:v>22461.231674784805</c:v>
                </c:pt>
                <c:pt idx="305">
                  <c:v>22461.231674784805</c:v>
                </c:pt>
                <c:pt idx="306">
                  <c:v>22461.231674784805</c:v>
                </c:pt>
                <c:pt idx="307">
                  <c:v>22461.231674784805</c:v>
                </c:pt>
                <c:pt idx="308">
                  <c:v>22461.231674784805</c:v>
                </c:pt>
                <c:pt idx="309">
                  <c:v>22461.231674784805</c:v>
                </c:pt>
                <c:pt idx="310">
                  <c:v>22461.231674784805</c:v>
                </c:pt>
                <c:pt idx="311">
                  <c:v>22461.231674784805</c:v>
                </c:pt>
                <c:pt idx="312">
                  <c:v>22461.231674784805</c:v>
                </c:pt>
                <c:pt idx="313">
                  <c:v>22461.231674784805</c:v>
                </c:pt>
                <c:pt idx="314">
                  <c:v>22461.231674784805</c:v>
                </c:pt>
                <c:pt idx="315">
                  <c:v>22461.231674784805</c:v>
                </c:pt>
                <c:pt idx="316">
                  <c:v>22461.231674784805</c:v>
                </c:pt>
                <c:pt idx="317">
                  <c:v>22461.231674784805</c:v>
                </c:pt>
                <c:pt idx="318">
                  <c:v>22461.231674784805</c:v>
                </c:pt>
                <c:pt idx="319">
                  <c:v>22461.231674784805</c:v>
                </c:pt>
                <c:pt idx="320">
                  <c:v>22461.231674784805</c:v>
                </c:pt>
                <c:pt idx="321">
                  <c:v>22461.231674784805</c:v>
                </c:pt>
                <c:pt idx="322">
                  <c:v>22461.231674784805</c:v>
                </c:pt>
                <c:pt idx="323">
                  <c:v>22461.231674784805</c:v>
                </c:pt>
                <c:pt idx="324">
                  <c:v>22461.231674784805</c:v>
                </c:pt>
                <c:pt idx="325">
                  <c:v>22461.231674784805</c:v>
                </c:pt>
                <c:pt idx="326">
                  <c:v>22461.231674784805</c:v>
                </c:pt>
                <c:pt idx="327">
                  <c:v>22461.231674784805</c:v>
                </c:pt>
                <c:pt idx="328">
                  <c:v>22461.231674784805</c:v>
                </c:pt>
                <c:pt idx="329">
                  <c:v>22461.231674784805</c:v>
                </c:pt>
                <c:pt idx="330">
                  <c:v>22461.231674784805</c:v>
                </c:pt>
                <c:pt idx="331">
                  <c:v>22461.231674784805</c:v>
                </c:pt>
                <c:pt idx="332">
                  <c:v>22461.231674784805</c:v>
                </c:pt>
                <c:pt idx="333">
                  <c:v>22461.231674784805</c:v>
                </c:pt>
                <c:pt idx="334">
                  <c:v>22461.231674784805</c:v>
                </c:pt>
                <c:pt idx="335">
                  <c:v>22461.231674784805</c:v>
                </c:pt>
                <c:pt idx="336">
                  <c:v>22461.231674784805</c:v>
                </c:pt>
                <c:pt idx="337">
                  <c:v>22461.231674784805</c:v>
                </c:pt>
                <c:pt idx="338">
                  <c:v>22461.231674784805</c:v>
                </c:pt>
                <c:pt idx="339">
                  <c:v>22461.231674784805</c:v>
                </c:pt>
                <c:pt idx="340">
                  <c:v>22461.231674784805</c:v>
                </c:pt>
                <c:pt idx="341">
                  <c:v>22461.231674784805</c:v>
                </c:pt>
                <c:pt idx="342">
                  <c:v>22461.231674784805</c:v>
                </c:pt>
                <c:pt idx="343">
                  <c:v>22461.231674784805</c:v>
                </c:pt>
                <c:pt idx="344">
                  <c:v>22461.231674784805</c:v>
                </c:pt>
                <c:pt idx="345">
                  <c:v>22461.231674784805</c:v>
                </c:pt>
                <c:pt idx="346">
                  <c:v>22461.231674784805</c:v>
                </c:pt>
                <c:pt idx="347">
                  <c:v>22461.231674784805</c:v>
                </c:pt>
                <c:pt idx="348">
                  <c:v>22461.231674784805</c:v>
                </c:pt>
                <c:pt idx="349">
                  <c:v>22461.231674784805</c:v>
                </c:pt>
                <c:pt idx="350">
                  <c:v>22461.231674784805</c:v>
                </c:pt>
                <c:pt idx="351">
                  <c:v>22461.231674784805</c:v>
                </c:pt>
                <c:pt idx="352">
                  <c:v>22461.231674784805</c:v>
                </c:pt>
                <c:pt idx="353">
                  <c:v>22461.231674784805</c:v>
                </c:pt>
                <c:pt idx="354">
                  <c:v>22461.231674784805</c:v>
                </c:pt>
                <c:pt idx="355">
                  <c:v>22461.231674784805</c:v>
                </c:pt>
                <c:pt idx="356">
                  <c:v>22461.231674784805</c:v>
                </c:pt>
                <c:pt idx="357">
                  <c:v>22461.231674784805</c:v>
                </c:pt>
                <c:pt idx="358">
                  <c:v>22461.231674784805</c:v>
                </c:pt>
                <c:pt idx="359">
                  <c:v>22461.231674784805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817-4412-BBAD-54F5FE6DF64A}"/>
            </c:ext>
          </c:extLst>
        </c:ser>
        <c:ser>
          <c:idx val="2"/>
          <c:order val="2"/>
          <c:tx>
            <c:strRef>
              <c:f>'Remaining debt'!$E$2</c:f>
              <c:strCache>
                <c:ptCount val="1"/>
                <c:pt idx="0">
                  <c:v> Interest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strRef>
              <c:f>'Remaining debt'!$B$4:$B$501</c:f>
              <c:strCache>
                <c:ptCount val="3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</c:strCache>
            </c:strRef>
          </c:xVal>
          <c:yVal>
            <c:numRef>
              <c:f>'Remaining debt'!$E$4:$E$501</c:f>
              <c:numCache>
                <c:formatCode>_(* #,##0.00_);_(* \(#,##0.00\);_(* "-"??_);_(@_)</c:formatCode>
                <c:ptCount val="498"/>
                <c:pt idx="0">
                  <c:v>18000</c:v>
                </c:pt>
                <c:pt idx="1">
                  <c:v>17979.924457463469</c:v>
                </c:pt>
                <c:pt idx="2">
                  <c:v>17959.758574985524</c:v>
                </c:pt>
                <c:pt idx="3">
                  <c:v>17939.501946036424</c:v>
                </c:pt>
                <c:pt idx="4">
                  <c:v>17919.154162257055</c:v>
                </c:pt>
                <c:pt idx="5">
                  <c:v>17898.714813450682</c:v>
                </c:pt>
                <c:pt idx="6">
                  <c:v>17878.183487574679</c:v>
                </c:pt>
                <c:pt idx="7">
                  <c:v>17857.559770732234</c:v>
                </c:pt>
                <c:pt idx="8">
                  <c:v>17836.843247163994</c:v>
                </c:pt>
                <c:pt idx="9">
                  <c:v>17816.0334992397</c:v>
                </c:pt>
                <c:pt idx="10">
                  <c:v>17795.13010744975</c:v>
                </c:pt>
                <c:pt idx="11">
                  <c:v>17774.132650396739</c:v>
                </c:pt>
                <c:pt idx="12">
                  <c:v>17753.040704786996</c:v>
                </c:pt>
                <c:pt idx="13">
                  <c:v>17731.853845422003</c:v>
                </c:pt>
                <c:pt idx="14">
                  <c:v>17710.571645189873</c:v>
                </c:pt>
                <c:pt idx="15">
                  <c:v>17689.193675056697</c:v>
                </c:pt>
                <c:pt idx="16">
                  <c:v>17667.719504057921</c:v>
                </c:pt>
                <c:pt idx="17">
                  <c:v>17646.14869928965</c:v>
                </c:pt>
                <c:pt idx="18">
                  <c:v>17624.480825899918</c:v>
                </c:pt>
                <c:pt idx="19">
                  <c:v>17602.71544707994</c:v>
                </c:pt>
                <c:pt idx="20">
                  <c:v>17580.852124055265</c:v>
                </c:pt>
                <c:pt idx="21">
                  <c:v>17558.890416076985</c:v>
                </c:pt>
                <c:pt idx="22">
                  <c:v>17536.829880412799</c:v>
                </c:pt>
                <c:pt idx="23">
                  <c:v>17514.670072338125</c:v>
                </c:pt>
                <c:pt idx="24">
                  <c:v>17492.410545127113</c:v>
                </c:pt>
                <c:pt idx="25">
                  <c:v>17470.050850043652</c:v>
                </c:pt>
                <c:pt idx="26">
                  <c:v>17447.590536332318</c:v>
                </c:pt>
                <c:pt idx="27">
                  <c:v>17425.029151209281</c:v>
                </c:pt>
                <c:pt idx="28">
                  <c:v>17402.366239853192</c:v>
                </c:pt>
                <c:pt idx="29">
                  <c:v>17379.601345396</c:v>
                </c:pt>
                <c:pt idx="30">
                  <c:v>17356.734008913751</c:v>
                </c:pt>
                <c:pt idx="31">
                  <c:v>17333.763769417328</c:v>
                </c:pt>
                <c:pt idx="32">
                  <c:v>17310.690163843177</c:v>
                </c:pt>
                <c:pt idx="33">
                  <c:v>17287.512727043941</c:v>
                </c:pt>
                <c:pt idx="34">
                  <c:v>17264.23099177911</c:v>
                </c:pt>
                <c:pt idx="35">
                  <c:v>17240.844488705581</c:v>
                </c:pt>
                <c:pt idx="36">
                  <c:v>17217.352746368222</c:v>
                </c:pt>
                <c:pt idx="37">
                  <c:v>17193.755291190351</c:v>
                </c:pt>
                <c:pt idx="38">
                  <c:v>17170.051647464174</c:v>
                </c:pt>
                <c:pt idx="39">
                  <c:v>17146.241337341235</c:v>
                </c:pt>
                <c:pt idx="40">
                  <c:v>17122.323880822736</c:v>
                </c:pt>
                <c:pt idx="41">
                  <c:v>17098.29879574991</c:v>
                </c:pt>
                <c:pt idx="42">
                  <c:v>17074.165597794254</c:v>
                </c:pt>
                <c:pt idx="43">
                  <c:v>17049.923800447792</c:v>
                </c:pt>
                <c:pt idx="44">
                  <c:v>17025.572915013279</c:v>
                </c:pt>
                <c:pt idx="45">
                  <c:v>17001.112450594308</c:v>
                </c:pt>
                <c:pt idx="46">
                  <c:v>16976.541914085446</c:v>
                </c:pt>
                <c:pt idx="47">
                  <c:v>16951.860810162299</c:v>
                </c:pt>
                <c:pt idx="48">
                  <c:v>16927.0686412715</c:v>
                </c:pt>
                <c:pt idx="49">
                  <c:v>16902.164907620692</c:v>
                </c:pt>
                <c:pt idx="50">
                  <c:v>16877.149107168454</c:v>
                </c:pt>
                <c:pt idx="51">
                  <c:v>16852.02073561418</c:v>
                </c:pt>
                <c:pt idx="52">
                  <c:v>16826.779286387911</c:v>
                </c:pt>
                <c:pt idx="53">
                  <c:v>16801.424250640124</c:v>
                </c:pt>
                <c:pt idx="54">
                  <c:v>16775.955117231471</c:v>
                </c:pt>
                <c:pt idx="55">
                  <c:v>16750.371372722482</c:v>
                </c:pt>
                <c:pt idx="56">
                  <c:v>16724.672501363202</c:v>
                </c:pt>
                <c:pt idx="57">
                  <c:v>16698.857985082806</c:v>
                </c:pt>
                <c:pt idx="58">
                  <c:v>16672.927303479148</c:v>
                </c:pt>
                <c:pt idx="59">
                  <c:v>16646.879933808272</c:v>
                </c:pt>
                <c:pt idx="60">
                  <c:v>16620.715350973878</c:v>
                </c:pt>
                <c:pt idx="61">
                  <c:v>16594.433027516727</c:v>
                </c:pt>
                <c:pt idx="62">
                  <c:v>16568.032433604021</c:v>
                </c:pt>
                <c:pt idx="63">
                  <c:v>16541.513037018707</c:v>
                </c:pt>
                <c:pt idx="64">
                  <c:v>16514.874303148757</c:v>
                </c:pt>
                <c:pt idx="65">
                  <c:v>16488.115694976397</c:v>
                </c:pt>
                <c:pt idx="66">
                  <c:v>16461.236673067258</c:v>
                </c:pt>
                <c:pt idx="67">
                  <c:v>16434.236695559532</c:v>
                </c:pt>
                <c:pt idx="68">
                  <c:v>16407.115218153016</c:v>
                </c:pt>
                <c:pt idx="69">
                  <c:v>16379.871694098176</c:v>
                </c:pt>
                <c:pt idx="70">
                  <c:v>16352.505574185087</c:v>
                </c:pt>
                <c:pt idx="71">
                  <c:v>16325.016306732387</c:v>
                </c:pt>
                <c:pt idx="72">
                  <c:v>16297.40333757615</c:v>
                </c:pt>
                <c:pt idx="73">
                  <c:v>16269.66611005871</c:v>
                </c:pt>
                <c:pt idx="74">
                  <c:v>16241.804065017443</c:v>
                </c:pt>
                <c:pt idx="75">
                  <c:v>16213.81664077349</c:v>
                </c:pt>
                <c:pt idx="76">
                  <c:v>16185.703273120438</c:v>
                </c:pt>
                <c:pt idx="77">
                  <c:v>16157.463395312947</c:v>
                </c:pt>
                <c:pt idx="78">
                  <c:v>16129.096438055325</c:v>
                </c:pt>
                <c:pt idx="79">
                  <c:v>16100.601829490042</c:v>
                </c:pt>
                <c:pt idx="80">
                  <c:v>16071.978995186217</c:v>
                </c:pt>
                <c:pt idx="81">
                  <c:v>16043.227358128024</c:v>
                </c:pt>
                <c:pt idx="82">
                  <c:v>16014.346338703066</c:v>
                </c:pt>
                <c:pt idx="83">
                  <c:v>15985.3353546907</c:v>
                </c:pt>
                <c:pt idx="84">
                  <c:v>15956.193821250277</c:v>
                </c:pt>
                <c:pt idx="85">
                  <c:v>15926.921150909371</c:v>
                </c:pt>
                <c:pt idx="86">
                  <c:v>15897.51675355193</c:v>
                </c:pt>
                <c:pt idx="87">
                  <c:v>15867.980036406385</c:v>
                </c:pt>
                <c:pt idx="88">
                  <c:v>15838.310404033682</c:v>
                </c:pt>
                <c:pt idx="89">
                  <c:v>15808.507258315301</c:v>
                </c:pt>
                <c:pt idx="90">
                  <c:v>15778.569998441189</c:v>
                </c:pt>
                <c:pt idx="91">
                  <c:v>15748.498020897643</c:v>
                </c:pt>
                <c:pt idx="92">
                  <c:v>15718.29071945515</c:v>
                </c:pt>
                <c:pt idx="93">
                  <c:v>15687.947485156166</c:v>
                </c:pt>
                <c:pt idx="94">
                  <c:v>15657.467706302838</c:v>
                </c:pt>
                <c:pt idx="95">
                  <c:v>15626.850768444669</c:v>
                </c:pt>
                <c:pt idx="96">
                  <c:v>15596.096054366137</c:v>
                </c:pt>
                <c:pt idx="97">
                  <c:v>15565.202944074255</c:v>
                </c:pt>
                <c:pt idx="98">
                  <c:v>15534.170814786057</c:v>
                </c:pt>
                <c:pt idx="99">
                  <c:v>15502.999040916062</c:v>
                </c:pt>
                <c:pt idx="100">
                  <c:v>15471.686994063653</c:v>
                </c:pt>
                <c:pt idx="101">
                  <c:v>15440.23404300041</c:v>
                </c:pt>
                <c:pt idx="102">
                  <c:v>15408.639553657378</c:v>
                </c:pt>
                <c:pt idx="103">
                  <c:v>15376.902889112303</c:v>
                </c:pt>
                <c:pt idx="104">
                  <c:v>15345.023409576779</c:v>
                </c:pt>
                <c:pt idx="105">
                  <c:v>15313.000472383343</c:v>
                </c:pt>
                <c:pt idx="106">
                  <c:v>15280.833431972535</c:v>
                </c:pt>
                <c:pt idx="107">
                  <c:v>15248.52163987988</c:v>
                </c:pt>
                <c:pt idx="108">
                  <c:v>15216.06444472281</c:v>
                </c:pt>
                <c:pt idx="109">
                  <c:v>15183.461192187528</c:v>
                </c:pt>
                <c:pt idx="110">
                  <c:v>15150.711225015841</c:v>
                </c:pt>
                <c:pt idx="111">
                  <c:v>15117.813882991881</c:v>
                </c:pt>
                <c:pt idx="112">
                  <c:v>15084.768502928811</c:v>
                </c:pt>
                <c:pt idx="113">
                  <c:v>15051.574418655458</c:v>
                </c:pt>
                <c:pt idx="114">
                  <c:v>15018.230961002877</c:v>
                </c:pt>
                <c:pt idx="115">
                  <c:v>14984.737457790861</c:v>
                </c:pt>
                <c:pt idx="116">
                  <c:v>14951.093233814388</c:v>
                </c:pt>
                <c:pt idx="117">
                  <c:v>14917.297610830021</c:v>
                </c:pt>
                <c:pt idx="118">
                  <c:v>14883.349907542224</c:v>
                </c:pt>
                <c:pt idx="119">
                  <c:v>14849.249439589634</c:v>
                </c:pt>
                <c:pt idx="120">
                  <c:v>14814.995519531252</c:v>
                </c:pt>
                <c:pt idx="121">
                  <c:v>14780.587456832613</c:v>
                </c:pt>
                <c:pt idx="122">
                  <c:v>14746.02455785183</c:v>
                </c:pt>
                <c:pt idx="123">
                  <c:v>14711.306125825629</c:v>
                </c:pt>
                <c:pt idx="124">
                  <c:v>14676.431460855316</c:v>
                </c:pt>
                <c:pt idx="125">
                  <c:v>14641.399859892634</c:v>
                </c:pt>
                <c:pt idx="126">
                  <c:v>14606.210616725619</c:v>
                </c:pt>
                <c:pt idx="127">
                  <c:v>14570.863021964351</c:v>
                </c:pt>
                <c:pt idx="128">
                  <c:v>14535.356363026658</c:v>
                </c:pt>
                <c:pt idx="129">
                  <c:v>14499.689924123746</c:v>
                </c:pt>
                <c:pt idx="130">
                  <c:v>14463.862986245773</c:v>
                </c:pt>
                <c:pt idx="131">
                  <c:v>14427.874827147345</c:v>
                </c:pt>
                <c:pt idx="132">
                  <c:v>14391.724721332977</c:v>
                </c:pt>
                <c:pt idx="133">
                  <c:v>14355.411940042444</c:v>
                </c:pt>
                <c:pt idx="134">
                  <c:v>14318.935751236104</c:v>
                </c:pt>
                <c:pt idx="135">
                  <c:v>14282.295419580134</c:v>
                </c:pt>
                <c:pt idx="136">
                  <c:v>14245.490206431714</c:v>
                </c:pt>
                <c:pt idx="137">
                  <c:v>14208.519369824126</c:v>
                </c:pt>
                <c:pt idx="138">
                  <c:v>14171.382164451803</c:v>
                </c:pt>
                <c:pt idx="139">
                  <c:v>14134.077841655302</c:v>
                </c:pt>
                <c:pt idx="140">
                  <c:v>14096.605649406221</c:v>
                </c:pt>
                <c:pt idx="141">
                  <c:v>14058.964832292017</c:v>
                </c:pt>
                <c:pt idx="142">
                  <c:v>14021.1546315008</c:v>
                </c:pt>
                <c:pt idx="143">
                  <c:v>13983.174284806018</c:v>
                </c:pt>
                <c:pt idx="144">
                  <c:v>13945.023026551115</c:v>
                </c:pt>
                <c:pt idx="145">
                  <c:v>13906.700087634063</c:v>
                </c:pt>
                <c:pt idx="146">
                  <c:v>13868.204695491884</c:v>
                </c:pt>
                <c:pt idx="147">
                  <c:v>13829.536074085068</c:v>
                </c:pt>
                <c:pt idx="148">
                  <c:v>13790.693443881921</c:v>
                </c:pt>
                <c:pt idx="149">
                  <c:v>13751.676021842855</c:v>
                </c:pt>
                <c:pt idx="150">
                  <c:v>13712.483021404616</c:v>
                </c:pt>
                <c:pt idx="151">
                  <c:v>13673.113652464404</c:v>
                </c:pt>
                <c:pt idx="152">
                  <c:v>13633.567121363965</c:v>
                </c:pt>
                <c:pt idx="153">
                  <c:v>13593.842630873572</c:v>
                </c:pt>
                <c:pt idx="154">
                  <c:v>13553.939380175971</c:v>
                </c:pt>
                <c:pt idx="155">
                  <c:v>13513.856564850232</c:v>
                </c:pt>
                <c:pt idx="156">
                  <c:v>13473.593376855524</c:v>
                </c:pt>
                <c:pt idx="157">
                  <c:v>13433.14900451484</c:v>
                </c:pt>
                <c:pt idx="158">
                  <c:v>13392.522632498627</c:v>
                </c:pt>
                <c:pt idx="159">
                  <c:v>13351.713441808339</c:v>
                </c:pt>
                <c:pt idx="160">
                  <c:v>13310.720609759946</c:v>
                </c:pt>
                <c:pt idx="161">
                  <c:v>13269.543309967334</c:v>
                </c:pt>
                <c:pt idx="162">
                  <c:v>13228.180712325657</c:v>
                </c:pt>
                <c:pt idx="163">
                  <c:v>13186.631982994588</c:v>
                </c:pt>
                <c:pt idx="164">
                  <c:v>13144.896284381533</c:v>
                </c:pt>
                <c:pt idx="165">
                  <c:v>13102.972775124719</c:v>
                </c:pt>
                <c:pt idx="166">
                  <c:v>13060.860610076246</c:v>
                </c:pt>
                <c:pt idx="167">
                  <c:v>13018.558940285058</c:v>
                </c:pt>
                <c:pt idx="168">
                  <c:v>12976.06691297981</c:v>
                </c:pt>
                <c:pt idx="169">
                  <c:v>12933.383671551686</c:v>
                </c:pt>
                <c:pt idx="170">
                  <c:v>12890.508355537137</c:v>
                </c:pt>
                <c:pt idx="171">
                  <c:v>12847.440100600521</c:v>
                </c:pt>
                <c:pt idx="172">
                  <c:v>12804.178038516691</c:v>
                </c:pt>
                <c:pt idx="173">
                  <c:v>12760.721297153485</c:v>
                </c:pt>
                <c:pt idx="174">
                  <c:v>12717.069000454141</c:v>
                </c:pt>
                <c:pt idx="175">
                  <c:v>12673.220268419655</c:v>
                </c:pt>
                <c:pt idx="176">
                  <c:v>12629.174217091009</c:v>
                </c:pt>
                <c:pt idx="177">
                  <c:v>12584.929958531387</c:v>
                </c:pt>
                <c:pt idx="178">
                  <c:v>12540.486600808246</c:v>
                </c:pt>
                <c:pt idx="179">
                  <c:v>12495.843247975354</c:v>
                </c:pt>
                <c:pt idx="180">
                  <c:v>12450.99900005471</c:v>
                </c:pt>
                <c:pt idx="181">
                  <c:v>12405.952953018425</c:v>
                </c:pt>
                <c:pt idx="182">
                  <c:v>12360.704198770474</c:v>
                </c:pt>
                <c:pt idx="183">
                  <c:v>12315.251825128413</c:v>
                </c:pt>
                <c:pt idx="184">
                  <c:v>12269.594915804957</c:v>
                </c:pt>
                <c:pt idx="185">
                  <c:v>12223.732550389548</c:v>
                </c:pt>
                <c:pt idx="186">
                  <c:v>12177.66380432977</c:v>
                </c:pt>
                <c:pt idx="187">
                  <c:v>12131.387748912724</c:v>
                </c:pt>
                <c:pt idx="188">
                  <c:v>12084.903451246299</c:v>
                </c:pt>
                <c:pt idx="189">
                  <c:v>12038.209974240375</c:v>
                </c:pt>
                <c:pt idx="190">
                  <c:v>11991.306376587927</c:v>
                </c:pt>
                <c:pt idx="191">
                  <c:v>11944.19171274604</c:v>
                </c:pt>
                <c:pt idx="192">
                  <c:v>11896.865032916867</c:v>
                </c:pt>
                <c:pt idx="193">
                  <c:v>11849.325383028459</c:v>
                </c:pt>
                <c:pt idx="194">
                  <c:v>11801.571804715559</c:v>
                </c:pt>
                <c:pt idx="195">
                  <c:v>11753.603335300244</c:v>
                </c:pt>
                <c:pt idx="196">
                  <c:v>11705.419007772565</c:v>
                </c:pt>
                <c:pt idx="197">
                  <c:v>11657.01785077101</c:v>
                </c:pt>
                <c:pt idx="198">
                  <c:v>11608.39888856295</c:v>
                </c:pt>
                <c:pt idx="199">
                  <c:v>11559.561141024949</c:v>
                </c:pt>
                <c:pt idx="200">
                  <c:v>11510.50362362303</c:v>
                </c:pt>
                <c:pt idx="201">
                  <c:v>11461.225347392801</c:v>
                </c:pt>
                <c:pt idx="202">
                  <c:v>11411.725318919538</c:v>
                </c:pt>
                <c:pt idx="203">
                  <c:v>11362.002540318143</c:v>
                </c:pt>
                <c:pt idx="204">
                  <c:v>11312.056009213042</c:v>
                </c:pt>
                <c:pt idx="205">
                  <c:v>11261.884718717971</c:v>
                </c:pt>
                <c:pt idx="206">
                  <c:v>11211.487657415668</c:v>
                </c:pt>
                <c:pt idx="207">
                  <c:v>11160.86380933751</c:v>
                </c:pt>
                <c:pt idx="208">
                  <c:v>11110.012153942995</c:v>
                </c:pt>
                <c:pt idx="209">
                  <c:v>11058.931666099206</c:v>
                </c:pt>
                <c:pt idx="210">
                  <c:v>11007.62131606012</c:v>
                </c:pt>
                <c:pt idx="211">
                  <c:v>10956.080069445859</c:v>
                </c:pt>
                <c:pt idx="212">
                  <c:v>10904.306887221835</c:v>
                </c:pt>
                <c:pt idx="213">
                  <c:v>10852.300725677802</c:v>
                </c:pt>
                <c:pt idx="214">
                  <c:v>10800.060536406821</c:v>
                </c:pt>
                <c:pt idx="215">
                  <c:v>10747.585266284121</c:v>
                </c:pt>
                <c:pt idx="216">
                  <c:v>10694.873857445868</c:v>
                </c:pt>
                <c:pt idx="217">
                  <c:v>10641.925247267844</c:v>
                </c:pt>
                <c:pt idx="218">
                  <c:v>10588.738368344018</c:v>
                </c:pt>
                <c:pt idx="219">
                  <c:v>10535.312148465035</c:v>
                </c:pt>
                <c:pt idx="220">
                  <c:v>10481.645510596594</c:v>
                </c:pt>
                <c:pt idx="221">
                  <c:v>10427.737372857748</c:v>
                </c:pt>
                <c:pt idx="222">
                  <c:v>10373.586648499075</c:v>
                </c:pt>
                <c:pt idx="223">
                  <c:v>10319.192245880789</c:v>
                </c:pt>
                <c:pt idx="224">
                  <c:v>10264.553068450721</c:v>
                </c:pt>
                <c:pt idx="225">
                  <c:v>10209.668014722218</c:v>
                </c:pt>
                <c:pt idx="226">
                  <c:v>10154.535978251935</c:v>
                </c:pt>
                <c:pt idx="227">
                  <c:v>10099.15584761754</c:v>
                </c:pt>
                <c:pt idx="228">
                  <c:v>10043.526506395287</c:v>
                </c:pt>
                <c:pt idx="229">
                  <c:v>9987.6468331375327</c:v>
                </c:pt>
                <c:pt idx="230">
                  <c:v>9931.5157013501212</c:v>
                </c:pt>
                <c:pt idx="231">
                  <c:v>9875.1319794696647</c:v>
                </c:pt>
                <c:pt idx="232">
                  <c:v>9818.4945308407459</c:v>
                </c:pt>
                <c:pt idx="233">
                  <c:v>9761.6022136929987</c:v>
                </c:pt>
                <c:pt idx="234">
                  <c:v>9704.4538811180846</c:v>
                </c:pt>
                <c:pt idx="235">
                  <c:v>9647.0483810465848</c:v>
                </c:pt>
                <c:pt idx="236">
                  <c:v>9589.3845562247607</c:v>
                </c:pt>
                <c:pt idx="237">
                  <c:v>9531.4612441912413</c:v>
                </c:pt>
                <c:pt idx="238">
                  <c:v>9473.2772772535682</c:v>
                </c:pt>
                <c:pt idx="239">
                  <c:v>9414.8314824646786</c:v>
                </c:pt>
                <c:pt idx="240">
                  <c:v>9356.1226815992377</c:v>
                </c:pt>
                <c:pt idx="241">
                  <c:v>9297.1496911299018</c:v>
                </c:pt>
                <c:pt idx="242">
                  <c:v>9237.9113222034557</c:v>
                </c:pt>
                <c:pt idx="243">
                  <c:v>9178.4063806168397</c:v>
                </c:pt>
                <c:pt idx="244">
                  <c:v>9118.6336667930827</c:v>
                </c:pt>
                <c:pt idx="245">
                  <c:v>9058.591975757121</c:v>
                </c:pt>
                <c:pt idx="246">
                  <c:v>8998.2800971114975</c:v>
                </c:pt>
                <c:pt idx="247">
                  <c:v>8937.6968150119665</c:v>
                </c:pt>
                <c:pt idx="248">
                  <c:v>8876.8409081429909</c:v>
                </c:pt>
                <c:pt idx="249">
                  <c:v>8815.7111496931011</c:v>
                </c:pt>
                <c:pt idx="250">
                  <c:v>8754.3063073301892</c:v>
                </c:pt>
                <c:pt idx="251">
                  <c:v>8692.6251431766432</c:v>
                </c:pt>
                <c:pt idx="252">
                  <c:v>8630.6664137844073</c:v>
                </c:pt>
                <c:pt idx="253">
                  <c:v>8568.4288701099049</c:v>
                </c:pt>
                <c:pt idx="254">
                  <c:v>8505.9112574888677</c:v>
                </c:pt>
                <c:pt idx="255">
                  <c:v>8443.1123156110352</c:v>
                </c:pt>
                <c:pt idx="256">
                  <c:v>8380.0307784947545</c:v>
                </c:pt>
                <c:pt idx="257">
                  <c:v>8316.6653744614487</c:v>
                </c:pt>
                <c:pt idx="258">
                  <c:v>8253.014826109993</c:v>
                </c:pt>
                <c:pt idx="259">
                  <c:v>8189.077850290957</c:v>
                </c:pt>
                <c:pt idx="260">
                  <c:v>8124.8531580807348</c:v>
                </c:pt>
                <c:pt idx="261">
                  <c:v>8060.3394547555663</c:v>
                </c:pt>
                <c:pt idx="262">
                  <c:v>7995.5354397654346</c:v>
                </c:pt>
                <c:pt idx="263">
                  <c:v>7930.4398067078473</c:v>
                </c:pt>
                <c:pt idx="264">
                  <c:v>7865.0512433015019</c:v>
                </c:pt>
                <c:pt idx="265">
                  <c:v>7799.3684313598269</c:v>
                </c:pt>
                <c:pt idx="266">
                  <c:v>7733.3900467644135</c:v>
                </c:pt>
                <c:pt idx="267">
                  <c:v>7667.1147594383219</c:v>
                </c:pt>
                <c:pt idx="268">
                  <c:v>7600.5412333192626</c:v>
                </c:pt>
                <c:pt idx="269">
                  <c:v>7533.6681263326682</c:v>
                </c:pt>
                <c:pt idx="270">
                  <c:v>7466.4940903646338</c:v>
                </c:pt>
                <c:pt idx="271">
                  <c:v>7399.0177712347422</c:v>
                </c:pt>
                <c:pt idx="272">
                  <c:v>7331.2378086687668</c:v>
                </c:pt>
                <c:pt idx="273">
                  <c:v>7263.1528362712452</c:v>
                </c:pt>
                <c:pt idx="274">
                  <c:v>7194.7614814979343</c:v>
                </c:pt>
                <c:pt idx="275">
                  <c:v>7126.0623656281432</c:v>
                </c:pt>
                <c:pt idx="276">
                  <c:v>7057.0541037369376</c:v>
                </c:pt>
                <c:pt idx="277">
                  <c:v>6987.7353046672224</c:v>
                </c:pt>
                <c:pt idx="278">
                  <c:v>6918.1045710016924</c:v>
                </c:pt>
                <c:pt idx="279">
                  <c:v>6848.1604990346686</c:v>
                </c:pt>
                <c:pt idx="280">
                  <c:v>6777.901678743794</c:v>
                </c:pt>
                <c:pt idx="281">
                  <c:v>6707.326693761609</c:v>
                </c:pt>
                <c:pt idx="282">
                  <c:v>6636.4341213470043</c:v>
                </c:pt>
                <c:pt idx="283">
                  <c:v>6565.2225323565353</c:v>
                </c:pt>
                <c:pt idx="284">
                  <c:v>6493.6904912156087</c:v>
                </c:pt>
                <c:pt idx="285">
                  <c:v>6421.8365558895466</c:v>
                </c:pt>
                <c:pt idx="286">
                  <c:v>6349.6592778545173</c:v>
                </c:pt>
                <c:pt idx="287">
                  <c:v>6277.1572020683316</c:v>
                </c:pt>
                <c:pt idx="288">
                  <c:v>6204.3288669411077</c:v>
                </c:pt>
                <c:pt idx="289">
                  <c:v>6131.1728043058101</c:v>
                </c:pt>
                <c:pt idx="290">
                  <c:v>6057.6875393886548</c:v>
                </c:pt>
                <c:pt idx="291">
                  <c:v>5983.871590779373</c:v>
                </c:pt>
                <c:pt idx="292">
                  <c:v>5909.723470401349</c:v>
                </c:pt>
                <c:pt idx="293">
                  <c:v>5835.2416834816222</c:v>
                </c:pt>
                <c:pt idx="294">
                  <c:v>5760.4247285207575</c:v>
                </c:pt>
                <c:pt idx="295">
                  <c:v>5685.2710972625691</c:v>
                </c:pt>
                <c:pt idx="296">
                  <c:v>5609.7792746637197</c:v>
                </c:pt>
                <c:pt idx="297">
                  <c:v>5533.947738863174</c:v>
                </c:pt>
                <c:pt idx="298">
                  <c:v>5457.7749611515264</c:v>
                </c:pt>
                <c:pt idx="299">
                  <c:v>5381.2594059401763</c:v>
                </c:pt>
                <c:pt idx="300">
                  <c:v>5304.3995307303749</c:v>
                </c:pt>
                <c:pt idx="301">
                  <c:v>5227.1937860821299</c:v>
                </c:pt>
                <c:pt idx="302">
                  <c:v>5149.6406155829682</c:v>
                </c:pt>
                <c:pt idx="303">
                  <c:v>5071.7384558165595</c:v>
                </c:pt>
                <c:pt idx="304">
                  <c:v>4993.485736331203</c:v>
                </c:pt>
                <c:pt idx="305">
                  <c:v>4914.8808796081621</c:v>
                </c:pt>
                <c:pt idx="306">
                  <c:v>4835.9223010298674</c:v>
                </c:pt>
                <c:pt idx="307">
                  <c:v>4756.6084088479702</c:v>
                </c:pt>
                <c:pt idx="308">
                  <c:v>4676.9376041512542</c:v>
                </c:pt>
                <c:pt idx="309">
                  <c:v>4596.9082808334024</c:v>
                </c:pt>
                <c:pt idx="310">
                  <c:v>4516.5188255606217</c:v>
                </c:pt>
                <c:pt idx="311">
                  <c:v>4435.7676177391122</c:v>
                </c:pt>
                <c:pt idx="312">
                  <c:v>4354.653029482407</c:v>
                </c:pt>
                <c:pt idx="313">
                  <c:v>4273.1734255785459</c:v>
                </c:pt>
                <c:pt idx="314">
                  <c:v>4191.3271634571174</c:v>
                </c:pt>
                <c:pt idx="315">
                  <c:v>4109.1125931561428</c:v>
                </c:pt>
                <c:pt idx="316">
                  <c:v>4026.5280572888137</c:v>
                </c:pt>
                <c:pt idx="317">
                  <c:v>3943.5718910100823</c:v>
                </c:pt>
                <c:pt idx="318">
                  <c:v>3860.2424219830959</c:v>
                </c:pt>
                <c:pt idx="319">
                  <c:v>3776.5379703454878</c:v>
                </c:pt>
                <c:pt idx="320">
                  <c:v>3692.4568486755111</c:v>
                </c:pt>
                <c:pt idx="321">
                  <c:v>3607.9973619580192</c:v>
                </c:pt>
                <c:pt idx="322">
                  <c:v>3523.1578075502989</c:v>
                </c:pt>
                <c:pt idx="323">
                  <c:v>3437.9364751477437</c:v>
                </c:pt>
                <c:pt idx="324">
                  <c:v>3352.3316467493769</c:v>
                </c:pt>
                <c:pt idx="325">
                  <c:v>3266.3415966232174</c:v>
                </c:pt>
                <c:pt idx="326">
                  <c:v>3179.96459127149</c:v>
                </c:pt>
                <c:pt idx="327">
                  <c:v>3093.1988893956805</c:v>
                </c:pt>
                <c:pt idx="328">
                  <c:v>3006.042741861429</c:v>
                </c:pt>
                <c:pt idx="329">
                  <c:v>2918.4943916632742</c:v>
                </c:pt>
                <c:pt idx="330">
                  <c:v>2830.5520738892269</c:v>
                </c:pt>
                <c:pt idx="331">
                  <c:v>2742.2140156851965</c:v>
                </c:pt>
                <c:pt idx="332">
                  <c:v>2653.4784362192481</c:v>
                </c:pt>
                <c:pt idx="333">
                  <c:v>2564.3435466457036</c:v>
                </c:pt>
                <c:pt idx="334">
                  <c:v>2474.8075500690775</c:v>
                </c:pt>
                <c:pt idx="335">
                  <c:v>2384.8686415078569</c:v>
                </c:pt>
                <c:pt idx="336">
                  <c:v>2294.5250078581107</c:v>
                </c:pt>
                <c:pt idx="337">
                  <c:v>2203.7748278569406</c:v>
                </c:pt>
                <c:pt idx="338">
                  <c:v>2112.6162720457651</c:v>
                </c:pt>
                <c:pt idx="339">
                  <c:v>2021.0475027334396</c:v>
                </c:pt>
                <c:pt idx="340">
                  <c:v>1929.0666739592082</c:v>
                </c:pt>
                <c:pt idx="341">
                  <c:v>1836.6719314554932</c:v>
                </c:pt>
                <c:pt idx="342">
                  <c:v>1743.8614126105113</c:v>
                </c:pt>
                <c:pt idx="343">
                  <c:v>1650.633246430727</c:v>
                </c:pt>
                <c:pt idx="344">
                  <c:v>1556.9855535031338</c:v>
                </c:pt>
                <c:pt idx="345">
                  <c:v>1462.9164459573665</c:v>
                </c:pt>
                <c:pt idx="346">
                  <c:v>1368.4240274276428</c:v>
                </c:pt>
                <c:pt idx="347">
                  <c:v>1273.5063930145357</c:v>
                </c:pt>
                <c:pt idx="348">
                  <c:v>1178.1616292465694</c:v>
                </c:pt>
                <c:pt idx="349">
                  <c:v>1082.3878140416473</c:v>
                </c:pt>
                <c:pt idx="350">
                  <c:v>986.18301666830303</c:v>
                </c:pt>
                <c:pt idx="351">
                  <c:v>889.54529770677891</c:v>
                </c:pt>
                <c:pt idx="352">
                  <c:v>792.47270900992771</c:v>
                </c:pt>
                <c:pt idx="353">
                  <c:v>694.96329366394082</c:v>
                </c:pt>
                <c:pt idx="354">
                  <c:v>597.01508594889685</c:v>
                </c:pt>
                <c:pt idx="355">
                  <c:v>498.62611129913535</c:v>
                </c:pt>
                <c:pt idx="356">
                  <c:v>399.79438626344978</c:v>
                </c:pt>
                <c:pt idx="357">
                  <c:v>300.51791846510372</c:v>
                </c:pt>
                <c:pt idx="358">
                  <c:v>200.79470656166504</c:v>
                </c:pt>
                <c:pt idx="359">
                  <c:v>100.6227402046609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954-4D29-B24E-70D9DDA06FD9}"/>
            </c:ext>
          </c:extLst>
        </c:ser>
        <c:dLbls>
          <c:dLblPos val="t"/>
          <c:showLegendKey val="0"/>
          <c:showVal val="0"/>
          <c:showCatName val="0"/>
          <c:showSerName val="0"/>
          <c:showPercent val="0"/>
          <c:showBubbleSize val="0"/>
        </c:dLbls>
        <c:axId val="850912576"/>
        <c:axId val="850914544"/>
      </c:scatterChart>
      <c:valAx>
        <c:axId val="850912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 sz="1400" b="1" baseline="0">
                    <a:solidFill>
                      <a:schemeClr val="tx1"/>
                    </a:solidFill>
                  </a:rPr>
                  <a:t>Period t</a:t>
                </a:r>
                <a:endParaRPr lang="cs-CZ" sz="1400" b="1">
                  <a:solidFill>
                    <a:schemeClr val="tx1"/>
                  </a:solidFill>
                </a:endParaRPr>
              </a:p>
            </c:rich>
          </c:tx>
          <c:layout>
            <c:manualLayout>
              <c:xMode val="edge"/>
              <c:yMode val="edge"/>
              <c:x val="0.47934377433590036"/>
              <c:y val="0.946007528875404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850914544"/>
        <c:crosses val="autoZero"/>
        <c:crossBetween val="midCat"/>
      </c:valAx>
      <c:valAx>
        <c:axId val="850914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 sz="1400" b="1" baseline="0">
                    <a:solidFill>
                      <a:schemeClr val="tx1"/>
                    </a:solidFill>
                  </a:rPr>
                  <a:t>Payment, principal and interest  [currency]</a:t>
                </a:r>
                <a:endParaRPr lang="cs-CZ" sz="1400" b="1">
                  <a:solidFill>
                    <a:schemeClr val="tx1"/>
                  </a:solidFill>
                </a:endParaRPr>
              </a:p>
            </c:rich>
          </c:tx>
          <c:layout>
            <c:manualLayout>
              <c:xMode val="edge"/>
              <c:yMode val="edge"/>
              <c:x val="1.1743673986174263E-2"/>
              <c:y val="0.3392365935875662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8509125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</c:legendEntry>
      <c:layout>
        <c:manualLayout>
          <c:xMode val="edge"/>
          <c:yMode val="edge"/>
          <c:x val="0.88314387638164937"/>
          <c:y val="0.37974756831866607"/>
          <c:w val="0.11521477949059183"/>
          <c:h val="0.1338043911790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B71FBBC-FDDB-4E84-8D94-D33D66123EDA}">
  <sheetPr/>
  <sheetViews>
    <sheetView zoomScale="120" workbookViewId="0"/>
  </sheetViews>
  <pageMargins left="0.7" right="0.7" top="0.78740157499999996" bottom="0.78740157499999996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E926CCD-2AFB-4EA5-B346-C3B4D822A510}">
  <sheetPr/>
  <sheetViews>
    <sheetView tabSelected="1" zoomScale="120" workbookViewId="0"/>
  </sheetViews>
  <pageMargins left="0.7" right="0.7" top="0.78740157499999996" bottom="0.78740157499999996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66574" cy="6232407"/>
    <xdr:graphicFrame macro="">
      <xdr:nvGraphicFramePr>
        <xdr:cNvPr id="2" name="Graf 1">
          <a:extLst>
            <a:ext uri="{FF2B5EF4-FFF2-40B4-BE49-F238E27FC236}">
              <a16:creationId xmlns:a16="http://schemas.microsoft.com/office/drawing/2014/main" id="{A68B23BD-E4A1-4586-A136-0310EF9446C4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67750" cy="6229350"/>
    <xdr:graphicFrame macro="">
      <xdr:nvGraphicFramePr>
        <xdr:cNvPr id="2" name="Graf 1">
          <a:extLst>
            <a:ext uri="{FF2B5EF4-FFF2-40B4-BE49-F238E27FC236}">
              <a16:creationId xmlns:a16="http://schemas.microsoft.com/office/drawing/2014/main" id="{9A442823-4320-4CFE-87B1-BD05153D8F37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X1173"/>
  <sheetViews>
    <sheetView showGridLines="0" zoomScaleNormal="100" workbookViewId="0">
      <selection activeCell="L15" sqref="L15"/>
    </sheetView>
  </sheetViews>
  <sheetFormatPr defaultRowHeight="15" x14ac:dyDescent="0.25"/>
  <cols>
    <col min="2" max="2" width="2.28515625" customWidth="1"/>
    <col min="3" max="3" width="26.7109375" customWidth="1"/>
    <col min="4" max="4" width="5.7109375" customWidth="1"/>
    <col min="5" max="5" width="15.28515625" customWidth="1"/>
    <col min="6" max="6" width="11.42578125" customWidth="1"/>
    <col min="7" max="7" width="19.42578125" customWidth="1"/>
    <col min="8" max="8" width="10" customWidth="1"/>
    <col min="9" max="9" width="2" customWidth="1"/>
    <col min="10" max="10" width="13.28515625" style="15" customWidth="1"/>
    <col min="11" max="11" width="8.85546875" style="15"/>
    <col min="12" max="13" width="9.140625" style="15" bestFit="1" customWidth="1"/>
    <col min="14" max="14" width="12.85546875" style="15" customWidth="1"/>
    <col min="15" max="15" width="20.5703125" style="15" customWidth="1"/>
    <col min="16" max="16" width="22.7109375" style="15" customWidth="1"/>
    <col min="17" max="17" width="20.140625" style="15" customWidth="1"/>
    <col min="18" max="18" width="9.140625" style="15" bestFit="1" customWidth="1"/>
    <col min="19" max="19" width="16.42578125" style="15" bestFit="1" customWidth="1"/>
    <col min="20" max="20" width="15.7109375" style="15" customWidth="1"/>
    <col min="21" max="21" width="17.28515625" style="15" customWidth="1"/>
    <col min="22" max="23" width="8.85546875" style="19"/>
    <col min="24" max="24" width="9.140625" style="19"/>
  </cols>
  <sheetData>
    <row r="1" spans="2:21" ht="14.65" customHeight="1" x14ac:dyDescent="0.25"/>
    <row r="2" spans="2:21" ht="14.65" customHeight="1" x14ac:dyDescent="0.25">
      <c r="B2" s="3"/>
      <c r="C2" s="3"/>
      <c r="D2" s="3"/>
      <c r="E2" s="3"/>
      <c r="F2" s="3"/>
      <c r="G2" s="3"/>
      <c r="H2" s="3"/>
      <c r="I2" s="3"/>
    </row>
    <row r="3" spans="2:21" ht="14.65" customHeight="1" x14ac:dyDescent="0.25">
      <c r="B3" s="3"/>
      <c r="C3" s="4" t="s">
        <v>14</v>
      </c>
      <c r="D3" s="5"/>
      <c r="E3" s="3"/>
      <c r="F3" s="3"/>
      <c r="G3" s="3"/>
      <c r="H3" s="3"/>
      <c r="I3" s="3"/>
      <c r="P3" s="15" t="s">
        <v>8</v>
      </c>
    </row>
    <row r="4" spans="2:21" ht="14.65" customHeight="1" x14ac:dyDescent="0.25">
      <c r="B4" s="3"/>
      <c r="C4" s="2" t="s">
        <v>11</v>
      </c>
      <c r="D4" s="6"/>
      <c r="E4" s="9">
        <v>4000000</v>
      </c>
      <c r="F4" s="3" t="s">
        <v>16</v>
      </c>
      <c r="G4" s="3"/>
      <c r="H4" s="3"/>
      <c r="I4" s="3"/>
      <c r="L4" s="15" t="s">
        <v>23</v>
      </c>
      <c r="M4" s="15">
        <v>52</v>
      </c>
      <c r="P4" s="15" t="s">
        <v>1</v>
      </c>
      <c r="Q4" s="15" t="s">
        <v>2</v>
      </c>
      <c r="R4" s="15" t="s">
        <v>3</v>
      </c>
      <c r="S4" s="15" t="s">
        <v>4</v>
      </c>
      <c r="T4" s="15" t="s">
        <v>5</v>
      </c>
      <c r="U4" s="15" t="s">
        <v>6</v>
      </c>
    </row>
    <row r="5" spans="2:21" ht="14.65" customHeight="1" x14ac:dyDescent="0.25">
      <c r="B5" s="3"/>
      <c r="C5" s="1" t="s">
        <v>12</v>
      </c>
      <c r="D5" s="6"/>
      <c r="E5" s="10">
        <v>360</v>
      </c>
      <c r="F5" s="3"/>
      <c r="G5" s="3"/>
      <c r="H5" s="3"/>
      <c r="I5" s="3"/>
      <c r="L5" s="15" t="s">
        <v>24</v>
      </c>
      <c r="M5" s="15">
        <v>12</v>
      </c>
      <c r="O5" s="15">
        <v>1</v>
      </c>
      <c r="P5" s="15">
        <v>1E-10</v>
      </c>
      <c r="Q5" s="15">
        <v>10</v>
      </c>
      <c r="R5" s="15">
        <f>(P5+Q5)/2</f>
        <v>5.00000000005</v>
      </c>
      <c r="S5" s="18">
        <f t="shared" ref="S5:S36" si="0">$E$4-$E$10-$E$11*(1+P5)^(-$E$5/$L$9)-$E$13*(1+P5)^(-$H$13/$L$9)-$E$14*(1+P5)^(-$H$14/$L$9) +$E$24*((1-(1+P5)^(-$E$5/$L$9)))/(1-(1+P5)^(1/$L$9))+$E$17*((1-(1+P5)^(-$J$20/$M$4)))/(1-(1+P5)^(1/$M$4))+$E$18*((1-(1+P5)^(-$J$21/$M$5)))/(1-(1+P5)^(1/$M$5))+$E$19*((1-(1+P5)^(-$J$22/$M$6)))/(1-(1+P5)^(1/$M$6))+$E$20*((1-(1+P5)^(-$J$23/$M$7)))/(1-(1+P5)^(1/$M$7))+$E$21*((1-(1+P5)^(-$J$24/$M$8)))/(1-(1+P5)^(1/$M$8))</f>
        <v>-4096543.402922513</v>
      </c>
      <c r="T5" s="18">
        <f t="shared" ref="T5:T36" si="1">$E$4-$E$10-$E$11*(1+Q5)^(-$E$5/$L$9)-$E$13*(1+Q5)^(-$H$13/$L$9)-$E$14*(1+Q5)^(-$H$14/$L$9) +$E$24*((1-(1+Q5)^(-$E$5/$L$9)))/(1-(1+Q5)^(1/$L$9))+$E$17*((1-(1+Q5)^(-$J$20/$M$4)))/(1-(1+Q5)^(1/$M$4))+$E$18*((1-(1+Q5)^(-$J$21/$M$5)))/(1-(1+Q5)^(1/$M$5))+$E$19*((1-(1+Q5)^(-$J$22/$M$6)))/(1-(1+Q5)^(1/$M$6))+$E$20*((1-(1+Q5)^(-$J$23/$M$7)))/(1-(1+Q5)^(1/$M$7))+$E$21*((1-(1+Q5)^(-$J$24/$M$8)))/(1-(1+Q5)^(1/$M$8))</f>
        <v>3894207.2828773954</v>
      </c>
      <c r="U5" s="18">
        <f t="shared" ref="U5:U36" si="2">$E$4-$E$10-$E$11*(1+R5)^(-$E$5/$L$9)-$E$13*(1+R5)^(-$H$13/$L$9)-$E$14*(1+R5)^(-$H$14/$L$9) +$E$24*((1-(1+R5)^(-$E$5/$L$9)))/(1-(1+R5)^(1/$L$9))+$E$17*((1-(1+R5)^(-$J$20/$M$4)))/(1-(1+R5)^(1/$M$4))+$E$18*((1-(1+R5)^(-$J$21/$M$5)))/(1-(1+R5)^(1/$M$5))+$E$19*((1-(1+R5)^(-$J$22/$M$6)))/(1-(1+R5)^(1/$M$6))+$E$20*((1-(1+R5)^(-$J$23/$M$7)))/(1-(1+R5)^(1/$M$7))+$E$21*((1-(1+R5)^(-$J$24/$M$8)))/(1-(1+R5)^(1/$M$8))</f>
        <v>3856205.8539974457</v>
      </c>
    </row>
    <row r="6" spans="2:21" ht="14.65" customHeight="1" x14ac:dyDescent="0.25">
      <c r="B6" s="3"/>
      <c r="C6" s="1" t="s">
        <v>13</v>
      </c>
      <c r="D6" s="6"/>
      <c r="E6" s="10">
        <v>5.3999999999999999E-2</v>
      </c>
      <c r="F6" s="3" t="s">
        <v>10</v>
      </c>
      <c r="G6" s="3"/>
      <c r="H6" s="3"/>
      <c r="I6" s="3"/>
      <c r="L6" s="15" t="s">
        <v>25</v>
      </c>
      <c r="M6" s="15">
        <v>4</v>
      </c>
      <c r="O6" s="15">
        <v>2</v>
      </c>
      <c r="P6" s="15">
        <f>IF(S5*U5&gt;=0,R5,P5)</f>
        <v>1E-10</v>
      </c>
      <c r="Q6" s="15">
        <f>IF(T5*U5&gt;=0,R5,Q5)</f>
        <v>5.00000000005</v>
      </c>
      <c r="R6" s="15">
        <f>(P6+Q6)/2</f>
        <v>2.500000000075</v>
      </c>
      <c r="S6" s="18">
        <f t="shared" si="0"/>
        <v>-4096543.402922513</v>
      </c>
      <c r="T6" s="18">
        <f t="shared" si="1"/>
        <v>3856205.8539974457</v>
      </c>
      <c r="U6" s="18">
        <f t="shared" si="2"/>
        <v>3791473.6705574365</v>
      </c>
    </row>
    <row r="7" spans="2:21" ht="14.65" customHeight="1" x14ac:dyDescent="0.25">
      <c r="B7" s="3"/>
      <c r="C7" s="1" t="s">
        <v>15</v>
      </c>
      <c r="D7" s="6"/>
      <c r="E7" s="10" t="s">
        <v>24</v>
      </c>
      <c r="F7" s="3"/>
      <c r="G7" s="3"/>
      <c r="H7" s="3"/>
      <c r="I7" s="3"/>
      <c r="L7" s="15" t="s">
        <v>26</v>
      </c>
      <c r="M7" s="15">
        <v>2</v>
      </c>
      <c r="O7" s="15">
        <v>3</v>
      </c>
      <c r="P7" s="15">
        <f t="shared" ref="P7:P54" si="3">IF(S6*U6&gt;=0,R6,P6)</f>
        <v>1E-10</v>
      </c>
      <c r="Q7" s="15">
        <f t="shared" ref="Q7:Q54" si="4">IF(T6*U6&gt;=0,R6,Q6)</f>
        <v>2.500000000075</v>
      </c>
      <c r="R7" s="15">
        <f t="shared" ref="R7:R54" si="5">(P7+Q7)/2</f>
        <v>1.2500000000875</v>
      </c>
      <c r="S7" s="18">
        <f t="shared" si="0"/>
        <v>-4096543.402922513</v>
      </c>
      <c r="T7" s="18">
        <f t="shared" si="1"/>
        <v>3791473.6705574365</v>
      </c>
      <c r="U7" s="18">
        <f t="shared" si="2"/>
        <v>3674185.2838576422</v>
      </c>
    </row>
    <row r="8" spans="2:21" ht="14.65" customHeight="1" x14ac:dyDescent="0.25">
      <c r="B8" s="3"/>
      <c r="C8" s="5"/>
      <c r="D8" s="7"/>
      <c r="E8" s="3"/>
      <c r="F8" s="3"/>
      <c r="G8" s="3"/>
      <c r="H8" s="3"/>
      <c r="I8" s="3"/>
      <c r="L8" s="15" t="s">
        <v>27</v>
      </c>
      <c r="M8" s="15">
        <v>1</v>
      </c>
      <c r="O8" s="15">
        <v>4</v>
      </c>
      <c r="P8" s="15">
        <f t="shared" si="3"/>
        <v>1E-10</v>
      </c>
      <c r="Q8" s="15">
        <f t="shared" si="4"/>
        <v>1.2500000000875</v>
      </c>
      <c r="R8" s="15">
        <f t="shared" si="5"/>
        <v>0.62500000009375001</v>
      </c>
      <c r="S8" s="18">
        <f t="shared" si="0"/>
        <v>-4096543.402922513</v>
      </c>
      <c r="T8" s="18">
        <f t="shared" si="1"/>
        <v>3674185.2838576422</v>
      </c>
      <c r="U8" s="18">
        <f t="shared" si="2"/>
        <v>3451249.3171429066</v>
      </c>
    </row>
    <row r="9" spans="2:21" ht="14.65" customHeight="1" x14ac:dyDescent="0.25">
      <c r="B9" s="3"/>
      <c r="C9" s="4" t="s">
        <v>17</v>
      </c>
      <c r="D9" s="3"/>
      <c r="E9" s="3"/>
      <c r="F9" s="3"/>
      <c r="G9" s="3"/>
      <c r="H9" s="3"/>
      <c r="I9" s="3"/>
      <c r="L9" s="15">
        <f>IF(E7=L4,M4,IF(E7=L5,M5,IF(E7=L6,M6,IF(E7=L7,M7,IF(E7=L8,M8)))))</f>
        <v>12</v>
      </c>
      <c r="O9" s="15">
        <v>5</v>
      </c>
      <c r="P9" s="15">
        <f t="shared" si="3"/>
        <v>1E-10</v>
      </c>
      <c r="Q9" s="15">
        <f t="shared" si="4"/>
        <v>0.62500000009375001</v>
      </c>
      <c r="R9" s="15">
        <f t="shared" si="5"/>
        <v>0.31250000009687501</v>
      </c>
      <c r="S9" s="18">
        <f t="shared" si="0"/>
        <v>-4096543.402922513</v>
      </c>
      <c r="T9" s="18">
        <f t="shared" si="1"/>
        <v>3451249.3171429066</v>
      </c>
      <c r="U9" s="18">
        <f t="shared" si="2"/>
        <v>3015194.1773318858</v>
      </c>
    </row>
    <row r="10" spans="2:21" ht="14.65" customHeight="1" x14ac:dyDescent="0.25">
      <c r="B10" s="3"/>
      <c r="C10" s="1" t="s">
        <v>19</v>
      </c>
      <c r="D10" s="7"/>
      <c r="E10" s="23">
        <v>4000</v>
      </c>
      <c r="F10" s="3" t="s">
        <v>16</v>
      </c>
      <c r="G10" s="3"/>
      <c r="H10" s="3"/>
      <c r="I10" s="3"/>
      <c r="K10" s="15" t="s">
        <v>0</v>
      </c>
      <c r="L10" s="15">
        <f>E6/L9</f>
        <v>4.4999999999999997E-3</v>
      </c>
      <c r="O10" s="15">
        <v>6</v>
      </c>
      <c r="P10" s="15">
        <f t="shared" si="3"/>
        <v>1E-10</v>
      </c>
      <c r="Q10" s="15">
        <f t="shared" si="4"/>
        <v>0.31250000009687501</v>
      </c>
      <c r="R10" s="15">
        <f t="shared" si="5"/>
        <v>0.15625000009843751</v>
      </c>
      <c r="S10" s="18">
        <f t="shared" si="0"/>
        <v>-4096543.402922513</v>
      </c>
      <c r="T10" s="18">
        <f t="shared" si="1"/>
        <v>3015194.1773318858</v>
      </c>
      <c r="U10" s="18">
        <f t="shared" si="2"/>
        <v>2172625.3949700431</v>
      </c>
    </row>
    <row r="11" spans="2:21" ht="14.65" customHeight="1" x14ac:dyDescent="0.25">
      <c r="B11" s="3"/>
      <c r="C11" s="1" t="s">
        <v>18</v>
      </c>
      <c r="D11" s="7"/>
      <c r="E11" s="1">
        <v>0</v>
      </c>
      <c r="F11" s="3" t="s">
        <v>16</v>
      </c>
      <c r="G11" s="3"/>
      <c r="H11" s="3"/>
      <c r="I11" s="3"/>
      <c r="O11" s="15">
        <v>7</v>
      </c>
      <c r="P11" s="15">
        <f>IF(S10*U10&gt;=0,R10,P10)</f>
        <v>1E-10</v>
      </c>
      <c r="Q11" s="15">
        <f>IF(T10*U10&gt;=0,R10,Q10)</f>
        <v>0.15625000009843751</v>
      </c>
      <c r="R11" s="15">
        <f t="shared" si="5"/>
        <v>7.8125000099218758E-2</v>
      </c>
      <c r="S11" s="18">
        <f t="shared" si="0"/>
        <v>-4096543.402922513</v>
      </c>
      <c r="T11" s="18">
        <f t="shared" si="1"/>
        <v>2172625.3949700431</v>
      </c>
      <c r="U11" s="18">
        <f t="shared" si="2"/>
        <v>795277.15576752613</v>
      </c>
    </row>
    <row r="12" spans="2:21" ht="28.5" customHeight="1" x14ac:dyDescent="0.25">
      <c r="B12" s="3"/>
      <c r="C12" s="4" t="s">
        <v>21</v>
      </c>
      <c r="D12" s="3"/>
      <c r="E12" s="3"/>
      <c r="F12" s="3"/>
      <c r="G12" s="3"/>
      <c r="H12" s="3"/>
      <c r="I12" s="3"/>
      <c r="O12" s="15">
        <v>8</v>
      </c>
      <c r="P12" s="15">
        <f t="shared" si="3"/>
        <v>1E-10</v>
      </c>
      <c r="Q12" s="15">
        <f t="shared" si="4"/>
        <v>7.8125000099218758E-2</v>
      </c>
      <c r="R12" s="15">
        <f t="shared" si="5"/>
        <v>3.9062500099609376E-2</v>
      </c>
      <c r="S12" s="18">
        <f t="shared" si="0"/>
        <v>-4096543.402922513</v>
      </c>
      <c r="T12" s="18">
        <f t="shared" si="1"/>
        <v>795277.15576752613</v>
      </c>
      <c r="U12" s="18">
        <f t="shared" si="2"/>
        <v>-806130.79722869582</v>
      </c>
    </row>
    <row r="13" spans="2:21" ht="14.65" customHeight="1" x14ac:dyDescent="0.25">
      <c r="B13" s="3"/>
      <c r="C13" s="1" t="s">
        <v>20</v>
      </c>
      <c r="D13" s="7"/>
      <c r="E13" s="23">
        <v>500</v>
      </c>
      <c r="F13" s="3" t="s">
        <v>16</v>
      </c>
      <c r="G13" s="11" t="s">
        <v>28</v>
      </c>
      <c r="H13" s="1">
        <v>4</v>
      </c>
      <c r="I13" s="3"/>
      <c r="O13" s="15">
        <v>9</v>
      </c>
      <c r="P13" s="15">
        <f t="shared" si="3"/>
        <v>3.9062500099609376E-2</v>
      </c>
      <c r="Q13" s="15">
        <f t="shared" si="4"/>
        <v>7.8125000099218758E-2</v>
      </c>
      <c r="R13" s="15">
        <f t="shared" si="5"/>
        <v>5.8593750099414067E-2</v>
      </c>
      <c r="S13" s="18">
        <f t="shared" si="0"/>
        <v>-806130.79722869582</v>
      </c>
      <c r="T13" s="18">
        <f t="shared" si="1"/>
        <v>795277.15576752613</v>
      </c>
      <c r="U13" s="18">
        <f t="shared" si="2"/>
        <v>125998.37751938807</v>
      </c>
    </row>
    <row r="14" spans="2:21" ht="14.65" customHeight="1" x14ac:dyDescent="0.25">
      <c r="B14" s="3"/>
      <c r="C14" s="1" t="s">
        <v>20</v>
      </c>
      <c r="D14" s="7"/>
      <c r="E14" s="1">
        <v>0</v>
      </c>
      <c r="F14" s="3" t="s">
        <v>16</v>
      </c>
      <c r="G14" s="11" t="s">
        <v>28</v>
      </c>
      <c r="H14" s="1">
        <v>0</v>
      </c>
      <c r="I14" s="3"/>
      <c r="O14" s="15">
        <v>10</v>
      </c>
      <c r="P14" s="15">
        <f>IF(S13*U13&gt;=0,R13,P13)</f>
        <v>3.9062500099609376E-2</v>
      </c>
      <c r="Q14" s="15">
        <f>IF(T13*U13&gt;=0,R13,Q13)</f>
        <v>5.8593750099414067E-2</v>
      </c>
      <c r="R14" s="15">
        <f t="shared" si="5"/>
        <v>4.8828125099511718E-2</v>
      </c>
      <c r="S14" s="18">
        <f t="shared" si="0"/>
        <v>-806130.79722869582</v>
      </c>
      <c r="T14" s="18">
        <f t="shared" si="1"/>
        <v>125998.37751938807</v>
      </c>
      <c r="U14" s="18">
        <f t="shared" si="2"/>
        <v>-300117.85427544912</v>
      </c>
    </row>
    <row r="15" spans="2:21" ht="14.65" customHeight="1" x14ac:dyDescent="0.25">
      <c r="B15" s="3"/>
      <c r="C15" s="3"/>
      <c r="D15" s="3"/>
      <c r="E15" s="3"/>
      <c r="F15" s="3"/>
      <c r="G15" s="3"/>
      <c r="H15" s="3"/>
      <c r="I15" s="3"/>
      <c r="O15" s="15">
        <v>11</v>
      </c>
      <c r="P15" s="15">
        <f t="shared" si="3"/>
        <v>4.8828125099511718E-2</v>
      </c>
      <c r="Q15" s="15">
        <f t="shared" si="4"/>
        <v>5.8593750099414067E-2</v>
      </c>
      <c r="R15" s="15">
        <f t="shared" si="5"/>
        <v>5.3710937599462896E-2</v>
      </c>
      <c r="S15" s="18">
        <f t="shared" si="0"/>
        <v>-300117.85427544912</v>
      </c>
      <c r="T15" s="18">
        <f t="shared" si="1"/>
        <v>125998.37751938807</v>
      </c>
      <c r="U15" s="18">
        <f t="shared" si="2"/>
        <v>-78089.717054340348</v>
      </c>
    </row>
    <row r="16" spans="2:21" ht="14.65" customHeight="1" x14ac:dyDescent="0.25">
      <c r="B16" s="3"/>
      <c r="C16" s="4" t="s">
        <v>22</v>
      </c>
      <c r="D16" s="3"/>
      <c r="E16" s="3"/>
      <c r="F16" s="3"/>
      <c r="G16" s="3"/>
      <c r="H16" s="3"/>
      <c r="I16" s="3"/>
      <c r="O16" s="15">
        <v>12</v>
      </c>
      <c r="P16" s="15">
        <f>IF(S15*U15&gt;=0,R15,P15)</f>
        <v>5.3710937599462896E-2</v>
      </c>
      <c r="Q16" s="15">
        <f>IF(T15*U15&gt;=0,R15,Q15)</f>
        <v>5.8593750099414067E-2</v>
      </c>
      <c r="R16" s="15">
        <f t="shared" si="5"/>
        <v>5.6152343849438485E-2</v>
      </c>
      <c r="S16" s="18">
        <f t="shared" si="0"/>
        <v>-78089.717054340348</v>
      </c>
      <c r="T16" s="18">
        <f t="shared" si="1"/>
        <v>125998.37751938807</v>
      </c>
      <c r="U16" s="18">
        <f t="shared" si="2"/>
        <v>26082.431833555249</v>
      </c>
    </row>
    <row r="17" spans="2:24" ht="14.65" customHeight="1" x14ac:dyDescent="0.25">
      <c r="B17" s="3"/>
      <c r="C17" s="1" t="str">
        <f>L4</f>
        <v>weekly</v>
      </c>
      <c r="D17" s="7"/>
      <c r="E17" s="23">
        <v>0</v>
      </c>
      <c r="F17" s="3" t="s">
        <v>16</v>
      </c>
      <c r="G17" s="3"/>
      <c r="H17" s="3"/>
      <c r="I17" s="3"/>
      <c r="O17" s="15">
        <v>13</v>
      </c>
      <c r="P17" s="15">
        <f>IF(S16*U16&gt;=0,R16,P16)</f>
        <v>5.3710937599462896E-2</v>
      </c>
      <c r="Q17" s="15">
        <f>IF(T16*U16&gt;=0,R16,Q16)</f>
        <v>5.6152343849438485E-2</v>
      </c>
      <c r="R17" s="15">
        <f t="shared" si="5"/>
        <v>5.4931640724450691E-2</v>
      </c>
      <c r="S17" s="18">
        <f t="shared" si="0"/>
        <v>-78089.717054340348</v>
      </c>
      <c r="T17" s="18">
        <f t="shared" si="1"/>
        <v>26082.431833555249</v>
      </c>
      <c r="U17" s="18">
        <f t="shared" si="2"/>
        <v>-25457.838380042806</v>
      </c>
    </row>
    <row r="18" spans="2:24" ht="14.65" customHeight="1" x14ac:dyDescent="0.25">
      <c r="B18" s="3"/>
      <c r="C18" s="1" t="str">
        <f>L5</f>
        <v>monthly</v>
      </c>
      <c r="D18" s="7"/>
      <c r="E18" s="23">
        <v>0</v>
      </c>
      <c r="F18" s="3" t="s">
        <v>16</v>
      </c>
      <c r="G18" s="3"/>
      <c r="H18" s="3"/>
      <c r="I18" s="3"/>
      <c r="O18" s="15">
        <v>14</v>
      </c>
      <c r="P18" s="15">
        <f>IF(S17*U17&gt;=0,R17,P17)</f>
        <v>5.4931640724450691E-2</v>
      </c>
      <c r="Q18" s="15">
        <f>IF(T17*U17&gt;=0,R17,Q17)</f>
        <v>5.6152343849438485E-2</v>
      </c>
      <c r="R18" s="15">
        <f t="shared" si="5"/>
        <v>5.5541992286944591E-2</v>
      </c>
      <c r="S18" s="18">
        <f t="shared" si="0"/>
        <v>-25457.838380042806</v>
      </c>
      <c r="T18" s="18">
        <f t="shared" si="1"/>
        <v>26082.431833555249</v>
      </c>
      <c r="U18" s="18">
        <f t="shared" si="2"/>
        <v>446.99396819314325</v>
      </c>
    </row>
    <row r="19" spans="2:24" ht="14.65" customHeight="1" x14ac:dyDescent="0.25">
      <c r="B19" s="3"/>
      <c r="C19" s="1" t="str">
        <f>L6</f>
        <v>quarterly</v>
      </c>
      <c r="D19" s="7"/>
      <c r="E19" s="23">
        <v>0</v>
      </c>
      <c r="F19" s="3" t="s">
        <v>16</v>
      </c>
      <c r="G19" s="3"/>
      <c r="H19" s="3"/>
      <c r="I19" s="3"/>
      <c r="J19" s="15" t="s">
        <v>9</v>
      </c>
      <c r="O19" s="15">
        <v>15</v>
      </c>
      <c r="P19" s="15">
        <f t="shared" si="3"/>
        <v>5.4931640724450691E-2</v>
      </c>
      <c r="Q19" s="15">
        <f t="shared" si="4"/>
        <v>5.5541992286944591E-2</v>
      </c>
      <c r="R19" s="15">
        <f t="shared" si="5"/>
        <v>5.5236816505697645E-2</v>
      </c>
      <c r="S19" s="18">
        <f t="shared" si="0"/>
        <v>-25457.838380042806</v>
      </c>
      <c r="T19" s="18">
        <f t="shared" si="1"/>
        <v>446.99396819314325</v>
      </c>
      <c r="U19" s="18">
        <f t="shared" si="2"/>
        <v>-12471.530669613465</v>
      </c>
    </row>
    <row r="20" spans="2:24" ht="14.65" customHeight="1" x14ac:dyDescent="0.25">
      <c r="B20" s="3"/>
      <c r="C20" s="1" t="str">
        <f>L7</f>
        <v>semiannual</v>
      </c>
      <c r="D20" s="7"/>
      <c r="E20" s="23">
        <v>0</v>
      </c>
      <c r="F20" s="3" t="s">
        <v>16</v>
      </c>
      <c r="G20" s="3"/>
      <c r="H20" s="3"/>
      <c r="I20" s="3"/>
      <c r="J20" s="15">
        <f>IF($E$7=$L$4,$E$5,IF($E$7=$L$5,52/12*$E$5,IF($E$7=$L$6,13*$E$5,IF($E$7=$L$7,26*$E$5,IF($E$7=$L$8,52*$E$5)))))</f>
        <v>1560</v>
      </c>
      <c r="O20" s="15">
        <v>16</v>
      </c>
      <c r="P20" s="15">
        <f>IF(S19*U19&gt;=0,R19,P19)</f>
        <v>5.5236816505697645E-2</v>
      </c>
      <c r="Q20" s="15">
        <f>IF(T19*U19&gt;=0,R19,Q19)</f>
        <v>5.5541992286944591E-2</v>
      </c>
      <c r="R20" s="15">
        <f t="shared" si="5"/>
        <v>5.5389404396321118E-2</v>
      </c>
      <c r="S20" s="18">
        <f t="shared" si="0"/>
        <v>-12471.530669613465</v>
      </c>
      <c r="T20" s="18">
        <f t="shared" si="1"/>
        <v>446.99396819314325</v>
      </c>
      <c r="U20" s="18">
        <f t="shared" si="2"/>
        <v>-6003.8227437936475</v>
      </c>
    </row>
    <row r="21" spans="2:24" ht="14.65" customHeight="1" x14ac:dyDescent="0.25">
      <c r="B21" s="3"/>
      <c r="C21" s="1" t="str">
        <f>L8</f>
        <v>annual</v>
      </c>
      <c r="D21" s="7"/>
      <c r="E21" s="23">
        <v>200</v>
      </c>
      <c r="F21" s="3" t="s">
        <v>16</v>
      </c>
      <c r="G21" s="3"/>
      <c r="H21" s="3"/>
      <c r="I21" s="3"/>
      <c r="J21" s="15">
        <f>IF($E$7=$L$4,$E$5*52/12,IF($E$7=$L$5,$E$5,IF($E$7=$L$6,3*$E$5,IF($E$7=$L$7,6*$E$5,IF($E$7=$L$8,12*$E$5)))))</f>
        <v>360</v>
      </c>
      <c r="O21" s="15">
        <v>17</v>
      </c>
      <c r="P21" s="15">
        <f t="shared" si="3"/>
        <v>5.5389404396321118E-2</v>
      </c>
      <c r="Q21" s="15">
        <f t="shared" si="4"/>
        <v>5.5541992286944591E-2</v>
      </c>
      <c r="R21" s="15">
        <f t="shared" si="5"/>
        <v>5.5465698341632855E-2</v>
      </c>
      <c r="S21" s="18">
        <f t="shared" si="0"/>
        <v>-6003.8227437936475</v>
      </c>
      <c r="T21" s="18">
        <f t="shared" si="1"/>
        <v>446.99396819314325</v>
      </c>
      <c r="U21" s="18">
        <f t="shared" si="2"/>
        <v>-2776.3063849629848</v>
      </c>
    </row>
    <row r="22" spans="2:24" ht="14.65" customHeight="1" x14ac:dyDescent="0.25">
      <c r="B22" s="3"/>
      <c r="C22" s="3"/>
      <c r="D22" s="3"/>
      <c r="E22" s="3"/>
      <c r="F22" s="3"/>
      <c r="G22" s="3"/>
      <c r="H22" s="3"/>
      <c r="I22" s="3"/>
      <c r="J22" s="15">
        <f>IF($E$7=$L$4,$E$5/13,IF($E$7=$L$5,$E$5/3,IF($E$7=$L$6,$E$5,IF($E$7=$L$7,2*$E$5,IF($E$7=$L$8,4*$E$5)))))</f>
        <v>120</v>
      </c>
      <c r="O22" s="15">
        <v>18</v>
      </c>
      <c r="P22" s="15">
        <f t="shared" si="3"/>
        <v>5.5465698341632855E-2</v>
      </c>
      <c r="Q22" s="15">
        <f t="shared" si="4"/>
        <v>5.5541992286944591E-2</v>
      </c>
      <c r="R22" s="15">
        <f t="shared" si="5"/>
        <v>5.5503845314288723E-2</v>
      </c>
      <c r="S22" s="18">
        <f t="shared" si="0"/>
        <v>-2776.3063849629848</v>
      </c>
      <c r="T22" s="18">
        <f t="shared" si="1"/>
        <v>446.99396819314325</v>
      </c>
      <c r="U22" s="18">
        <f t="shared" si="2"/>
        <v>-1164.1296318378991</v>
      </c>
    </row>
    <row r="23" spans="2:24" ht="14.65" customHeight="1" x14ac:dyDescent="0.25">
      <c r="B23" s="3"/>
      <c r="C23" s="3"/>
      <c r="D23" s="3"/>
      <c r="E23" s="3"/>
      <c r="F23" s="3"/>
      <c r="G23" s="3"/>
      <c r="H23" s="3"/>
      <c r="I23" s="3"/>
      <c r="J23" s="15">
        <f>IF($E$7=$L$4,$E$5/26,IF($E$7=$L$5,$E$5/6,IF($E$7=$L$6,$E$5/2,IF($E$7=$L$7,$E$5,IF($E$7=$L$8,2*$E$5)))))</f>
        <v>60</v>
      </c>
      <c r="O23" s="15">
        <v>19</v>
      </c>
      <c r="P23" s="15">
        <f t="shared" si="3"/>
        <v>5.5503845314288723E-2</v>
      </c>
      <c r="Q23" s="15">
        <f t="shared" si="4"/>
        <v>5.5541992286944591E-2</v>
      </c>
      <c r="R23" s="15">
        <f t="shared" si="5"/>
        <v>5.5522918800616661E-2</v>
      </c>
      <c r="S23" s="18">
        <f t="shared" si="0"/>
        <v>-1164.1296318378991</v>
      </c>
      <c r="T23" s="18">
        <f t="shared" si="1"/>
        <v>446.99396819314325</v>
      </c>
      <c r="U23" s="18">
        <f t="shared" si="2"/>
        <v>-358.43624065257518</v>
      </c>
    </row>
    <row r="24" spans="2:24" ht="14.65" customHeight="1" x14ac:dyDescent="0.25">
      <c r="B24" s="3"/>
      <c r="C24" s="1" t="s">
        <v>29</v>
      </c>
      <c r="D24" s="3"/>
      <c r="E24" s="13">
        <f>IF(E6=0,E4/E5,IF(E6&gt;0,E4*L10*((1+L10)^E5)/((1+L10)^E5-1),"úrok nesmí být záporný"))</f>
        <v>22461.231674784805</v>
      </c>
      <c r="F24" s="3" t="s">
        <v>16</v>
      </c>
      <c r="G24" s="3"/>
      <c r="H24" s="3"/>
      <c r="I24" s="3"/>
      <c r="J24" s="15">
        <f>IF($E$7=$L$4,$E$5/52,IF($E$7=$L$5,$E$5/12,IF($E$7=$L$6,$E$5/4,IF($E$7=$L$7,$E$5/2,IF($E$7=$L$8,1*$E$5)))))</f>
        <v>30</v>
      </c>
      <c r="O24" s="15">
        <v>20</v>
      </c>
      <c r="P24" s="15">
        <f t="shared" si="3"/>
        <v>5.5522918800616661E-2</v>
      </c>
      <c r="Q24" s="15">
        <f t="shared" si="4"/>
        <v>5.5541992286944591E-2</v>
      </c>
      <c r="R24" s="15">
        <f t="shared" si="5"/>
        <v>5.5532455543780626E-2</v>
      </c>
      <c r="S24" s="18">
        <f t="shared" si="0"/>
        <v>-358.43624065257518</v>
      </c>
      <c r="T24" s="18">
        <f t="shared" si="1"/>
        <v>446.99396819314325</v>
      </c>
      <c r="U24" s="18">
        <f t="shared" si="2"/>
        <v>44.311754848723922</v>
      </c>
    </row>
    <row r="25" spans="2:24" x14ac:dyDescent="0.25">
      <c r="B25" s="3"/>
      <c r="C25" s="12" t="s">
        <v>30</v>
      </c>
      <c r="D25" s="3"/>
      <c r="E25" s="14">
        <f>IF(C28=0,0,IF(R104 &gt;0,R104*100))</f>
        <v>5.5531406201388638</v>
      </c>
      <c r="F25" s="8" t="s">
        <v>7</v>
      </c>
      <c r="G25" s="3"/>
      <c r="H25" s="3"/>
      <c r="I25" s="3"/>
      <c r="O25" s="15">
        <v>21</v>
      </c>
      <c r="P25" s="15">
        <f t="shared" si="3"/>
        <v>5.5522918800616661E-2</v>
      </c>
      <c r="Q25" s="15">
        <f t="shared" si="4"/>
        <v>5.5532455543780626E-2</v>
      </c>
      <c r="R25" s="15">
        <f t="shared" si="5"/>
        <v>5.5527687172198643E-2</v>
      </c>
      <c r="S25" s="18">
        <f t="shared" si="0"/>
        <v>-358.43624065257518</v>
      </c>
      <c r="T25" s="18">
        <f t="shared" si="1"/>
        <v>44.311754848723922</v>
      </c>
      <c r="U25" s="18">
        <f t="shared" si="2"/>
        <v>-157.05401933347866</v>
      </c>
    </row>
    <row r="26" spans="2:24" x14ac:dyDescent="0.25">
      <c r="B26" s="3"/>
      <c r="C26" s="3"/>
      <c r="D26" s="3"/>
      <c r="E26" s="3"/>
      <c r="F26" s="3"/>
      <c r="G26" s="3"/>
      <c r="H26" s="3"/>
      <c r="I26" s="3"/>
      <c r="O26" s="15">
        <v>22</v>
      </c>
      <c r="P26" s="15">
        <f t="shared" si="3"/>
        <v>5.5527687172198643E-2</v>
      </c>
      <c r="Q26" s="15">
        <f t="shared" si="4"/>
        <v>5.5532455543780626E-2</v>
      </c>
      <c r="R26" s="15">
        <f t="shared" si="5"/>
        <v>5.5530071357989638E-2</v>
      </c>
      <c r="S26" s="18">
        <f t="shared" si="0"/>
        <v>-157.05401933347866</v>
      </c>
      <c r="T26" s="18">
        <f t="shared" si="1"/>
        <v>44.311754848723922</v>
      </c>
      <c r="U26" s="18">
        <f t="shared" si="2"/>
        <v>-56.369076355117159</v>
      </c>
    </row>
    <row r="27" spans="2:24" ht="3.6" customHeight="1" x14ac:dyDescent="0.25">
      <c r="B27" s="20"/>
      <c r="C27" s="15"/>
      <c r="D27" s="15"/>
      <c r="E27" s="15"/>
      <c r="F27" s="15"/>
      <c r="G27" s="19"/>
      <c r="H27" s="19"/>
      <c r="I27" s="19"/>
      <c r="O27" s="15">
        <v>23</v>
      </c>
      <c r="P27" s="15">
        <f t="shared" si="3"/>
        <v>5.5530071357989638E-2</v>
      </c>
      <c r="Q27" s="15">
        <f t="shared" si="4"/>
        <v>5.5532455543780626E-2</v>
      </c>
      <c r="R27" s="15">
        <f t="shared" si="5"/>
        <v>5.5531263450885132E-2</v>
      </c>
      <c r="S27" s="18">
        <f t="shared" si="0"/>
        <v>-56.369076355117159</v>
      </c>
      <c r="T27" s="18">
        <f t="shared" si="1"/>
        <v>44.311754848723922</v>
      </c>
      <c r="U27" s="18">
        <f t="shared" si="2"/>
        <v>-6.0281466950696085</v>
      </c>
    </row>
    <row r="28" spans="2:24" x14ac:dyDescent="0.25">
      <c r="B28" s="20"/>
      <c r="C28" s="15">
        <f>E6+E10+E11+E13+E14+E17+E18+E19+E20+E21</f>
        <v>4700.0540000000001</v>
      </c>
      <c r="D28" s="15"/>
      <c r="E28" s="15">
        <f>IF(C17=E7,E17,IF(C18=E7,E18,IF(C19=E7,E19,IF(C20=E7,E20,IF(C21=E7,E21)))))</f>
        <v>0</v>
      </c>
      <c r="F28" s="15"/>
      <c r="G28" s="15"/>
      <c r="H28" s="19"/>
      <c r="I28" s="19"/>
      <c r="O28" s="15">
        <v>24</v>
      </c>
      <c r="P28" s="15">
        <f t="shared" si="3"/>
        <v>5.5531263450885132E-2</v>
      </c>
      <c r="Q28" s="15">
        <f t="shared" si="4"/>
        <v>5.5532455543780626E-2</v>
      </c>
      <c r="R28" s="15">
        <f t="shared" si="5"/>
        <v>5.5531859497332879E-2</v>
      </c>
      <c r="S28" s="18">
        <f t="shared" si="0"/>
        <v>-6.0281466950696085</v>
      </c>
      <c r="T28" s="18">
        <f t="shared" si="1"/>
        <v>44.311754848723922</v>
      </c>
      <c r="U28" s="18">
        <f t="shared" si="2"/>
        <v>19.14193263652578</v>
      </c>
    </row>
    <row r="29" spans="2:24" x14ac:dyDescent="0.25">
      <c r="C29" s="15"/>
      <c r="D29" s="15"/>
      <c r="E29" s="15"/>
      <c r="F29" s="15"/>
      <c r="G29" s="15"/>
      <c r="H29" s="19"/>
      <c r="I29" s="19"/>
      <c r="O29" s="15">
        <v>25</v>
      </c>
      <c r="P29" s="15">
        <f t="shared" si="3"/>
        <v>5.5531263450885132E-2</v>
      </c>
      <c r="Q29" s="15">
        <f t="shared" si="4"/>
        <v>5.5531859497332879E-2</v>
      </c>
      <c r="R29" s="15">
        <f t="shared" si="5"/>
        <v>5.5531561474109009E-2</v>
      </c>
      <c r="S29" s="18">
        <f t="shared" si="0"/>
        <v>-6.0281466950696085</v>
      </c>
      <c r="T29" s="18">
        <f t="shared" si="1"/>
        <v>19.14193263652578</v>
      </c>
      <c r="U29" s="18">
        <f t="shared" si="2"/>
        <v>6.5569249377172127</v>
      </c>
    </row>
    <row r="30" spans="2:24" s="20" customFormat="1" x14ac:dyDescent="0.25">
      <c r="B30"/>
      <c r="C30" s="19"/>
      <c r="D30" s="19"/>
      <c r="E30" s="19"/>
      <c r="F30" s="19"/>
      <c r="G30" s="19"/>
      <c r="H30" s="19"/>
      <c r="I30" s="19"/>
      <c r="J30" s="15"/>
      <c r="K30" s="15"/>
      <c r="L30" s="15"/>
      <c r="M30" s="15"/>
      <c r="N30" s="15"/>
      <c r="O30" s="15">
        <v>26</v>
      </c>
      <c r="P30" s="15">
        <f t="shared" si="3"/>
        <v>5.5531263450885132E-2</v>
      </c>
      <c r="Q30" s="15">
        <f t="shared" si="4"/>
        <v>5.5531561474109009E-2</v>
      </c>
      <c r="R30" s="15">
        <f t="shared" si="5"/>
        <v>5.5531412462497071E-2</v>
      </c>
      <c r="S30" s="18">
        <f t="shared" si="0"/>
        <v>-6.0281466950696085</v>
      </c>
      <c r="T30" s="18">
        <f t="shared" si="1"/>
        <v>6.5569249377172127</v>
      </c>
      <c r="U30" s="18">
        <f t="shared" si="2"/>
        <v>0.26439706673954788</v>
      </c>
      <c r="V30" s="19"/>
      <c r="W30" s="19"/>
      <c r="X30" s="19"/>
    </row>
    <row r="31" spans="2:24" s="20" customFormat="1" x14ac:dyDescent="0.25">
      <c r="B31"/>
      <c r="C31" s="19"/>
      <c r="D31" s="19"/>
      <c r="E31" s="19"/>
      <c r="F31" s="19"/>
      <c r="G31" s="19"/>
      <c r="H31" s="19"/>
      <c r="I31" s="19"/>
      <c r="J31" s="15"/>
      <c r="K31" s="15"/>
      <c r="L31" s="15"/>
      <c r="M31" s="15"/>
      <c r="N31" s="15"/>
      <c r="O31" s="15">
        <v>27</v>
      </c>
      <c r="P31" s="15">
        <f t="shared" si="3"/>
        <v>5.5531263450885132E-2</v>
      </c>
      <c r="Q31" s="15">
        <f t="shared" si="4"/>
        <v>5.5531412462497071E-2</v>
      </c>
      <c r="R31" s="15">
        <f t="shared" si="5"/>
        <v>5.5531337956691101E-2</v>
      </c>
      <c r="S31" s="18">
        <f t="shared" si="0"/>
        <v>-6.0281466950696085</v>
      </c>
      <c r="T31" s="18">
        <f t="shared" si="1"/>
        <v>0.26439706673954788</v>
      </c>
      <c r="U31" s="18">
        <f t="shared" si="2"/>
        <v>-2.881872878510876</v>
      </c>
      <c r="V31" s="19"/>
      <c r="W31" s="19"/>
      <c r="X31" s="19"/>
    </row>
    <row r="32" spans="2:24" x14ac:dyDescent="0.25">
      <c r="C32" s="19"/>
      <c r="D32" s="19"/>
      <c r="E32" s="19"/>
      <c r="F32" s="19"/>
      <c r="G32" s="19"/>
      <c r="H32" s="19"/>
      <c r="I32" s="19"/>
      <c r="O32" s="15">
        <v>28</v>
      </c>
      <c r="P32" s="15">
        <f t="shared" si="3"/>
        <v>5.5531337956691101E-2</v>
      </c>
      <c r="Q32" s="15">
        <f t="shared" si="4"/>
        <v>5.5531412462497071E-2</v>
      </c>
      <c r="R32" s="15">
        <f t="shared" si="5"/>
        <v>5.5531375209594086E-2</v>
      </c>
      <c r="S32" s="18">
        <f t="shared" si="0"/>
        <v>-2.881872878510876</v>
      </c>
      <c r="T32" s="18">
        <f t="shared" si="1"/>
        <v>0.26439706673954788</v>
      </c>
      <c r="U32" s="18">
        <f t="shared" si="2"/>
        <v>-1.3087372517161384</v>
      </c>
    </row>
    <row r="33" spans="3:21" x14ac:dyDescent="0.25">
      <c r="C33" s="19"/>
      <c r="D33" s="19"/>
      <c r="E33" s="19"/>
      <c r="F33" s="19"/>
      <c r="G33" s="19"/>
      <c r="H33" s="19"/>
      <c r="I33" s="19"/>
      <c r="O33" s="15">
        <v>29</v>
      </c>
      <c r="P33" s="15">
        <f t="shared" si="3"/>
        <v>5.5531375209594086E-2</v>
      </c>
      <c r="Q33" s="15">
        <f t="shared" si="4"/>
        <v>5.5531412462497071E-2</v>
      </c>
      <c r="R33" s="15">
        <f t="shared" si="5"/>
        <v>5.5531393836045578E-2</v>
      </c>
      <c r="S33" s="18">
        <f t="shared" si="0"/>
        <v>-1.3087372517161384</v>
      </c>
      <c r="T33" s="18">
        <f t="shared" si="1"/>
        <v>0.26439706673954788</v>
      </c>
      <c r="U33" s="18">
        <f t="shared" si="2"/>
        <v>-0.52216988075042536</v>
      </c>
    </row>
    <row r="34" spans="3:21" x14ac:dyDescent="0.25">
      <c r="O34" s="15">
        <v>30</v>
      </c>
      <c r="P34" s="15">
        <f t="shared" si="3"/>
        <v>5.5531393836045578E-2</v>
      </c>
      <c r="Q34" s="15">
        <f t="shared" si="4"/>
        <v>5.5531412462497071E-2</v>
      </c>
      <c r="R34" s="15">
        <f t="shared" si="5"/>
        <v>5.5531403149271324E-2</v>
      </c>
      <c r="S34" s="18">
        <f t="shared" si="0"/>
        <v>-0.52216988075042536</v>
      </c>
      <c r="T34" s="18">
        <f t="shared" si="1"/>
        <v>0.26439706673954788</v>
      </c>
      <c r="U34" s="18">
        <f t="shared" si="2"/>
        <v>-0.12888637811010994</v>
      </c>
    </row>
    <row r="35" spans="3:21" x14ac:dyDescent="0.25">
      <c r="O35" s="15">
        <v>31</v>
      </c>
      <c r="P35" s="15">
        <f t="shared" si="3"/>
        <v>5.5531403149271324E-2</v>
      </c>
      <c r="Q35" s="15">
        <f t="shared" si="4"/>
        <v>5.5531412462497071E-2</v>
      </c>
      <c r="R35" s="15">
        <f t="shared" si="5"/>
        <v>5.5531407805884198E-2</v>
      </c>
      <c r="S35" s="18">
        <f t="shared" si="0"/>
        <v>-0.12888637811010994</v>
      </c>
      <c r="T35" s="18">
        <f t="shared" si="1"/>
        <v>0.26439706673954788</v>
      </c>
      <c r="U35" s="18">
        <f t="shared" si="2"/>
        <v>6.7755447696981719E-2</v>
      </c>
    </row>
    <row r="36" spans="3:21" x14ac:dyDescent="0.25">
      <c r="O36" s="15">
        <v>32</v>
      </c>
      <c r="P36" s="15">
        <f t="shared" si="3"/>
        <v>5.5531403149271324E-2</v>
      </c>
      <c r="Q36" s="15">
        <f t="shared" si="4"/>
        <v>5.5531407805884198E-2</v>
      </c>
      <c r="R36" s="15">
        <f t="shared" si="5"/>
        <v>5.5531405477577761E-2</v>
      </c>
      <c r="S36" s="18">
        <f t="shared" si="0"/>
        <v>-0.12888637811010994</v>
      </c>
      <c r="T36" s="18">
        <f t="shared" si="1"/>
        <v>6.7755447696981719E-2</v>
      </c>
      <c r="U36" s="18">
        <f t="shared" si="2"/>
        <v>-3.0565462876893434E-2</v>
      </c>
    </row>
    <row r="37" spans="3:21" x14ac:dyDescent="0.25">
      <c r="O37" s="15">
        <v>33</v>
      </c>
      <c r="P37" s="15">
        <f t="shared" si="3"/>
        <v>5.5531405477577761E-2</v>
      </c>
      <c r="Q37" s="15">
        <f t="shared" si="4"/>
        <v>5.5531407805884198E-2</v>
      </c>
      <c r="R37" s="15">
        <f t="shared" si="5"/>
        <v>5.5531406641730979E-2</v>
      </c>
      <c r="S37" s="18">
        <f t="shared" ref="S37:S68" si="6">$E$4-$E$10-$E$11*(1+P37)^(-$E$5/$L$9)-$E$13*(1+P37)^(-$H$13/$L$9)-$E$14*(1+P37)^(-$H$14/$L$9) +$E$24*((1-(1+P37)^(-$E$5/$L$9)))/(1-(1+P37)^(1/$L$9))+$E$17*((1-(1+P37)^(-$J$20/$M$4)))/(1-(1+P37)^(1/$M$4))+$E$18*((1-(1+P37)^(-$J$21/$M$5)))/(1-(1+P37)^(1/$M$5))+$E$19*((1-(1+P37)^(-$J$22/$M$6)))/(1-(1+P37)^(1/$M$6))+$E$20*((1-(1+P37)^(-$J$23/$M$7)))/(1-(1+P37)^(1/$M$7))+$E$21*((1-(1+P37)^(-$J$24/$M$8)))/(1-(1+P37)^(1/$M$8))</f>
        <v>-3.0565462876893434E-2</v>
      </c>
      <c r="T37" s="18">
        <f t="shared" ref="T37:T68" si="7">$E$4-$E$10-$E$11*(1+Q37)^(-$E$5/$L$9)-$E$13*(1+Q37)^(-$H$13/$L$9)-$E$14*(1+Q37)^(-$H$14/$L$9) +$E$24*((1-(1+Q37)^(-$E$5/$L$9)))/(1-(1+Q37)^(1/$L$9))+$E$17*((1-(1+Q37)^(-$J$20/$M$4)))/(1-(1+Q37)^(1/$M$4))+$E$18*((1-(1+Q37)^(-$J$21/$M$5)))/(1-(1+Q37)^(1/$M$5))+$E$19*((1-(1+Q37)^(-$J$22/$M$6)))/(1-(1+Q37)^(1/$M$6))+$E$20*((1-(1+Q37)^(-$J$23/$M$7)))/(1-(1+Q37)^(1/$M$7))+$E$21*((1-(1+Q37)^(-$J$24/$M$8)))/(1-(1+Q37)^(1/$M$8))</f>
        <v>6.7755447696981719E-2</v>
      </c>
      <c r="U37" s="18">
        <f t="shared" ref="U37:U68" si="8">$E$4-$E$10-$E$11*(1+R37)^(-$E$5/$L$9)-$E$13*(1+R37)^(-$H$13/$L$9)-$E$14*(1+R37)^(-$H$14/$L$9) +$E$24*((1-(1+R37)^(-$E$5/$L$9)))/(1-(1+R37)^(1/$L$9))+$E$17*((1-(1+R37)^(-$J$20/$M$4)))/(1-(1+R37)^(1/$M$4))+$E$18*((1-(1+R37)^(-$J$21/$M$5)))/(1-(1+R37)^(1/$M$5))+$E$19*((1-(1+R37)^(-$J$22/$M$6)))/(1-(1+R37)^(1/$M$6))+$E$20*((1-(1+R37)^(-$J$23/$M$7)))/(1-(1+R37)^(1/$M$7))+$E$21*((1-(1+R37)^(-$J$24/$M$8)))/(1-(1+R37)^(1/$M$8))</f>
        <v>1.8594893689623859E-2</v>
      </c>
    </row>
    <row r="38" spans="3:21" x14ac:dyDescent="0.25">
      <c r="O38" s="15">
        <v>34</v>
      </c>
      <c r="P38" s="15">
        <f t="shared" si="3"/>
        <v>5.5531405477577761E-2</v>
      </c>
      <c r="Q38" s="15">
        <f t="shared" si="4"/>
        <v>5.5531406641730979E-2</v>
      </c>
      <c r="R38" s="15">
        <f t="shared" si="5"/>
        <v>5.553140605965437E-2</v>
      </c>
      <c r="S38" s="18">
        <f t="shared" si="6"/>
        <v>-3.0565462876893434E-2</v>
      </c>
      <c r="T38" s="18">
        <f t="shared" si="7"/>
        <v>1.8594893689623859E-2</v>
      </c>
      <c r="U38" s="18">
        <f t="shared" si="8"/>
        <v>-5.9851868049918266E-3</v>
      </c>
    </row>
    <row r="39" spans="3:21" x14ac:dyDescent="0.25">
      <c r="O39" s="15">
        <v>35</v>
      </c>
      <c r="P39" s="15">
        <f t="shared" si="3"/>
        <v>5.553140605965437E-2</v>
      </c>
      <c r="Q39" s="15">
        <f t="shared" si="4"/>
        <v>5.5531406641730979E-2</v>
      </c>
      <c r="R39" s="15">
        <f t="shared" si="5"/>
        <v>5.5531406350692675E-2</v>
      </c>
      <c r="S39" s="18">
        <f t="shared" si="6"/>
        <v>-5.9851868049918266E-3</v>
      </c>
      <c r="T39" s="18">
        <f t="shared" si="7"/>
        <v>1.8594893689623859E-2</v>
      </c>
      <c r="U39" s="18">
        <f t="shared" si="8"/>
        <v>6.3048541405805736E-3</v>
      </c>
    </row>
    <row r="40" spans="3:21" x14ac:dyDescent="0.25">
      <c r="O40" s="15">
        <v>36</v>
      </c>
      <c r="P40" s="15">
        <f t="shared" si="3"/>
        <v>5.553140605965437E-2</v>
      </c>
      <c r="Q40" s="15">
        <f t="shared" si="4"/>
        <v>5.5531406350692675E-2</v>
      </c>
      <c r="R40" s="15">
        <f t="shared" si="5"/>
        <v>5.5531406205173522E-2</v>
      </c>
      <c r="S40" s="18">
        <f t="shared" si="6"/>
        <v>-5.9851868049918266E-3</v>
      </c>
      <c r="T40" s="18">
        <f t="shared" si="7"/>
        <v>6.3048541405805736E-3</v>
      </c>
      <c r="U40" s="18">
        <f t="shared" si="8"/>
        <v>1.5973541303537786E-4</v>
      </c>
    </row>
    <row r="41" spans="3:21" x14ac:dyDescent="0.25">
      <c r="O41" s="15">
        <v>37</v>
      </c>
      <c r="P41" s="15">
        <f t="shared" si="3"/>
        <v>5.553140605965437E-2</v>
      </c>
      <c r="Q41" s="15">
        <f t="shared" si="4"/>
        <v>5.5531406205173522E-2</v>
      </c>
      <c r="R41" s="15">
        <f t="shared" si="5"/>
        <v>5.5531406132413946E-2</v>
      </c>
      <c r="S41" s="18">
        <f t="shared" si="6"/>
        <v>-5.9851868049918266E-3</v>
      </c>
      <c r="T41" s="18">
        <f t="shared" si="7"/>
        <v>1.5973541303537786E-4</v>
      </c>
      <c r="U41" s="18">
        <f t="shared" si="8"/>
        <v>-2.9128244168532547E-3</v>
      </c>
    </row>
    <row r="42" spans="3:21" x14ac:dyDescent="0.25">
      <c r="O42" s="15">
        <v>38</v>
      </c>
      <c r="P42" s="15">
        <f t="shared" si="3"/>
        <v>5.5531406132413946E-2</v>
      </c>
      <c r="Q42" s="15">
        <f t="shared" si="4"/>
        <v>5.5531406205173522E-2</v>
      </c>
      <c r="R42" s="15">
        <f t="shared" si="5"/>
        <v>5.5531406168793734E-2</v>
      </c>
      <c r="S42" s="18">
        <f t="shared" si="6"/>
        <v>-2.9128244168532547E-3</v>
      </c>
      <c r="T42" s="18">
        <f t="shared" si="7"/>
        <v>1.5973541303537786E-4</v>
      </c>
      <c r="U42" s="18">
        <f t="shared" si="8"/>
        <v>-1.3764448494839598E-3</v>
      </c>
    </row>
    <row r="43" spans="3:21" x14ac:dyDescent="0.25">
      <c r="O43" s="15">
        <v>39</v>
      </c>
      <c r="P43" s="15">
        <f t="shared" si="3"/>
        <v>5.5531406168793734E-2</v>
      </c>
      <c r="Q43" s="15">
        <f t="shared" si="4"/>
        <v>5.5531406205173522E-2</v>
      </c>
      <c r="R43" s="15">
        <f t="shared" si="5"/>
        <v>5.5531406186983628E-2</v>
      </c>
      <c r="S43" s="18">
        <f t="shared" si="6"/>
        <v>-1.3764448494839598E-3</v>
      </c>
      <c r="T43" s="18">
        <f t="shared" si="7"/>
        <v>1.5973541303537786E-4</v>
      </c>
      <c r="U43" s="18">
        <f t="shared" si="8"/>
        <v>-6.0825809396192199E-4</v>
      </c>
    </row>
    <row r="44" spans="3:21" x14ac:dyDescent="0.25">
      <c r="O44" s="15">
        <v>40</v>
      </c>
      <c r="P44" s="15">
        <f t="shared" si="3"/>
        <v>5.5531406186983628E-2</v>
      </c>
      <c r="Q44" s="15">
        <f t="shared" si="4"/>
        <v>5.5531406205173522E-2</v>
      </c>
      <c r="R44" s="15">
        <f t="shared" si="5"/>
        <v>5.5531406196078575E-2</v>
      </c>
      <c r="S44" s="18">
        <f t="shared" si="6"/>
        <v>-6.0825809396192199E-4</v>
      </c>
      <c r="T44" s="18">
        <f t="shared" si="7"/>
        <v>1.5973541303537786E-4</v>
      </c>
      <c r="U44" s="18">
        <f t="shared" si="8"/>
        <v>-2.2426110808737576E-4</v>
      </c>
    </row>
    <row r="45" spans="3:21" x14ac:dyDescent="0.25">
      <c r="O45" s="15">
        <v>41</v>
      </c>
      <c r="P45" s="15">
        <f t="shared" si="3"/>
        <v>5.5531406196078575E-2</v>
      </c>
      <c r="Q45" s="15">
        <f t="shared" si="4"/>
        <v>5.5531406205173522E-2</v>
      </c>
      <c r="R45" s="15">
        <f t="shared" si="5"/>
        <v>5.5531406200626049E-2</v>
      </c>
      <c r="S45" s="18">
        <f t="shared" si="6"/>
        <v>-2.2426110808737576E-4</v>
      </c>
      <c r="T45" s="18">
        <f t="shared" si="7"/>
        <v>1.5973541303537786E-4</v>
      </c>
      <c r="U45" s="18">
        <f t="shared" si="8"/>
        <v>-3.2261682008538628E-5</v>
      </c>
    </row>
    <row r="46" spans="3:21" x14ac:dyDescent="0.25">
      <c r="O46" s="15">
        <v>42</v>
      </c>
      <c r="P46" s="15">
        <f t="shared" si="3"/>
        <v>5.5531406200626049E-2</v>
      </c>
      <c r="Q46" s="15">
        <f t="shared" si="4"/>
        <v>5.5531406205173522E-2</v>
      </c>
      <c r="R46" s="15">
        <f t="shared" si="5"/>
        <v>5.5531406202899786E-2</v>
      </c>
      <c r="S46" s="18">
        <f t="shared" si="6"/>
        <v>-3.2261682008538628E-5</v>
      </c>
      <c r="T46" s="18">
        <f t="shared" si="7"/>
        <v>1.5973541303537786E-4</v>
      </c>
      <c r="U46" s="18">
        <f t="shared" si="8"/>
        <v>6.3735001731402008E-5</v>
      </c>
    </row>
    <row r="47" spans="3:21" x14ac:dyDescent="0.25">
      <c r="O47" s="15">
        <v>43</v>
      </c>
      <c r="P47" s="15">
        <f t="shared" si="3"/>
        <v>5.5531406200626049E-2</v>
      </c>
      <c r="Q47" s="15">
        <f t="shared" si="4"/>
        <v>5.5531406202899786E-2</v>
      </c>
      <c r="R47" s="15">
        <f t="shared" si="5"/>
        <v>5.5531406201762917E-2</v>
      </c>
      <c r="S47" s="18">
        <f t="shared" si="6"/>
        <v>-3.2261682008538628E-5</v>
      </c>
      <c r="T47" s="18">
        <f t="shared" si="7"/>
        <v>6.3735001731402008E-5</v>
      </c>
      <c r="U47" s="18">
        <f t="shared" si="8"/>
        <v>1.5737591638753656E-5</v>
      </c>
    </row>
    <row r="48" spans="3:21" x14ac:dyDescent="0.25">
      <c r="O48" s="15">
        <v>44</v>
      </c>
      <c r="P48" s="15">
        <f t="shared" si="3"/>
        <v>5.5531406200626049E-2</v>
      </c>
      <c r="Q48" s="15">
        <f t="shared" si="4"/>
        <v>5.5531406201762917E-2</v>
      </c>
      <c r="R48" s="15">
        <f t="shared" si="5"/>
        <v>5.5531406201194483E-2</v>
      </c>
      <c r="S48" s="18">
        <f t="shared" si="6"/>
        <v>-3.2261682008538628E-5</v>
      </c>
      <c r="T48" s="18">
        <f t="shared" si="7"/>
        <v>1.5737591638753656E-5</v>
      </c>
      <c r="U48" s="18">
        <f t="shared" si="8"/>
        <v>-8.2643750829447526E-6</v>
      </c>
    </row>
    <row r="49" spans="15:21" x14ac:dyDescent="0.25">
      <c r="O49" s="15">
        <v>45</v>
      </c>
      <c r="P49" s="15">
        <f t="shared" si="3"/>
        <v>5.5531406201194483E-2</v>
      </c>
      <c r="Q49" s="15">
        <f t="shared" si="4"/>
        <v>5.5531406201762917E-2</v>
      </c>
      <c r="R49" s="15">
        <f t="shared" si="5"/>
        <v>5.55314062014787E-2</v>
      </c>
      <c r="S49" s="18">
        <f t="shared" si="6"/>
        <v>-8.2643750829447526E-6</v>
      </c>
      <c r="T49" s="18">
        <f t="shared" si="7"/>
        <v>1.5737591638753656E-5</v>
      </c>
      <c r="U49" s="18">
        <f t="shared" si="8"/>
        <v>3.8341636354743969E-6</v>
      </c>
    </row>
    <row r="50" spans="15:21" x14ac:dyDescent="0.25">
      <c r="O50" s="15">
        <v>46</v>
      </c>
      <c r="P50" s="15">
        <f t="shared" si="3"/>
        <v>5.5531406201194483E-2</v>
      </c>
      <c r="Q50" s="15">
        <f t="shared" si="4"/>
        <v>5.55314062014787E-2</v>
      </c>
      <c r="R50" s="15">
        <f t="shared" si="5"/>
        <v>5.5531406201336592E-2</v>
      </c>
      <c r="S50" s="18">
        <f t="shared" si="6"/>
        <v>-8.2643750829447526E-6</v>
      </c>
      <c r="T50" s="18">
        <f t="shared" si="7"/>
        <v>3.8341636354743969E-6</v>
      </c>
      <c r="U50" s="18">
        <f t="shared" si="8"/>
        <v>-2.2141739464132115E-6</v>
      </c>
    </row>
    <row r="51" spans="15:21" x14ac:dyDescent="0.25">
      <c r="O51" s="15">
        <v>47</v>
      </c>
      <c r="P51" s="15">
        <f t="shared" si="3"/>
        <v>5.5531406201336592E-2</v>
      </c>
      <c r="Q51" s="15">
        <f t="shared" si="4"/>
        <v>5.55314062014787E-2</v>
      </c>
      <c r="R51" s="15">
        <f t="shared" si="5"/>
        <v>5.5531406201407646E-2</v>
      </c>
      <c r="S51" s="18">
        <f t="shared" si="6"/>
        <v>-2.2141739464132115E-6</v>
      </c>
      <c r="T51" s="18">
        <f t="shared" si="7"/>
        <v>3.8341636354743969E-6</v>
      </c>
      <c r="U51" s="18">
        <f t="shared" si="8"/>
        <v>7.1383738031727262E-7</v>
      </c>
    </row>
    <row r="52" spans="15:21" x14ac:dyDescent="0.25">
      <c r="O52" s="15">
        <v>48</v>
      </c>
      <c r="P52" s="15">
        <f t="shared" si="3"/>
        <v>5.5531406201336592E-2</v>
      </c>
      <c r="Q52" s="15">
        <f t="shared" si="4"/>
        <v>5.5531406201407646E-2</v>
      </c>
      <c r="R52" s="15">
        <f t="shared" si="5"/>
        <v>5.5531406201372119E-2</v>
      </c>
      <c r="S52" s="18">
        <f t="shared" si="6"/>
        <v>-2.2141739464132115E-6</v>
      </c>
      <c r="T52" s="18">
        <f t="shared" si="7"/>
        <v>7.1383738031727262E-7</v>
      </c>
      <c r="U52" s="18">
        <f t="shared" si="8"/>
        <v>-6.5354470279999077E-7</v>
      </c>
    </row>
    <row r="53" spans="15:21" x14ac:dyDescent="0.25">
      <c r="O53" s="15">
        <v>49</v>
      </c>
      <c r="P53" s="15">
        <f t="shared" si="3"/>
        <v>5.5531406201372119E-2</v>
      </c>
      <c r="Q53" s="15">
        <f t="shared" si="4"/>
        <v>5.5531406201407646E-2</v>
      </c>
      <c r="R53" s="15">
        <f t="shared" si="5"/>
        <v>5.5531406201389882E-2</v>
      </c>
      <c r="S53" s="18">
        <f t="shared" si="6"/>
        <v>-6.5354470279999077E-7</v>
      </c>
      <c r="T53" s="18">
        <f t="shared" si="7"/>
        <v>7.1383738031727262E-7</v>
      </c>
      <c r="U53" s="18">
        <f t="shared" si="8"/>
        <v>3.0612227419624105E-8</v>
      </c>
    </row>
    <row r="54" spans="15:21" x14ac:dyDescent="0.25">
      <c r="O54" s="15">
        <v>50</v>
      </c>
      <c r="P54" s="15">
        <f t="shared" si="3"/>
        <v>5.5531406201372119E-2</v>
      </c>
      <c r="Q54" s="15">
        <f t="shared" si="4"/>
        <v>5.5531406201389882E-2</v>
      </c>
      <c r="R54" s="15">
        <f t="shared" si="5"/>
        <v>5.5531406201381001E-2</v>
      </c>
      <c r="S54" s="18">
        <f t="shared" si="6"/>
        <v>-6.5354470279999077E-7</v>
      </c>
      <c r="T54" s="18">
        <f t="shared" si="7"/>
        <v>3.0612227419624105E-8</v>
      </c>
      <c r="U54" s="18">
        <f t="shared" si="8"/>
        <v>-3.1053423299454153E-7</v>
      </c>
    </row>
    <row r="55" spans="15:21" x14ac:dyDescent="0.25">
      <c r="O55" s="15">
        <v>51</v>
      </c>
      <c r="P55" s="15">
        <f t="shared" ref="P55:P104" si="9">IF(S54*U54&gt;=0,R54,P54)</f>
        <v>5.5531406201381001E-2</v>
      </c>
      <c r="Q55" s="15">
        <f t="shared" ref="Q55:Q104" si="10">IF(T54*U54&gt;=0,R54,Q54)</f>
        <v>5.5531406201389882E-2</v>
      </c>
      <c r="R55" s="15">
        <f t="shared" ref="R55:R104" si="11">(P55+Q55)/2</f>
        <v>5.5531406201385441E-2</v>
      </c>
      <c r="S55" s="18">
        <f t="shared" si="6"/>
        <v>-3.1053423299454153E-7</v>
      </c>
      <c r="T55" s="18">
        <f t="shared" si="7"/>
        <v>3.0612227419624105E-8</v>
      </c>
      <c r="U55" s="18">
        <f t="shared" si="8"/>
        <v>-2.3821530703571625E-7</v>
      </c>
    </row>
    <row r="56" spans="15:21" x14ac:dyDescent="0.25">
      <c r="O56" s="15">
        <v>52</v>
      </c>
      <c r="P56" s="15">
        <f t="shared" si="9"/>
        <v>5.5531406201385441E-2</v>
      </c>
      <c r="Q56" s="15">
        <f t="shared" si="10"/>
        <v>5.5531406201389882E-2</v>
      </c>
      <c r="R56" s="15">
        <f t="shared" si="11"/>
        <v>5.5531406201387662E-2</v>
      </c>
      <c r="S56" s="18">
        <f t="shared" si="6"/>
        <v>-2.3821530703571625E-7</v>
      </c>
      <c r="T56" s="18">
        <f t="shared" si="7"/>
        <v>3.0612227419624105E-8</v>
      </c>
      <c r="U56" s="18">
        <f t="shared" si="8"/>
        <v>-1.0403437045169994E-7</v>
      </c>
    </row>
    <row r="57" spans="15:21" x14ac:dyDescent="0.25">
      <c r="O57" s="15">
        <v>53</v>
      </c>
      <c r="P57" s="15">
        <f t="shared" si="9"/>
        <v>5.5531406201387662E-2</v>
      </c>
      <c r="Q57" s="15">
        <f t="shared" si="10"/>
        <v>5.5531406201389882E-2</v>
      </c>
      <c r="R57" s="15">
        <f t="shared" si="11"/>
        <v>5.5531406201388772E-2</v>
      </c>
      <c r="S57" s="18">
        <f t="shared" si="6"/>
        <v>-1.0403437045169994E-7</v>
      </c>
      <c r="T57" s="18">
        <f t="shared" si="7"/>
        <v>3.0612227419624105E-8</v>
      </c>
      <c r="U57" s="18">
        <f t="shared" si="8"/>
        <v>6.1310856835916638E-8</v>
      </c>
    </row>
    <row r="58" spans="15:21" x14ac:dyDescent="0.25">
      <c r="O58" s="15">
        <v>54</v>
      </c>
      <c r="P58" s="15">
        <f t="shared" si="9"/>
        <v>5.5531406201387662E-2</v>
      </c>
      <c r="Q58" s="15">
        <f t="shared" si="10"/>
        <v>5.5531406201388772E-2</v>
      </c>
      <c r="R58" s="15">
        <f t="shared" si="11"/>
        <v>5.5531406201388217E-2</v>
      </c>
      <c r="S58" s="18">
        <f t="shared" si="6"/>
        <v>-1.0403437045169994E-7</v>
      </c>
      <c r="T58" s="18">
        <f t="shared" si="7"/>
        <v>6.1310856835916638E-8</v>
      </c>
      <c r="U58" s="18">
        <f t="shared" si="8"/>
        <v>-1.2310601960052736E-7</v>
      </c>
    </row>
    <row r="59" spans="15:21" x14ac:dyDescent="0.25">
      <c r="O59" s="15">
        <v>55</v>
      </c>
      <c r="P59" s="15">
        <f t="shared" si="9"/>
        <v>5.5531406201388217E-2</v>
      </c>
      <c r="Q59" s="15">
        <f t="shared" si="10"/>
        <v>5.5531406201388772E-2</v>
      </c>
      <c r="R59" s="15">
        <f t="shared" si="11"/>
        <v>5.5531406201388495E-2</v>
      </c>
      <c r="S59" s="18">
        <f t="shared" si="6"/>
        <v>-1.2310601960052736E-7</v>
      </c>
      <c r="T59" s="18">
        <f t="shared" si="7"/>
        <v>6.1310856835916638E-8</v>
      </c>
      <c r="U59" s="18">
        <f t="shared" si="8"/>
        <v>-1.3054977898718789E-7</v>
      </c>
    </row>
    <row r="60" spans="15:21" x14ac:dyDescent="0.25">
      <c r="O60" s="15">
        <v>56</v>
      </c>
      <c r="P60" s="15">
        <f t="shared" si="9"/>
        <v>5.5531406201388495E-2</v>
      </c>
      <c r="Q60" s="15">
        <f t="shared" si="10"/>
        <v>5.5531406201388772E-2</v>
      </c>
      <c r="R60" s="15">
        <f t="shared" si="11"/>
        <v>5.5531406201388633E-2</v>
      </c>
      <c r="S60" s="18">
        <f t="shared" si="6"/>
        <v>-1.3054977898718789E-7</v>
      </c>
      <c r="T60" s="18">
        <f t="shared" si="7"/>
        <v>6.1310856835916638E-8</v>
      </c>
      <c r="U60" s="18">
        <f t="shared" si="8"/>
        <v>6.1310856835916638E-8</v>
      </c>
    </row>
    <row r="61" spans="15:21" x14ac:dyDescent="0.25">
      <c r="O61" s="15">
        <v>57</v>
      </c>
      <c r="P61" s="15">
        <f t="shared" si="9"/>
        <v>5.5531406201388495E-2</v>
      </c>
      <c r="Q61" s="15">
        <f t="shared" si="10"/>
        <v>5.5531406201388633E-2</v>
      </c>
      <c r="R61" s="15">
        <f t="shared" si="11"/>
        <v>5.5531406201388564E-2</v>
      </c>
      <c r="S61" s="18">
        <f t="shared" si="6"/>
        <v>-1.3054977898718789E-7</v>
      </c>
      <c r="T61" s="18">
        <f t="shared" si="7"/>
        <v>6.1310856835916638E-8</v>
      </c>
      <c r="U61" s="18">
        <f t="shared" si="8"/>
        <v>-1.3054977898718789E-7</v>
      </c>
    </row>
    <row r="62" spans="15:21" x14ac:dyDescent="0.25">
      <c r="O62" s="15">
        <v>58</v>
      </c>
      <c r="P62" s="15">
        <f t="shared" si="9"/>
        <v>5.5531406201388564E-2</v>
      </c>
      <c r="Q62" s="15">
        <f t="shared" si="10"/>
        <v>5.5531406201388633E-2</v>
      </c>
      <c r="R62" s="15">
        <f t="shared" si="11"/>
        <v>5.5531406201388599E-2</v>
      </c>
      <c r="S62" s="18">
        <f t="shared" si="6"/>
        <v>-1.3054977898718789E-7</v>
      </c>
      <c r="T62" s="18">
        <f t="shared" si="7"/>
        <v>6.1310856835916638E-8</v>
      </c>
      <c r="U62" s="18">
        <f t="shared" si="8"/>
        <v>-1.3054977898718789E-7</v>
      </c>
    </row>
    <row r="63" spans="15:21" x14ac:dyDescent="0.25">
      <c r="O63" s="15">
        <v>59</v>
      </c>
      <c r="P63" s="15">
        <f t="shared" si="9"/>
        <v>5.5531406201388599E-2</v>
      </c>
      <c r="Q63" s="15">
        <f t="shared" si="10"/>
        <v>5.5531406201388633E-2</v>
      </c>
      <c r="R63" s="15">
        <f t="shared" si="11"/>
        <v>5.5531406201388619E-2</v>
      </c>
      <c r="S63" s="18">
        <f t="shared" si="6"/>
        <v>-1.3054977898718789E-7</v>
      </c>
      <c r="T63" s="18">
        <f t="shared" si="7"/>
        <v>6.1310856835916638E-8</v>
      </c>
      <c r="U63" s="18">
        <f t="shared" si="8"/>
        <v>-1.3054977898718789E-7</v>
      </c>
    </row>
    <row r="64" spans="15:21" x14ac:dyDescent="0.25">
      <c r="O64" s="15">
        <v>60</v>
      </c>
      <c r="P64" s="15">
        <f t="shared" si="9"/>
        <v>5.5531406201388619E-2</v>
      </c>
      <c r="Q64" s="15">
        <f t="shared" si="10"/>
        <v>5.5531406201388633E-2</v>
      </c>
      <c r="R64" s="15">
        <f t="shared" si="11"/>
        <v>5.5531406201388626E-2</v>
      </c>
      <c r="S64" s="18">
        <f t="shared" si="6"/>
        <v>-1.3054977898718789E-7</v>
      </c>
      <c r="T64" s="18">
        <f t="shared" si="7"/>
        <v>6.1310856835916638E-8</v>
      </c>
      <c r="U64" s="18">
        <f t="shared" si="8"/>
        <v>-1.3054977898718789E-7</v>
      </c>
    </row>
    <row r="65" spans="15:21" x14ac:dyDescent="0.25">
      <c r="O65" s="15">
        <v>61</v>
      </c>
      <c r="P65" s="15">
        <f t="shared" si="9"/>
        <v>5.5531406201388626E-2</v>
      </c>
      <c r="Q65" s="15">
        <f t="shared" si="10"/>
        <v>5.5531406201388633E-2</v>
      </c>
      <c r="R65" s="15">
        <f t="shared" si="11"/>
        <v>5.5531406201388633E-2</v>
      </c>
      <c r="S65" s="18">
        <f t="shared" si="6"/>
        <v>-1.3054977898718789E-7</v>
      </c>
      <c r="T65" s="18">
        <f t="shared" si="7"/>
        <v>6.1310856835916638E-8</v>
      </c>
      <c r="U65" s="18">
        <f t="shared" si="8"/>
        <v>6.1310856835916638E-8</v>
      </c>
    </row>
    <row r="66" spans="15:21" x14ac:dyDescent="0.25">
      <c r="O66" s="15">
        <v>62</v>
      </c>
      <c r="P66" s="15">
        <f t="shared" si="9"/>
        <v>5.5531406201388626E-2</v>
      </c>
      <c r="Q66" s="15">
        <f t="shared" si="10"/>
        <v>5.5531406201388633E-2</v>
      </c>
      <c r="R66" s="15">
        <f t="shared" si="11"/>
        <v>5.5531406201388633E-2</v>
      </c>
      <c r="S66" s="18">
        <f t="shared" si="6"/>
        <v>-1.3054977898718789E-7</v>
      </c>
      <c r="T66" s="18">
        <f t="shared" si="7"/>
        <v>6.1310856835916638E-8</v>
      </c>
      <c r="U66" s="18">
        <f t="shared" si="8"/>
        <v>6.1310856835916638E-8</v>
      </c>
    </row>
    <row r="67" spans="15:21" x14ac:dyDescent="0.25">
      <c r="O67" s="15">
        <v>63</v>
      </c>
      <c r="P67" s="15">
        <f t="shared" si="9"/>
        <v>5.5531406201388626E-2</v>
      </c>
      <c r="Q67" s="15">
        <f t="shared" si="10"/>
        <v>5.5531406201388633E-2</v>
      </c>
      <c r="R67" s="15">
        <f t="shared" si="11"/>
        <v>5.5531406201388633E-2</v>
      </c>
      <c r="S67" s="18">
        <f t="shared" si="6"/>
        <v>-1.3054977898718789E-7</v>
      </c>
      <c r="T67" s="18">
        <f t="shared" si="7"/>
        <v>6.1310856835916638E-8</v>
      </c>
      <c r="U67" s="18">
        <f t="shared" si="8"/>
        <v>6.1310856835916638E-8</v>
      </c>
    </row>
    <row r="68" spans="15:21" x14ac:dyDescent="0.25">
      <c r="O68" s="15">
        <v>64</v>
      </c>
      <c r="P68" s="15">
        <f t="shared" si="9"/>
        <v>5.5531406201388626E-2</v>
      </c>
      <c r="Q68" s="15">
        <f t="shared" si="10"/>
        <v>5.5531406201388633E-2</v>
      </c>
      <c r="R68" s="15">
        <f t="shared" si="11"/>
        <v>5.5531406201388633E-2</v>
      </c>
      <c r="S68" s="18">
        <f t="shared" si="6"/>
        <v>-1.3054977898718789E-7</v>
      </c>
      <c r="T68" s="18">
        <f t="shared" si="7"/>
        <v>6.1310856835916638E-8</v>
      </c>
      <c r="U68" s="18">
        <f t="shared" si="8"/>
        <v>6.1310856835916638E-8</v>
      </c>
    </row>
    <row r="69" spans="15:21" x14ac:dyDescent="0.25">
      <c r="O69" s="15">
        <v>65</v>
      </c>
      <c r="P69" s="15">
        <f t="shared" si="9"/>
        <v>5.5531406201388626E-2</v>
      </c>
      <c r="Q69" s="15">
        <f t="shared" si="10"/>
        <v>5.5531406201388633E-2</v>
      </c>
      <c r="R69" s="15">
        <f t="shared" si="11"/>
        <v>5.5531406201388633E-2</v>
      </c>
      <c r="S69" s="18">
        <f t="shared" ref="S69:S104" si="12">$E$4-$E$10-$E$11*(1+P69)^(-$E$5/$L$9)-$E$13*(1+P69)^(-$H$13/$L$9)-$E$14*(1+P69)^(-$H$14/$L$9) +$E$24*((1-(1+P69)^(-$E$5/$L$9)))/(1-(1+P69)^(1/$L$9))+$E$17*((1-(1+P69)^(-$J$20/$M$4)))/(1-(1+P69)^(1/$M$4))+$E$18*((1-(1+P69)^(-$J$21/$M$5)))/(1-(1+P69)^(1/$M$5))+$E$19*((1-(1+P69)^(-$J$22/$M$6)))/(1-(1+P69)^(1/$M$6))+$E$20*((1-(1+P69)^(-$J$23/$M$7)))/(1-(1+P69)^(1/$M$7))+$E$21*((1-(1+P69)^(-$J$24/$M$8)))/(1-(1+P69)^(1/$M$8))</f>
        <v>-1.3054977898718789E-7</v>
      </c>
      <c r="T69" s="18">
        <f t="shared" ref="T69:T104" si="13">$E$4-$E$10-$E$11*(1+Q69)^(-$E$5/$L$9)-$E$13*(1+Q69)^(-$H$13/$L$9)-$E$14*(1+Q69)^(-$H$14/$L$9) +$E$24*((1-(1+Q69)^(-$E$5/$L$9)))/(1-(1+Q69)^(1/$L$9))+$E$17*((1-(1+Q69)^(-$J$20/$M$4)))/(1-(1+Q69)^(1/$M$4))+$E$18*((1-(1+Q69)^(-$J$21/$M$5)))/(1-(1+Q69)^(1/$M$5))+$E$19*((1-(1+Q69)^(-$J$22/$M$6)))/(1-(1+Q69)^(1/$M$6))+$E$20*((1-(1+Q69)^(-$J$23/$M$7)))/(1-(1+Q69)^(1/$M$7))+$E$21*((1-(1+Q69)^(-$J$24/$M$8)))/(1-(1+Q69)^(1/$M$8))</f>
        <v>6.1310856835916638E-8</v>
      </c>
      <c r="U69" s="18">
        <f t="shared" ref="U69:U104" si="14">$E$4-$E$10-$E$11*(1+R69)^(-$E$5/$L$9)-$E$13*(1+R69)^(-$H$13/$L$9)-$E$14*(1+R69)^(-$H$14/$L$9) +$E$24*((1-(1+R69)^(-$E$5/$L$9)))/(1-(1+R69)^(1/$L$9))+$E$17*((1-(1+R69)^(-$J$20/$M$4)))/(1-(1+R69)^(1/$M$4))+$E$18*((1-(1+R69)^(-$J$21/$M$5)))/(1-(1+R69)^(1/$M$5))+$E$19*((1-(1+R69)^(-$J$22/$M$6)))/(1-(1+R69)^(1/$M$6))+$E$20*((1-(1+R69)^(-$J$23/$M$7)))/(1-(1+R69)^(1/$M$7))+$E$21*((1-(1+R69)^(-$J$24/$M$8)))/(1-(1+R69)^(1/$M$8))</f>
        <v>6.1310856835916638E-8</v>
      </c>
    </row>
    <row r="70" spans="15:21" x14ac:dyDescent="0.25">
      <c r="O70" s="15">
        <v>66</v>
      </c>
      <c r="P70" s="15">
        <f t="shared" si="9"/>
        <v>5.5531406201388626E-2</v>
      </c>
      <c r="Q70" s="15">
        <f t="shared" si="10"/>
        <v>5.5531406201388633E-2</v>
      </c>
      <c r="R70" s="15">
        <f t="shared" si="11"/>
        <v>5.5531406201388633E-2</v>
      </c>
      <c r="S70" s="18">
        <f t="shared" si="12"/>
        <v>-1.3054977898718789E-7</v>
      </c>
      <c r="T70" s="18">
        <f t="shared" si="13"/>
        <v>6.1310856835916638E-8</v>
      </c>
      <c r="U70" s="18">
        <f t="shared" si="14"/>
        <v>6.1310856835916638E-8</v>
      </c>
    </row>
    <row r="71" spans="15:21" x14ac:dyDescent="0.25">
      <c r="O71" s="15">
        <v>67</v>
      </c>
      <c r="P71" s="15">
        <f t="shared" si="9"/>
        <v>5.5531406201388626E-2</v>
      </c>
      <c r="Q71" s="15">
        <f t="shared" si="10"/>
        <v>5.5531406201388633E-2</v>
      </c>
      <c r="R71" s="15">
        <f t="shared" si="11"/>
        <v>5.5531406201388633E-2</v>
      </c>
      <c r="S71" s="18">
        <f t="shared" si="12"/>
        <v>-1.3054977898718789E-7</v>
      </c>
      <c r="T71" s="18">
        <f t="shared" si="13"/>
        <v>6.1310856835916638E-8</v>
      </c>
      <c r="U71" s="18">
        <f t="shared" si="14"/>
        <v>6.1310856835916638E-8</v>
      </c>
    </row>
    <row r="72" spans="15:21" x14ac:dyDescent="0.25">
      <c r="O72" s="15">
        <v>68</v>
      </c>
      <c r="P72" s="15">
        <f t="shared" si="9"/>
        <v>5.5531406201388626E-2</v>
      </c>
      <c r="Q72" s="15">
        <f t="shared" si="10"/>
        <v>5.5531406201388633E-2</v>
      </c>
      <c r="R72" s="15">
        <f t="shared" si="11"/>
        <v>5.5531406201388633E-2</v>
      </c>
      <c r="S72" s="18">
        <f t="shared" si="12"/>
        <v>-1.3054977898718789E-7</v>
      </c>
      <c r="T72" s="18">
        <f t="shared" si="13"/>
        <v>6.1310856835916638E-8</v>
      </c>
      <c r="U72" s="18">
        <f t="shared" si="14"/>
        <v>6.1310856835916638E-8</v>
      </c>
    </row>
    <row r="73" spans="15:21" x14ac:dyDescent="0.25">
      <c r="O73" s="15">
        <v>69</v>
      </c>
      <c r="P73" s="15">
        <f t="shared" si="9"/>
        <v>5.5531406201388626E-2</v>
      </c>
      <c r="Q73" s="15">
        <f t="shared" si="10"/>
        <v>5.5531406201388633E-2</v>
      </c>
      <c r="R73" s="15">
        <f t="shared" si="11"/>
        <v>5.5531406201388633E-2</v>
      </c>
      <c r="S73" s="18">
        <f t="shared" si="12"/>
        <v>-1.3054977898718789E-7</v>
      </c>
      <c r="T73" s="18">
        <f t="shared" si="13"/>
        <v>6.1310856835916638E-8</v>
      </c>
      <c r="U73" s="18">
        <f t="shared" si="14"/>
        <v>6.1310856835916638E-8</v>
      </c>
    </row>
    <row r="74" spans="15:21" x14ac:dyDescent="0.25">
      <c r="O74" s="15">
        <v>70</v>
      </c>
      <c r="P74" s="15">
        <f t="shared" si="9"/>
        <v>5.5531406201388626E-2</v>
      </c>
      <c r="Q74" s="15">
        <f t="shared" si="10"/>
        <v>5.5531406201388633E-2</v>
      </c>
      <c r="R74" s="15">
        <f t="shared" si="11"/>
        <v>5.5531406201388633E-2</v>
      </c>
      <c r="S74" s="18">
        <f t="shared" si="12"/>
        <v>-1.3054977898718789E-7</v>
      </c>
      <c r="T74" s="18">
        <f t="shared" si="13"/>
        <v>6.1310856835916638E-8</v>
      </c>
      <c r="U74" s="18">
        <f t="shared" si="14"/>
        <v>6.1310856835916638E-8</v>
      </c>
    </row>
    <row r="75" spans="15:21" x14ac:dyDescent="0.25">
      <c r="O75" s="15">
        <v>71</v>
      </c>
      <c r="P75" s="15">
        <f t="shared" si="9"/>
        <v>5.5531406201388626E-2</v>
      </c>
      <c r="Q75" s="15">
        <f t="shared" si="10"/>
        <v>5.5531406201388633E-2</v>
      </c>
      <c r="R75" s="15">
        <f t="shared" si="11"/>
        <v>5.5531406201388633E-2</v>
      </c>
      <c r="S75" s="18">
        <f t="shared" si="12"/>
        <v>-1.3054977898718789E-7</v>
      </c>
      <c r="T75" s="18">
        <f t="shared" si="13"/>
        <v>6.1310856835916638E-8</v>
      </c>
      <c r="U75" s="18">
        <f t="shared" si="14"/>
        <v>6.1310856835916638E-8</v>
      </c>
    </row>
    <row r="76" spans="15:21" x14ac:dyDescent="0.25">
      <c r="O76" s="15">
        <v>72</v>
      </c>
      <c r="P76" s="15">
        <f t="shared" si="9"/>
        <v>5.5531406201388626E-2</v>
      </c>
      <c r="Q76" s="15">
        <f t="shared" si="10"/>
        <v>5.5531406201388633E-2</v>
      </c>
      <c r="R76" s="15">
        <f t="shared" si="11"/>
        <v>5.5531406201388633E-2</v>
      </c>
      <c r="S76" s="18">
        <f t="shared" si="12"/>
        <v>-1.3054977898718789E-7</v>
      </c>
      <c r="T76" s="18">
        <f t="shared" si="13"/>
        <v>6.1310856835916638E-8</v>
      </c>
      <c r="U76" s="18">
        <f t="shared" si="14"/>
        <v>6.1310856835916638E-8</v>
      </c>
    </row>
    <row r="77" spans="15:21" x14ac:dyDescent="0.25">
      <c r="O77" s="15">
        <v>73</v>
      </c>
      <c r="P77" s="15">
        <f t="shared" si="9"/>
        <v>5.5531406201388626E-2</v>
      </c>
      <c r="Q77" s="15">
        <f t="shared" si="10"/>
        <v>5.5531406201388633E-2</v>
      </c>
      <c r="R77" s="15">
        <f t="shared" si="11"/>
        <v>5.5531406201388633E-2</v>
      </c>
      <c r="S77" s="18">
        <f t="shared" si="12"/>
        <v>-1.3054977898718789E-7</v>
      </c>
      <c r="T77" s="18">
        <f t="shared" si="13"/>
        <v>6.1310856835916638E-8</v>
      </c>
      <c r="U77" s="18">
        <f t="shared" si="14"/>
        <v>6.1310856835916638E-8</v>
      </c>
    </row>
    <row r="78" spans="15:21" x14ac:dyDescent="0.25">
      <c r="O78" s="15">
        <v>74</v>
      </c>
      <c r="P78" s="15">
        <f t="shared" si="9"/>
        <v>5.5531406201388626E-2</v>
      </c>
      <c r="Q78" s="15">
        <f t="shared" si="10"/>
        <v>5.5531406201388633E-2</v>
      </c>
      <c r="R78" s="15">
        <f t="shared" si="11"/>
        <v>5.5531406201388633E-2</v>
      </c>
      <c r="S78" s="18">
        <f t="shared" si="12"/>
        <v>-1.3054977898718789E-7</v>
      </c>
      <c r="T78" s="18">
        <f t="shared" si="13"/>
        <v>6.1310856835916638E-8</v>
      </c>
      <c r="U78" s="18">
        <f t="shared" si="14"/>
        <v>6.1310856835916638E-8</v>
      </c>
    </row>
    <row r="79" spans="15:21" x14ac:dyDescent="0.25">
      <c r="O79" s="15">
        <v>75</v>
      </c>
      <c r="P79" s="15">
        <f t="shared" si="9"/>
        <v>5.5531406201388626E-2</v>
      </c>
      <c r="Q79" s="15">
        <f t="shared" si="10"/>
        <v>5.5531406201388633E-2</v>
      </c>
      <c r="R79" s="15">
        <f t="shared" si="11"/>
        <v>5.5531406201388633E-2</v>
      </c>
      <c r="S79" s="18">
        <f t="shared" si="12"/>
        <v>-1.3054977898718789E-7</v>
      </c>
      <c r="T79" s="18">
        <f t="shared" si="13"/>
        <v>6.1310856835916638E-8</v>
      </c>
      <c r="U79" s="18">
        <f t="shared" si="14"/>
        <v>6.1310856835916638E-8</v>
      </c>
    </row>
    <row r="80" spans="15:21" x14ac:dyDescent="0.25">
      <c r="O80" s="15">
        <v>76</v>
      </c>
      <c r="P80" s="15">
        <f t="shared" si="9"/>
        <v>5.5531406201388626E-2</v>
      </c>
      <c r="Q80" s="15">
        <f t="shared" si="10"/>
        <v>5.5531406201388633E-2</v>
      </c>
      <c r="R80" s="15">
        <f t="shared" si="11"/>
        <v>5.5531406201388633E-2</v>
      </c>
      <c r="S80" s="18">
        <f t="shared" si="12"/>
        <v>-1.3054977898718789E-7</v>
      </c>
      <c r="T80" s="18">
        <f t="shared" si="13"/>
        <v>6.1310856835916638E-8</v>
      </c>
      <c r="U80" s="18">
        <f t="shared" si="14"/>
        <v>6.1310856835916638E-8</v>
      </c>
    </row>
    <row r="81" spans="15:21" x14ac:dyDescent="0.25">
      <c r="O81" s="15">
        <v>77</v>
      </c>
      <c r="P81" s="15">
        <f t="shared" si="9"/>
        <v>5.5531406201388626E-2</v>
      </c>
      <c r="Q81" s="15">
        <f t="shared" si="10"/>
        <v>5.5531406201388633E-2</v>
      </c>
      <c r="R81" s="15">
        <f t="shared" si="11"/>
        <v>5.5531406201388633E-2</v>
      </c>
      <c r="S81" s="18">
        <f t="shared" si="12"/>
        <v>-1.3054977898718789E-7</v>
      </c>
      <c r="T81" s="18">
        <f t="shared" si="13"/>
        <v>6.1310856835916638E-8</v>
      </c>
      <c r="U81" s="18">
        <f t="shared" si="14"/>
        <v>6.1310856835916638E-8</v>
      </c>
    </row>
    <row r="82" spans="15:21" x14ac:dyDescent="0.25">
      <c r="O82" s="15">
        <v>78</v>
      </c>
      <c r="P82" s="15">
        <f t="shared" si="9"/>
        <v>5.5531406201388626E-2</v>
      </c>
      <c r="Q82" s="15">
        <f t="shared" si="10"/>
        <v>5.5531406201388633E-2</v>
      </c>
      <c r="R82" s="15">
        <f t="shared" si="11"/>
        <v>5.5531406201388633E-2</v>
      </c>
      <c r="S82" s="18">
        <f t="shared" si="12"/>
        <v>-1.3054977898718789E-7</v>
      </c>
      <c r="T82" s="18">
        <f t="shared" si="13"/>
        <v>6.1310856835916638E-8</v>
      </c>
      <c r="U82" s="18">
        <f t="shared" si="14"/>
        <v>6.1310856835916638E-8</v>
      </c>
    </row>
    <row r="83" spans="15:21" x14ac:dyDescent="0.25">
      <c r="O83" s="15">
        <v>79</v>
      </c>
      <c r="P83" s="15">
        <f t="shared" si="9"/>
        <v>5.5531406201388626E-2</v>
      </c>
      <c r="Q83" s="15">
        <f t="shared" si="10"/>
        <v>5.5531406201388633E-2</v>
      </c>
      <c r="R83" s="15">
        <f t="shared" si="11"/>
        <v>5.5531406201388633E-2</v>
      </c>
      <c r="S83" s="18">
        <f t="shared" si="12"/>
        <v>-1.3054977898718789E-7</v>
      </c>
      <c r="T83" s="18">
        <f t="shared" si="13"/>
        <v>6.1310856835916638E-8</v>
      </c>
      <c r="U83" s="18">
        <f t="shared" si="14"/>
        <v>6.1310856835916638E-8</v>
      </c>
    </row>
    <row r="84" spans="15:21" x14ac:dyDescent="0.25">
      <c r="O84" s="15">
        <v>80</v>
      </c>
      <c r="P84" s="15">
        <f t="shared" si="9"/>
        <v>5.5531406201388626E-2</v>
      </c>
      <c r="Q84" s="15">
        <f t="shared" si="10"/>
        <v>5.5531406201388633E-2</v>
      </c>
      <c r="R84" s="15">
        <f t="shared" si="11"/>
        <v>5.5531406201388633E-2</v>
      </c>
      <c r="S84" s="18">
        <f t="shared" si="12"/>
        <v>-1.3054977898718789E-7</v>
      </c>
      <c r="T84" s="18">
        <f t="shared" si="13"/>
        <v>6.1310856835916638E-8</v>
      </c>
      <c r="U84" s="18">
        <f t="shared" si="14"/>
        <v>6.1310856835916638E-8</v>
      </c>
    </row>
    <row r="85" spans="15:21" x14ac:dyDescent="0.25">
      <c r="O85" s="15">
        <v>81</v>
      </c>
      <c r="P85" s="15">
        <f t="shared" si="9"/>
        <v>5.5531406201388626E-2</v>
      </c>
      <c r="Q85" s="15">
        <f t="shared" si="10"/>
        <v>5.5531406201388633E-2</v>
      </c>
      <c r="R85" s="15">
        <f t="shared" si="11"/>
        <v>5.5531406201388633E-2</v>
      </c>
      <c r="S85" s="18">
        <f t="shared" si="12"/>
        <v>-1.3054977898718789E-7</v>
      </c>
      <c r="T85" s="18">
        <f t="shared" si="13"/>
        <v>6.1310856835916638E-8</v>
      </c>
      <c r="U85" s="18">
        <f t="shared" si="14"/>
        <v>6.1310856835916638E-8</v>
      </c>
    </row>
    <row r="86" spans="15:21" x14ac:dyDescent="0.25">
      <c r="O86" s="15">
        <v>82</v>
      </c>
      <c r="P86" s="15">
        <f t="shared" si="9"/>
        <v>5.5531406201388626E-2</v>
      </c>
      <c r="Q86" s="15">
        <f t="shared" si="10"/>
        <v>5.5531406201388633E-2</v>
      </c>
      <c r="R86" s="15">
        <f t="shared" si="11"/>
        <v>5.5531406201388633E-2</v>
      </c>
      <c r="S86" s="18">
        <f t="shared" si="12"/>
        <v>-1.3054977898718789E-7</v>
      </c>
      <c r="T86" s="18">
        <f t="shared" si="13"/>
        <v>6.1310856835916638E-8</v>
      </c>
      <c r="U86" s="18">
        <f t="shared" si="14"/>
        <v>6.1310856835916638E-8</v>
      </c>
    </row>
    <row r="87" spans="15:21" x14ac:dyDescent="0.25">
      <c r="O87" s="15">
        <v>83</v>
      </c>
      <c r="P87" s="15">
        <f t="shared" si="9"/>
        <v>5.5531406201388626E-2</v>
      </c>
      <c r="Q87" s="15">
        <f t="shared" si="10"/>
        <v>5.5531406201388633E-2</v>
      </c>
      <c r="R87" s="15">
        <f t="shared" si="11"/>
        <v>5.5531406201388633E-2</v>
      </c>
      <c r="S87" s="18">
        <f t="shared" si="12"/>
        <v>-1.3054977898718789E-7</v>
      </c>
      <c r="T87" s="18">
        <f t="shared" si="13"/>
        <v>6.1310856835916638E-8</v>
      </c>
      <c r="U87" s="18">
        <f t="shared" si="14"/>
        <v>6.1310856835916638E-8</v>
      </c>
    </row>
    <row r="88" spans="15:21" x14ac:dyDescent="0.25">
      <c r="O88" s="15">
        <v>84</v>
      </c>
      <c r="P88" s="15">
        <f t="shared" si="9"/>
        <v>5.5531406201388626E-2</v>
      </c>
      <c r="Q88" s="15">
        <f t="shared" si="10"/>
        <v>5.5531406201388633E-2</v>
      </c>
      <c r="R88" s="15">
        <f t="shared" si="11"/>
        <v>5.5531406201388633E-2</v>
      </c>
      <c r="S88" s="18">
        <f t="shared" si="12"/>
        <v>-1.3054977898718789E-7</v>
      </c>
      <c r="T88" s="18">
        <f t="shared" si="13"/>
        <v>6.1310856835916638E-8</v>
      </c>
      <c r="U88" s="18">
        <f t="shared" si="14"/>
        <v>6.1310856835916638E-8</v>
      </c>
    </row>
    <row r="89" spans="15:21" x14ac:dyDescent="0.25">
      <c r="O89" s="15">
        <v>85</v>
      </c>
      <c r="P89" s="15">
        <f t="shared" si="9"/>
        <v>5.5531406201388626E-2</v>
      </c>
      <c r="Q89" s="15">
        <f t="shared" si="10"/>
        <v>5.5531406201388633E-2</v>
      </c>
      <c r="R89" s="15">
        <f t="shared" si="11"/>
        <v>5.5531406201388633E-2</v>
      </c>
      <c r="S89" s="18">
        <f t="shared" si="12"/>
        <v>-1.3054977898718789E-7</v>
      </c>
      <c r="T89" s="18">
        <f t="shared" si="13"/>
        <v>6.1310856835916638E-8</v>
      </c>
      <c r="U89" s="18">
        <f t="shared" si="14"/>
        <v>6.1310856835916638E-8</v>
      </c>
    </row>
    <row r="90" spans="15:21" x14ac:dyDescent="0.25">
      <c r="O90" s="15">
        <v>86</v>
      </c>
      <c r="P90" s="15">
        <f t="shared" si="9"/>
        <v>5.5531406201388626E-2</v>
      </c>
      <c r="Q90" s="15">
        <f t="shared" si="10"/>
        <v>5.5531406201388633E-2</v>
      </c>
      <c r="R90" s="15">
        <f t="shared" si="11"/>
        <v>5.5531406201388633E-2</v>
      </c>
      <c r="S90" s="18">
        <f t="shared" si="12"/>
        <v>-1.3054977898718789E-7</v>
      </c>
      <c r="T90" s="18">
        <f t="shared" si="13"/>
        <v>6.1310856835916638E-8</v>
      </c>
      <c r="U90" s="18">
        <f t="shared" si="14"/>
        <v>6.1310856835916638E-8</v>
      </c>
    </row>
    <row r="91" spans="15:21" x14ac:dyDescent="0.25">
      <c r="O91" s="15">
        <v>87</v>
      </c>
      <c r="P91" s="15">
        <f t="shared" si="9"/>
        <v>5.5531406201388626E-2</v>
      </c>
      <c r="Q91" s="15">
        <f t="shared" si="10"/>
        <v>5.5531406201388633E-2</v>
      </c>
      <c r="R91" s="15">
        <f t="shared" si="11"/>
        <v>5.5531406201388633E-2</v>
      </c>
      <c r="S91" s="18">
        <f t="shared" si="12"/>
        <v>-1.3054977898718789E-7</v>
      </c>
      <c r="T91" s="18">
        <f t="shared" si="13"/>
        <v>6.1310856835916638E-8</v>
      </c>
      <c r="U91" s="18">
        <f t="shared" si="14"/>
        <v>6.1310856835916638E-8</v>
      </c>
    </row>
    <row r="92" spans="15:21" x14ac:dyDescent="0.25">
      <c r="O92" s="15">
        <v>88</v>
      </c>
      <c r="P92" s="15">
        <f t="shared" si="9"/>
        <v>5.5531406201388626E-2</v>
      </c>
      <c r="Q92" s="15">
        <f t="shared" si="10"/>
        <v>5.5531406201388633E-2</v>
      </c>
      <c r="R92" s="15">
        <f t="shared" si="11"/>
        <v>5.5531406201388633E-2</v>
      </c>
      <c r="S92" s="18">
        <f t="shared" si="12"/>
        <v>-1.3054977898718789E-7</v>
      </c>
      <c r="T92" s="18">
        <f t="shared" si="13"/>
        <v>6.1310856835916638E-8</v>
      </c>
      <c r="U92" s="18">
        <f t="shared" si="14"/>
        <v>6.1310856835916638E-8</v>
      </c>
    </row>
    <row r="93" spans="15:21" x14ac:dyDescent="0.25">
      <c r="O93" s="15">
        <v>89</v>
      </c>
      <c r="P93" s="15">
        <f t="shared" si="9"/>
        <v>5.5531406201388626E-2</v>
      </c>
      <c r="Q93" s="15">
        <f t="shared" si="10"/>
        <v>5.5531406201388633E-2</v>
      </c>
      <c r="R93" s="15">
        <f t="shared" si="11"/>
        <v>5.5531406201388633E-2</v>
      </c>
      <c r="S93" s="18">
        <f t="shared" si="12"/>
        <v>-1.3054977898718789E-7</v>
      </c>
      <c r="T93" s="18">
        <f t="shared" si="13"/>
        <v>6.1310856835916638E-8</v>
      </c>
      <c r="U93" s="18">
        <f t="shared" si="14"/>
        <v>6.1310856835916638E-8</v>
      </c>
    </row>
    <row r="94" spans="15:21" x14ac:dyDescent="0.25">
      <c r="O94" s="15">
        <v>90</v>
      </c>
      <c r="P94" s="15">
        <f t="shared" si="9"/>
        <v>5.5531406201388626E-2</v>
      </c>
      <c r="Q94" s="15">
        <f t="shared" si="10"/>
        <v>5.5531406201388633E-2</v>
      </c>
      <c r="R94" s="15">
        <f t="shared" si="11"/>
        <v>5.5531406201388633E-2</v>
      </c>
      <c r="S94" s="18">
        <f t="shared" si="12"/>
        <v>-1.3054977898718789E-7</v>
      </c>
      <c r="T94" s="18">
        <f t="shared" si="13"/>
        <v>6.1310856835916638E-8</v>
      </c>
      <c r="U94" s="18">
        <f t="shared" si="14"/>
        <v>6.1310856835916638E-8</v>
      </c>
    </row>
    <row r="95" spans="15:21" x14ac:dyDescent="0.25">
      <c r="O95" s="15">
        <v>91</v>
      </c>
      <c r="P95" s="15">
        <f t="shared" si="9"/>
        <v>5.5531406201388626E-2</v>
      </c>
      <c r="Q95" s="15">
        <f t="shared" si="10"/>
        <v>5.5531406201388633E-2</v>
      </c>
      <c r="R95" s="15">
        <f t="shared" si="11"/>
        <v>5.5531406201388633E-2</v>
      </c>
      <c r="S95" s="18">
        <f t="shared" si="12"/>
        <v>-1.3054977898718789E-7</v>
      </c>
      <c r="T95" s="18">
        <f t="shared" si="13"/>
        <v>6.1310856835916638E-8</v>
      </c>
      <c r="U95" s="18">
        <f t="shared" si="14"/>
        <v>6.1310856835916638E-8</v>
      </c>
    </row>
    <row r="96" spans="15:21" x14ac:dyDescent="0.25">
      <c r="O96" s="15">
        <v>92</v>
      </c>
      <c r="P96" s="15">
        <f t="shared" si="9"/>
        <v>5.5531406201388626E-2</v>
      </c>
      <c r="Q96" s="15">
        <f t="shared" si="10"/>
        <v>5.5531406201388633E-2</v>
      </c>
      <c r="R96" s="15">
        <f t="shared" si="11"/>
        <v>5.5531406201388633E-2</v>
      </c>
      <c r="S96" s="18">
        <f t="shared" si="12"/>
        <v>-1.3054977898718789E-7</v>
      </c>
      <c r="T96" s="18">
        <f t="shared" si="13"/>
        <v>6.1310856835916638E-8</v>
      </c>
      <c r="U96" s="18">
        <f t="shared" si="14"/>
        <v>6.1310856835916638E-8</v>
      </c>
    </row>
    <row r="97" spans="15:21" x14ac:dyDescent="0.25">
      <c r="O97" s="15">
        <v>93</v>
      </c>
      <c r="P97" s="15">
        <f t="shared" si="9"/>
        <v>5.5531406201388626E-2</v>
      </c>
      <c r="Q97" s="15">
        <f t="shared" si="10"/>
        <v>5.5531406201388633E-2</v>
      </c>
      <c r="R97" s="15">
        <f t="shared" si="11"/>
        <v>5.5531406201388633E-2</v>
      </c>
      <c r="S97" s="18">
        <f t="shared" si="12"/>
        <v>-1.3054977898718789E-7</v>
      </c>
      <c r="T97" s="18">
        <f t="shared" si="13"/>
        <v>6.1310856835916638E-8</v>
      </c>
      <c r="U97" s="18">
        <f t="shared" si="14"/>
        <v>6.1310856835916638E-8</v>
      </c>
    </row>
    <row r="98" spans="15:21" x14ac:dyDescent="0.25">
      <c r="O98" s="15">
        <v>94</v>
      </c>
      <c r="P98" s="15">
        <f t="shared" si="9"/>
        <v>5.5531406201388626E-2</v>
      </c>
      <c r="Q98" s="15">
        <f t="shared" si="10"/>
        <v>5.5531406201388633E-2</v>
      </c>
      <c r="R98" s="15">
        <f t="shared" si="11"/>
        <v>5.5531406201388633E-2</v>
      </c>
      <c r="S98" s="18">
        <f t="shared" si="12"/>
        <v>-1.3054977898718789E-7</v>
      </c>
      <c r="T98" s="18">
        <f t="shared" si="13"/>
        <v>6.1310856835916638E-8</v>
      </c>
      <c r="U98" s="18">
        <f t="shared" si="14"/>
        <v>6.1310856835916638E-8</v>
      </c>
    </row>
    <row r="99" spans="15:21" x14ac:dyDescent="0.25">
      <c r="O99" s="15">
        <v>95</v>
      </c>
      <c r="P99" s="15">
        <f t="shared" si="9"/>
        <v>5.5531406201388626E-2</v>
      </c>
      <c r="Q99" s="15">
        <f t="shared" si="10"/>
        <v>5.5531406201388633E-2</v>
      </c>
      <c r="R99" s="15">
        <f t="shared" si="11"/>
        <v>5.5531406201388633E-2</v>
      </c>
      <c r="S99" s="18">
        <f t="shared" si="12"/>
        <v>-1.3054977898718789E-7</v>
      </c>
      <c r="T99" s="18">
        <f t="shared" si="13"/>
        <v>6.1310856835916638E-8</v>
      </c>
      <c r="U99" s="18">
        <f t="shared" si="14"/>
        <v>6.1310856835916638E-8</v>
      </c>
    </row>
    <row r="100" spans="15:21" x14ac:dyDescent="0.25">
      <c r="O100" s="15">
        <v>96</v>
      </c>
      <c r="P100" s="15">
        <f t="shared" si="9"/>
        <v>5.5531406201388626E-2</v>
      </c>
      <c r="Q100" s="15">
        <f t="shared" si="10"/>
        <v>5.5531406201388633E-2</v>
      </c>
      <c r="R100" s="15">
        <f t="shared" si="11"/>
        <v>5.5531406201388633E-2</v>
      </c>
      <c r="S100" s="18">
        <f t="shared" si="12"/>
        <v>-1.3054977898718789E-7</v>
      </c>
      <c r="T100" s="18">
        <f t="shared" si="13"/>
        <v>6.1310856835916638E-8</v>
      </c>
      <c r="U100" s="18">
        <f t="shared" si="14"/>
        <v>6.1310856835916638E-8</v>
      </c>
    </row>
    <row r="101" spans="15:21" x14ac:dyDescent="0.25">
      <c r="O101" s="15">
        <v>97</v>
      </c>
      <c r="P101" s="15">
        <f t="shared" si="9"/>
        <v>5.5531406201388626E-2</v>
      </c>
      <c r="Q101" s="15">
        <f t="shared" si="10"/>
        <v>5.5531406201388633E-2</v>
      </c>
      <c r="R101" s="15">
        <f t="shared" si="11"/>
        <v>5.5531406201388633E-2</v>
      </c>
      <c r="S101" s="18">
        <f t="shared" si="12"/>
        <v>-1.3054977898718789E-7</v>
      </c>
      <c r="T101" s="18">
        <f t="shared" si="13"/>
        <v>6.1310856835916638E-8</v>
      </c>
      <c r="U101" s="18">
        <f t="shared" si="14"/>
        <v>6.1310856835916638E-8</v>
      </c>
    </row>
    <row r="102" spans="15:21" x14ac:dyDescent="0.25">
      <c r="O102" s="15">
        <v>98</v>
      </c>
      <c r="P102" s="15">
        <f t="shared" si="9"/>
        <v>5.5531406201388626E-2</v>
      </c>
      <c r="Q102" s="15">
        <f t="shared" si="10"/>
        <v>5.5531406201388633E-2</v>
      </c>
      <c r="R102" s="15">
        <f t="shared" si="11"/>
        <v>5.5531406201388633E-2</v>
      </c>
      <c r="S102" s="18">
        <f t="shared" si="12"/>
        <v>-1.3054977898718789E-7</v>
      </c>
      <c r="T102" s="18">
        <f t="shared" si="13"/>
        <v>6.1310856835916638E-8</v>
      </c>
      <c r="U102" s="18">
        <f t="shared" si="14"/>
        <v>6.1310856835916638E-8</v>
      </c>
    </row>
    <row r="103" spans="15:21" x14ac:dyDescent="0.25">
      <c r="O103" s="15">
        <v>99</v>
      </c>
      <c r="P103" s="15">
        <f t="shared" si="9"/>
        <v>5.5531406201388626E-2</v>
      </c>
      <c r="Q103" s="15">
        <f t="shared" si="10"/>
        <v>5.5531406201388633E-2</v>
      </c>
      <c r="R103" s="15">
        <f t="shared" si="11"/>
        <v>5.5531406201388633E-2</v>
      </c>
      <c r="S103" s="18">
        <f t="shared" si="12"/>
        <v>-1.3054977898718789E-7</v>
      </c>
      <c r="T103" s="18">
        <f t="shared" si="13"/>
        <v>6.1310856835916638E-8</v>
      </c>
      <c r="U103" s="18">
        <f t="shared" si="14"/>
        <v>6.1310856835916638E-8</v>
      </c>
    </row>
    <row r="104" spans="15:21" x14ac:dyDescent="0.25">
      <c r="O104" s="15">
        <v>100</v>
      </c>
      <c r="P104" s="15">
        <f t="shared" si="9"/>
        <v>5.5531406201388626E-2</v>
      </c>
      <c r="Q104" s="15">
        <f t="shared" si="10"/>
        <v>5.5531406201388633E-2</v>
      </c>
      <c r="R104" s="15">
        <f t="shared" si="11"/>
        <v>5.5531406201388633E-2</v>
      </c>
      <c r="S104" s="18">
        <f t="shared" si="12"/>
        <v>-1.3054977898718789E-7</v>
      </c>
      <c r="T104" s="18">
        <f t="shared" si="13"/>
        <v>6.1310856835916638E-8</v>
      </c>
      <c r="U104" s="18">
        <f t="shared" si="14"/>
        <v>6.1310856835916638E-8</v>
      </c>
    </row>
    <row r="105" spans="15:21" x14ac:dyDescent="0.25">
      <c r="P105" s="15" t="s">
        <v>8</v>
      </c>
    </row>
    <row r="106" spans="15:21" x14ac:dyDescent="0.25">
      <c r="P106" s="15" t="s">
        <v>1</v>
      </c>
      <c r="Q106" s="15" t="s">
        <v>2</v>
      </c>
      <c r="R106" s="15" t="s">
        <v>3</v>
      </c>
      <c r="S106" s="15" t="s">
        <v>4</v>
      </c>
      <c r="T106" s="15" t="s">
        <v>5</v>
      </c>
      <c r="U106" s="15" t="s">
        <v>6</v>
      </c>
    </row>
    <row r="107" spans="15:21" x14ac:dyDescent="0.25">
      <c r="O107" s="15">
        <v>101</v>
      </c>
      <c r="P107" s="15">
        <v>1E-10</v>
      </c>
      <c r="Q107" s="15">
        <v>10</v>
      </c>
      <c r="R107" s="15">
        <f t="shared" ref="R107:R170" si="15">(P107+Q107)/2</f>
        <v>5.00000000005</v>
      </c>
      <c r="S107" s="18">
        <f t="shared" ref="S107:S170" si="16">$E$4-$E$10-$E$11*(1+P107)^(-$E$5/$L$9)-$E$13*(1+P107)^(-$H$13/$L$9)-$E$14*(1+P107)^(-$H$14/$L$9) +$E$24*((1-(1+P107)^(-$E$5/$L$9)))/(1-(1+P107)^(1/$L$9))+$E$17*((1-(1+P107)^(-$J$20/$M$4)))/(1-(1+P107)^(1/$M$4))+$E$18*((1-(1+P107)^(-$J$21/$M$5)))/(1-(1+P107)^(1/$M$5))+$E$19*((1-(1+P107)^(-$J$22/$M$6)))/(1-(1+P107)^(1/$M$6))+$E$20*((1-(1+P107)^(-$J$23/$M$7)))/(1-(1+P107)^(1/$M$7))+$E$21*((1-(1+P107)^(-$J$24/$M$8)))/(1-(1+P107)^(1/$M$8))</f>
        <v>-4096543.402922513</v>
      </c>
      <c r="T107" s="18">
        <f t="shared" ref="T107:T170" si="17">$E$4-$E$10-$E$11*(1+Q107)^(-$E$5/$L$9)-$E$13*(1+Q107)^(-$H$13/$L$9)-$E$14*(1+Q107)^(-$H$14/$L$9) +$E$24*((1-(1+Q107)^(-$E$5/$L$9)))/(1-(1+Q107)^(1/$L$9))+$E$17*((1-(1+Q107)^(-$J$20/$M$4)))/(1-(1+Q107)^(1/$M$4))+$E$18*((1-(1+Q107)^(-$J$21/$M$5)))/(1-(1+Q107)^(1/$M$5))+$E$19*((1-(1+Q107)^(-$J$22/$M$6)))/(1-(1+Q107)^(1/$M$6))+$E$20*((1-(1+Q107)^(-$J$23/$M$7)))/(1-(1+Q107)^(1/$M$7))+$E$21*((1-(1+Q107)^(-$J$24/$M$8)))/(1-(1+Q107)^(1/$M$8))</f>
        <v>3894207.2828773954</v>
      </c>
      <c r="U107" s="18">
        <f t="shared" ref="U107:U170" si="18">$E$4-$E$10-$E$11*(1+R107)^(-$E$5/$L$9)-$E$13*(1+R107)^(-$H$13/$L$9)-$E$14*(1+R107)^(-$H$14/$L$9) +$E$24*((1-(1+R107)^(-$E$5/$L$9)))/(1-(1+R107)^(1/$L$9))+$E$17*((1-(1+R107)^(-$J$20/$M$4)))/(1-(1+R107)^(1/$M$4))+$E$18*((1-(1+R107)^(-$J$21/$M$5)))/(1-(1+R107)^(1/$M$5))+$E$19*((1-(1+R107)^(-$J$22/$M$6)))/(1-(1+R107)^(1/$M$6))+$E$20*((1-(1+R107)^(-$J$23/$M$7)))/(1-(1+R107)^(1/$M$7))+$E$21*((1-(1+R107)^(-$J$24/$M$8)))/(1-(1+R107)^(1/$M$8))</f>
        <v>3856205.8539974457</v>
      </c>
    </row>
    <row r="108" spans="15:21" x14ac:dyDescent="0.25">
      <c r="O108" s="15">
        <v>102</v>
      </c>
      <c r="P108" s="15">
        <f t="shared" ref="P108:P171" si="19">IF(S107*U107&gt;=0,R107,P107)</f>
        <v>1E-10</v>
      </c>
      <c r="Q108" s="15">
        <f t="shared" ref="Q108:Q171" si="20">IF(T107*U107&gt;=0,R107,Q107)</f>
        <v>5.00000000005</v>
      </c>
      <c r="R108" s="15">
        <f t="shared" si="15"/>
        <v>2.500000000075</v>
      </c>
      <c r="S108" s="18">
        <f t="shared" si="16"/>
        <v>-4096543.402922513</v>
      </c>
      <c r="T108" s="18">
        <f t="shared" si="17"/>
        <v>3856205.8539974457</v>
      </c>
      <c r="U108" s="18">
        <f t="shared" si="18"/>
        <v>3791473.6705574365</v>
      </c>
    </row>
    <row r="109" spans="15:21" x14ac:dyDescent="0.25">
      <c r="O109" s="15">
        <v>103</v>
      </c>
      <c r="P109" s="15">
        <f t="shared" si="19"/>
        <v>1E-10</v>
      </c>
      <c r="Q109" s="15">
        <f t="shared" si="20"/>
        <v>2.500000000075</v>
      </c>
      <c r="R109" s="15">
        <f t="shared" si="15"/>
        <v>1.2500000000875</v>
      </c>
      <c r="S109" s="18">
        <f t="shared" si="16"/>
        <v>-4096543.402922513</v>
      </c>
      <c r="T109" s="18">
        <f t="shared" si="17"/>
        <v>3791473.6705574365</v>
      </c>
      <c r="U109" s="18">
        <f t="shared" si="18"/>
        <v>3674185.2838576422</v>
      </c>
    </row>
    <row r="110" spans="15:21" x14ac:dyDescent="0.25">
      <c r="O110" s="15">
        <v>104</v>
      </c>
      <c r="P110" s="15">
        <f t="shared" si="19"/>
        <v>1E-10</v>
      </c>
      <c r="Q110" s="15">
        <f t="shared" si="20"/>
        <v>1.2500000000875</v>
      </c>
      <c r="R110" s="15">
        <f t="shared" si="15"/>
        <v>0.62500000009375001</v>
      </c>
      <c r="S110" s="18">
        <f t="shared" si="16"/>
        <v>-4096543.402922513</v>
      </c>
      <c r="T110" s="18">
        <f t="shared" si="17"/>
        <v>3674185.2838576422</v>
      </c>
      <c r="U110" s="18">
        <f t="shared" si="18"/>
        <v>3451249.3171429066</v>
      </c>
    </row>
    <row r="111" spans="15:21" x14ac:dyDescent="0.25">
      <c r="O111" s="15">
        <v>105</v>
      </c>
      <c r="P111" s="15">
        <f t="shared" si="19"/>
        <v>1E-10</v>
      </c>
      <c r="Q111" s="15">
        <f t="shared" si="20"/>
        <v>0.62500000009375001</v>
      </c>
      <c r="R111" s="15">
        <f t="shared" si="15"/>
        <v>0.31250000009687501</v>
      </c>
      <c r="S111" s="18">
        <f t="shared" si="16"/>
        <v>-4096543.402922513</v>
      </c>
      <c r="T111" s="18">
        <f t="shared" si="17"/>
        <v>3451249.3171429066</v>
      </c>
      <c r="U111" s="18">
        <f t="shared" si="18"/>
        <v>3015194.1773318858</v>
      </c>
    </row>
    <row r="112" spans="15:21" x14ac:dyDescent="0.25">
      <c r="O112" s="15">
        <v>106</v>
      </c>
      <c r="P112" s="15">
        <f t="shared" si="19"/>
        <v>1E-10</v>
      </c>
      <c r="Q112" s="15">
        <f t="shared" si="20"/>
        <v>0.31250000009687501</v>
      </c>
      <c r="R112" s="15">
        <f t="shared" si="15"/>
        <v>0.15625000009843751</v>
      </c>
      <c r="S112" s="18">
        <f t="shared" si="16"/>
        <v>-4096543.402922513</v>
      </c>
      <c r="T112" s="18">
        <f t="shared" si="17"/>
        <v>3015194.1773318858</v>
      </c>
      <c r="U112" s="18">
        <f t="shared" si="18"/>
        <v>2172625.3949700431</v>
      </c>
    </row>
    <row r="113" spans="15:21" x14ac:dyDescent="0.25">
      <c r="O113" s="15">
        <v>107</v>
      </c>
      <c r="P113" s="15">
        <f t="shared" si="19"/>
        <v>1E-10</v>
      </c>
      <c r="Q113" s="15">
        <f t="shared" si="20"/>
        <v>0.15625000009843751</v>
      </c>
      <c r="R113" s="15">
        <f t="shared" si="15"/>
        <v>7.8125000099218758E-2</v>
      </c>
      <c r="S113" s="18">
        <f t="shared" si="16"/>
        <v>-4096543.402922513</v>
      </c>
      <c r="T113" s="18">
        <f t="shared" si="17"/>
        <v>2172625.3949700431</v>
      </c>
      <c r="U113" s="18">
        <f t="shared" si="18"/>
        <v>795277.15576752613</v>
      </c>
    </row>
    <row r="114" spans="15:21" x14ac:dyDescent="0.25">
      <c r="O114" s="15">
        <v>108</v>
      </c>
      <c r="P114" s="15">
        <f t="shared" si="19"/>
        <v>1E-10</v>
      </c>
      <c r="Q114" s="15">
        <f t="shared" si="20"/>
        <v>7.8125000099218758E-2</v>
      </c>
      <c r="R114" s="15">
        <f t="shared" si="15"/>
        <v>3.9062500099609376E-2</v>
      </c>
      <c r="S114" s="18">
        <f t="shared" si="16"/>
        <v>-4096543.402922513</v>
      </c>
      <c r="T114" s="18">
        <f t="shared" si="17"/>
        <v>795277.15576752613</v>
      </c>
      <c r="U114" s="18">
        <f t="shared" si="18"/>
        <v>-806130.79722869582</v>
      </c>
    </row>
    <row r="115" spans="15:21" x14ac:dyDescent="0.25">
      <c r="O115" s="15">
        <v>109</v>
      </c>
      <c r="P115" s="15">
        <f t="shared" si="19"/>
        <v>3.9062500099609376E-2</v>
      </c>
      <c r="Q115" s="15">
        <f t="shared" si="20"/>
        <v>7.8125000099218758E-2</v>
      </c>
      <c r="R115" s="15">
        <f t="shared" si="15"/>
        <v>5.8593750099414067E-2</v>
      </c>
      <c r="S115" s="18">
        <f t="shared" si="16"/>
        <v>-806130.79722869582</v>
      </c>
      <c r="T115" s="18">
        <f t="shared" si="17"/>
        <v>795277.15576752613</v>
      </c>
      <c r="U115" s="18">
        <f t="shared" si="18"/>
        <v>125998.37751938807</v>
      </c>
    </row>
    <row r="116" spans="15:21" x14ac:dyDescent="0.25">
      <c r="O116" s="15">
        <v>110</v>
      </c>
      <c r="P116" s="15">
        <f t="shared" si="19"/>
        <v>3.9062500099609376E-2</v>
      </c>
      <c r="Q116" s="15">
        <f t="shared" si="20"/>
        <v>5.8593750099414067E-2</v>
      </c>
      <c r="R116" s="15">
        <f t="shared" si="15"/>
        <v>4.8828125099511718E-2</v>
      </c>
      <c r="S116" s="18">
        <f t="shared" si="16"/>
        <v>-806130.79722869582</v>
      </c>
      <c r="T116" s="18">
        <f t="shared" si="17"/>
        <v>125998.37751938807</v>
      </c>
      <c r="U116" s="18">
        <f t="shared" si="18"/>
        <v>-300117.85427544912</v>
      </c>
    </row>
    <row r="117" spans="15:21" x14ac:dyDescent="0.25">
      <c r="O117" s="15">
        <v>111</v>
      </c>
      <c r="P117" s="15">
        <f t="shared" si="19"/>
        <v>4.8828125099511718E-2</v>
      </c>
      <c r="Q117" s="15">
        <f t="shared" si="20"/>
        <v>5.8593750099414067E-2</v>
      </c>
      <c r="R117" s="15">
        <f t="shared" si="15"/>
        <v>5.3710937599462896E-2</v>
      </c>
      <c r="S117" s="18">
        <f t="shared" si="16"/>
        <v>-300117.85427544912</v>
      </c>
      <c r="T117" s="18">
        <f t="shared" si="17"/>
        <v>125998.37751938807</v>
      </c>
      <c r="U117" s="18">
        <f t="shared" si="18"/>
        <v>-78089.717054340348</v>
      </c>
    </row>
    <row r="118" spans="15:21" x14ac:dyDescent="0.25">
      <c r="O118" s="15">
        <v>112</v>
      </c>
      <c r="P118" s="15">
        <f t="shared" si="19"/>
        <v>5.3710937599462896E-2</v>
      </c>
      <c r="Q118" s="15">
        <f t="shared" si="20"/>
        <v>5.8593750099414067E-2</v>
      </c>
      <c r="R118" s="15">
        <f t="shared" si="15"/>
        <v>5.6152343849438485E-2</v>
      </c>
      <c r="S118" s="18">
        <f t="shared" si="16"/>
        <v>-78089.717054340348</v>
      </c>
      <c r="T118" s="18">
        <f t="shared" si="17"/>
        <v>125998.37751938807</v>
      </c>
      <c r="U118" s="18">
        <f t="shared" si="18"/>
        <v>26082.431833555249</v>
      </c>
    </row>
    <row r="119" spans="15:21" x14ac:dyDescent="0.25">
      <c r="O119" s="15">
        <v>113</v>
      </c>
      <c r="P119" s="15">
        <f t="shared" si="19"/>
        <v>5.3710937599462896E-2</v>
      </c>
      <c r="Q119" s="15">
        <f t="shared" si="20"/>
        <v>5.6152343849438485E-2</v>
      </c>
      <c r="R119" s="15">
        <f t="shared" si="15"/>
        <v>5.4931640724450691E-2</v>
      </c>
      <c r="S119" s="18">
        <f t="shared" si="16"/>
        <v>-78089.717054340348</v>
      </c>
      <c r="T119" s="18">
        <f t="shared" si="17"/>
        <v>26082.431833555249</v>
      </c>
      <c r="U119" s="18">
        <f t="shared" si="18"/>
        <v>-25457.838380042806</v>
      </c>
    </row>
    <row r="120" spans="15:21" x14ac:dyDescent="0.25">
      <c r="O120" s="15">
        <v>114</v>
      </c>
      <c r="P120" s="15">
        <f t="shared" si="19"/>
        <v>5.4931640724450691E-2</v>
      </c>
      <c r="Q120" s="15">
        <f t="shared" si="20"/>
        <v>5.6152343849438485E-2</v>
      </c>
      <c r="R120" s="15">
        <f t="shared" si="15"/>
        <v>5.5541992286944591E-2</v>
      </c>
      <c r="S120" s="18">
        <f t="shared" si="16"/>
        <v>-25457.838380042806</v>
      </c>
      <c r="T120" s="18">
        <f t="shared" si="17"/>
        <v>26082.431833555249</v>
      </c>
      <c r="U120" s="18">
        <f t="shared" si="18"/>
        <v>446.99396819314325</v>
      </c>
    </row>
    <row r="121" spans="15:21" x14ac:dyDescent="0.25">
      <c r="O121" s="15">
        <v>115</v>
      </c>
      <c r="P121" s="15">
        <f t="shared" si="19"/>
        <v>5.4931640724450691E-2</v>
      </c>
      <c r="Q121" s="15">
        <f t="shared" si="20"/>
        <v>5.5541992286944591E-2</v>
      </c>
      <c r="R121" s="15">
        <f t="shared" si="15"/>
        <v>5.5236816505697645E-2</v>
      </c>
      <c r="S121" s="18">
        <f t="shared" si="16"/>
        <v>-25457.838380042806</v>
      </c>
      <c r="T121" s="18">
        <f t="shared" si="17"/>
        <v>446.99396819314325</v>
      </c>
      <c r="U121" s="18">
        <f t="shared" si="18"/>
        <v>-12471.530669613465</v>
      </c>
    </row>
    <row r="122" spans="15:21" x14ac:dyDescent="0.25">
      <c r="O122" s="15">
        <v>116</v>
      </c>
      <c r="P122" s="15">
        <f t="shared" si="19"/>
        <v>5.5236816505697645E-2</v>
      </c>
      <c r="Q122" s="15">
        <f t="shared" si="20"/>
        <v>5.5541992286944591E-2</v>
      </c>
      <c r="R122" s="15">
        <f t="shared" si="15"/>
        <v>5.5389404396321118E-2</v>
      </c>
      <c r="S122" s="18">
        <f t="shared" si="16"/>
        <v>-12471.530669613465</v>
      </c>
      <c r="T122" s="18">
        <f t="shared" si="17"/>
        <v>446.99396819314325</v>
      </c>
      <c r="U122" s="18">
        <f t="shared" si="18"/>
        <v>-6003.8227437936475</v>
      </c>
    </row>
    <row r="123" spans="15:21" x14ac:dyDescent="0.25">
      <c r="O123" s="15">
        <v>117</v>
      </c>
      <c r="P123" s="15">
        <f t="shared" si="19"/>
        <v>5.5389404396321118E-2</v>
      </c>
      <c r="Q123" s="15">
        <f t="shared" si="20"/>
        <v>5.5541992286944591E-2</v>
      </c>
      <c r="R123" s="15">
        <f t="shared" si="15"/>
        <v>5.5465698341632855E-2</v>
      </c>
      <c r="S123" s="18">
        <f t="shared" si="16"/>
        <v>-6003.8227437936475</v>
      </c>
      <c r="T123" s="18">
        <f t="shared" si="17"/>
        <v>446.99396819314325</v>
      </c>
      <c r="U123" s="18">
        <f t="shared" si="18"/>
        <v>-2776.3063849629848</v>
      </c>
    </row>
    <row r="124" spans="15:21" x14ac:dyDescent="0.25">
      <c r="O124" s="15">
        <v>118</v>
      </c>
      <c r="P124" s="15">
        <f t="shared" si="19"/>
        <v>5.5465698341632855E-2</v>
      </c>
      <c r="Q124" s="15">
        <f t="shared" si="20"/>
        <v>5.5541992286944591E-2</v>
      </c>
      <c r="R124" s="15">
        <f t="shared" si="15"/>
        <v>5.5503845314288723E-2</v>
      </c>
      <c r="S124" s="18">
        <f t="shared" si="16"/>
        <v>-2776.3063849629848</v>
      </c>
      <c r="T124" s="18">
        <f t="shared" si="17"/>
        <v>446.99396819314325</v>
      </c>
      <c r="U124" s="18">
        <f t="shared" si="18"/>
        <v>-1164.1296318378991</v>
      </c>
    </row>
    <row r="125" spans="15:21" x14ac:dyDescent="0.25">
      <c r="O125" s="15">
        <v>119</v>
      </c>
      <c r="P125" s="15">
        <f t="shared" si="19"/>
        <v>5.5503845314288723E-2</v>
      </c>
      <c r="Q125" s="15">
        <f t="shared" si="20"/>
        <v>5.5541992286944591E-2</v>
      </c>
      <c r="R125" s="15">
        <f t="shared" si="15"/>
        <v>5.5522918800616661E-2</v>
      </c>
      <c r="S125" s="18">
        <f t="shared" si="16"/>
        <v>-1164.1296318378991</v>
      </c>
      <c r="T125" s="18">
        <f t="shared" si="17"/>
        <v>446.99396819314325</v>
      </c>
      <c r="U125" s="18">
        <f t="shared" si="18"/>
        <v>-358.43624065257518</v>
      </c>
    </row>
    <row r="126" spans="15:21" x14ac:dyDescent="0.25">
      <c r="O126" s="15">
        <v>120</v>
      </c>
      <c r="P126" s="15">
        <f t="shared" si="19"/>
        <v>5.5522918800616661E-2</v>
      </c>
      <c r="Q126" s="15">
        <f t="shared" si="20"/>
        <v>5.5541992286944591E-2</v>
      </c>
      <c r="R126" s="15">
        <f t="shared" si="15"/>
        <v>5.5532455543780626E-2</v>
      </c>
      <c r="S126" s="18">
        <f t="shared" si="16"/>
        <v>-358.43624065257518</v>
      </c>
      <c r="T126" s="18">
        <f t="shared" si="17"/>
        <v>446.99396819314325</v>
      </c>
      <c r="U126" s="18">
        <f t="shared" si="18"/>
        <v>44.311754848723922</v>
      </c>
    </row>
    <row r="127" spans="15:21" x14ac:dyDescent="0.25">
      <c r="O127" s="15">
        <v>121</v>
      </c>
      <c r="P127" s="15">
        <f t="shared" si="19"/>
        <v>5.5522918800616661E-2</v>
      </c>
      <c r="Q127" s="15">
        <f t="shared" si="20"/>
        <v>5.5532455543780626E-2</v>
      </c>
      <c r="R127" s="15">
        <f t="shared" si="15"/>
        <v>5.5527687172198643E-2</v>
      </c>
      <c r="S127" s="18">
        <f t="shared" si="16"/>
        <v>-358.43624065257518</v>
      </c>
      <c r="T127" s="18">
        <f t="shared" si="17"/>
        <v>44.311754848723922</v>
      </c>
      <c r="U127" s="18">
        <f t="shared" si="18"/>
        <v>-157.05401933347866</v>
      </c>
    </row>
    <row r="128" spans="15:21" x14ac:dyDescent="0.25">
      <c r="O128" s="15">
        <v>122</v>
      </c>
      <c r="P128" s="15">
        <f t="shared" si="19"/>
        <v>5.5527687172198643E-2</v>
      </c>
      <c r="Q128" s="15">
        <f t="shared" si="20"/>
        <v>5.5532455543780626E-2</v>
      </c>
      <c r="R128" s="15">
        <f t="shared" si="15"/>
        <v>5.5530071357989638E-2</v>
      </c>
      <c r="S128" s="18">
        <f t="shared" si="16"/>
        <v>-157.05401933347866</v>
      </c>
      <c r="T128" s="18">
        <f t="shared" si="17"/>
        <v>44.311754848723922</v>
      </c>
      <c r="U128" s="18">
        <f t="shared" si="18"/>
        <v>-56.369076355117159</v>
      </c>
    </row>
    <row r="129" spans="15:21" x14ac:dyDescent="0.25">
      <c r="O129" s="15">
        <v>123</v>
      </c>
      <c r="P129" s="15">
        <f t="shared" si="19"/>
        <v>5.5530071357989638E-2</v>
      </c>
      <c r="Q129" s="15">
        <f t="shared" si="20"/>
        <v>5.5532455543780626E-2</v>
      </c>
      <c r="R129" s="15">
        <f t="shared" si="15"/>
        <v>5.5531263450885132E-2</v>
      </c>
      <c r="S129" s="18">
        <f t="shared" si="16"/>
        <v>-56.369076355117159</v>
      </c>
      <c r="T129" s="18">
        <f t="shared" si="17"/>
        <v>44.311754848723922</v>
      </c>
      <c r="U129" s="18">
        <f t="shared" si="18"/>
        <v>-6.0281466950696085</v>
      </c>
    </row>
    <row r="130" spans="15:21" x14ac:dyDescent="0.25">
      <c r="O130" s="15">
        <v>124</v>
      </c>
      <c r="P130" s="15">
        <f t="shared" si="19"/>
        <v>5.5531263450885132E-2</v>
      </c>
      <c r="Q130" s="15">
        <f t="shared" si="20"/>
        <v>5.5532455543780626E-2</v>
      </c>
      <c r="R130" s="15">
        <f t="shared" si="15"/>
        <v>5.5531859497332879E-2</v>
      </c>
      <c r="S130" s="18">
        <f t="shared" si="16"/>
        <v>-6.0281466950696085</v>
      </c>
      <c r="T130" s="18">
        <f t="shared" si="17"/>
        <v>44.311754848723922</v>
      </c>
      <c r="U130" s="18">
        <f t="shared" si="18"/>
        <v>19.14193263652578</v>
      </c>
    </row>
    <row r="131" spans="15:21" x14ac:dyDescent="0.25">
      <c r="O131" s="15">
        <v>125</v>
      </c>
      <c r="P131" s="15">
        <f t="shared" si="19"/>
        <v>5.5531263450885132E-2</v>
      </c>
      <c r="Q131" s="15">
        <f t="shared" si="20"/>
        <v>5.5531859497332879E-2</v>
      </c>
      <c r="R131" s="15">
        <f t="shared" si="15"/>
        <v>5.5531561474109009E-2</v>
      </c>
      <c r="S131" s="18">
        <f t="shared" si="16"/>
        <v>-6.0281466950696085</v>
      </c>
      <c r="T131" s="18">
        <f t="shared" si="17"/>
        <v>19.14193263652578</v>
      </c>
      <c r="U131" s="18">
        <f t="shared" si="18"/>
        <v>6.5569249377172127</v>
      </c>
    </row>
    <row r="132" spans="15:21" x14ac:dyDescent="0.25">
      <c r="O132" s="15">
        <v>126</v>
      </c>
      <c r="P132" s="15">
        <f t="shared" si="19"/>
        <v>5.5531263450885132E-2</v>
      </c>
      <c r="Q132" s="15">
        <f t="shared" si="20"/>
        <v>5.5531561474109009E-2</v>
      </c>
      <c r="R132" s="15">
        <f t="shared" si="15"/>
        <v>5.5531412462497071E-2</v>
      </c>
      <c r="S132" s="18">
        <f t="shared" si="16"/>
        <v>-6.0281466950696085</v>
      </c>
      <c r="T132" s="18">
        <f t="shared" si="17"/>
        <v>6.5569249377172127</v>
      </c>
      <c r="U132" s="18">
        <f t="shared" si="18"/>
        <v>0.26439706673954788</v>
      </c>
    </row>
    <row r="133" spans="15:21" x14ac:dyDescent="0.25">
      <c r="O133" s="15">
        <v>127</v>
      </c>
      <c r="P133" s="15">
        <f t="shared" si="19"/>
        <v>5.5531263450885132E-2</v>
      </c>
      <c r="Q133" s="15">
        <f t="shared" si="20"/>
        <v>5.5531412462497071E-2</v>
      </c>
      <c r="R133" s="15">
        <f t="shared" si="15"/>
        <v>5.5531337956691101E-2</v>
      </c>
      <c r="S133" s="18">
        <f t="shared" si="16"/>
        <v>-6.0281466950696085</v>
      </c>
      <c r="T133" s="18">
        <f t="shared" si="17"/>
        <v>0.26439706673954788</v>
      </c>
      <c r="U133" s="18">
        <f t="shared" si="18"/>
        <v>-2.881872878510876</v>
      </c>
    </row>
    <row r="134" spans="15:21" x14ac:dyDescent="0.25">
      <c r="O134" s="15">
        <v>128</v>
      </c>
      <c r="P134" s="15">
        <f t="shared" si="19"/>
        <v>5.5531337956691101E-2</v>
      </c>
      <c r="Q134" s="15">
        <f t="shared" si="20"/>
        <v>5.5531412462497071E-2</v>
      </c>
      <c r="R134" s="15">
        <f t="shared" si="15"/>
        <v>5.5531375209594086E-2</v>
      </c>
      <c r="S134" s="18">
        <f t="shared" si="16"/>
        <v>-2.881872878510876</v>
      </c>
      <c r="T134" s="18">
        <f t="shared" si="17"/>
        <v>0.26439706673954788</v>
      </c>
      <c r="U134" s="18">
        <f t="shared" si="18"/>
        <v>-1.3087372517161384</v>
      </c>
    </row>
    <row r="135" spans="15:21" x14ac:dyDescent="0.25">
      <c r="O135" s="15">
        <v>129</v>
      </c>
      <c r="P135" s="15">
        <f t="shared" si="19"/>
        <v>5.5531375209594086E-2</v>
      </c>
      <c r="Q135" s="15">
        <f t="shared" si="20"/>
        <v>5.5531412462497071E-2</v>
      </c>
      <c r="R135" s="15">
        <f t="shared" si="15"/>
        <v>5.5531393836045578E-2</v>
      </c>
      <c r="S135" s="18">
        <f t="shared" si="16"/>
        <v>-1.3087372517161384</v>
      </c>
      <c r="T135" s="18">
        <f t="shared" si="17"/>
        <v>0.26439706673954788</v>
      </c>
      <c r="U135" s="18">
        <f t="shared" si="18"/>
        <v>-0.52216988075042536</v>
      </c>
    </row>
    <row r="136" spans="15:21" x14ac:dyDescent="0.25">
      <c r="O136" s="15">
        <v>130</v>
      </c>
      <c r="P136" s="15">
        <f t="shared" si="19"/>
        <v>5.5531393836045578E-2</v>
      </c>
      <c r="Q136" s="15">
        <f t="shared" si="20"/>
        <v>5.5531412462497071E-2</v>
      </c>
      <c r="R136" s="15">
        <f t="shared" si="15"/>
        <v>5.5531403149271324E-2</v>
      </c>
      <c r="S136" s="18">
        <f t="shared" si="16"/>
        <v>-0.52216988075042536</v>
      </c>
      <c r="T136" s="18">
        <f t="shared" si="17"/>
        <v>0.26439706673954788</v>
      </c>
      <c r="U136" s="18">
        <f t="shared" si="18"/>
        <v>-0.12888637811010994</v>
      </c>
    </row>
    <row r="137" spans="15:21" x14ac:dyDescent="0.25">
      <c r="O137" s="15">
        <v>131</v>
      </c>
      <c r="P137" s="15">
        <f t="shared" si="19"/>
        <v>5.5531403149271324E-2</v>
      </c>
      <c r="Q137" s="15">
        <f t="shared" si="20"/>
        <v>5.5531412462497071E-2</v>
      </c>
      <c r="R137" s="15">
        <f t="shared" si="15"/>
        <v>5.5531407805884198E-2</v>
      </c>
      <c r="S137" s="18">
        <f t="shared" si="16"/>
        <v>-0.12888637811010994</v>
      </c>
      <c r="T137" s="18">
        <f t="shared" si="17"/>
        <v>0.26439706673954788</v>
      </c>
      <c r="U137" s="18">
        <f t="shared" si="18"/>
        <v>6.7755447696981719E-2</v>
      </c>
    </row>
    <row r="138" spans="15:21" x14ac:dyDescent="0.25">
      <c r="O138" s="15">
        <v>132</v>
      </c>
      <c r="P138" s="15">
        <f t="shared" si="19"/>
        <v>5.5531403149271324E-2</v>
      </c>
      <c r="Q138" s="15">
        <f t="shared" si="20"/>
        <v>5.5531407805884198E-2</v>
      </c>
      <c r="R138" s="15">
        <f t="shared" si="15"/>
        <v>5.5531405477577761E-2</v>
      </c>
      <c r="S138" s="18">
        <f t="shared" si="16"/>
        <v>-0.12888637811010994</v>
      </c>
      <c r="T138" s="18">
        <f t="shared" si="17"/>
        <v>6.7755447696981719E-2</v>
      </c>
      <c r="U138" s="18">
        <f t="shared" si="18"/>
        <v>-3.0565462876893434E-2</v>
      </c>
    </row>
    <row r="139" spans="15:21" x14ac:dyDescent="0.25">
      <c r="O139" s="15">
        <v>133</v>
      </c>
      <c r="P139" s="15">
        <f t="shared" si="19"/>
        <v>5.5531405477577761E-2</v>
      </c>
      <c r="Q139" s="15">
        <f t="shared" si="20"/>
        <v>5.5531407805884198E-2</v>
      </c>
      <c r="R139" s="15">
        <f t="shared" si="15"/>
        <v>5.5531406641730979E-2</v>
      </c>
      <c r="S139" s="18">
        <f t="shared" si="16"/>
        <v>-3.0565462876893434E-2</v>
      </c>
      <c r="T139" s="18">
        <f t="shared" si="17"/>
        <v>6.7755447696981719E-2</v>
      </c>
      <c r="U139" s="18">
        <f t="shared" si="18"/>
        <v>1.8594893689623859E-2</v>
      </c>
    </row>
    <row r="140" spans="15:21" x14ac:dyDescent="0.25">
      <c r="O140" s="15">
        <v>134</v>
      </c>
      <c r="P140" s="15">
        <f t="shared" si="19"/>
        <v>5.5531405477577761E-2</v>
      </c>
      <c r="Q140" s="15">
        <f t="shared" si="20"/>
        <v>5.5531406641730979E-2</v>
      </c>
      <c r="R140" s="15">
        <f t="shared" si="15"/>
        <v>5.553140605965437E-2</v>
      </c>
      <c r="S140" s="18">
        <f t="shared" si="16"/>
        <v>-3.0565462876893434E-2</v>
      </c>
      <c r="T140" s="18">
        <f t="shared" si="17"/>
        <v>1.8594893689623859E-2</v>
      </c>
      <c r="U140" s="18">
        <f t="shared" si="18"/>
        <v>-5.9851868049918266E-3</v>
      </c>
    </row>
    <row r="141" spans="15:21" x14ac:dyDescent="0.25">
      <c r="O141" s="15">
        <v>135</v>
      </c>
      <c r="P141" s="15">
        <f t="shared" si="19"/>
        <v>5.553140605965437E-2</v>
      </c>
      <c r="Q141" s="15">
        <f t="shared" si="20"/>
        <v>5.5531406641730979E-2</v>
      </c>
      <c r="R141" s="15">
        <f t="shared" si="15"/>
        <v>5.5531406350692675E-2</v>
      </c>
      <c r="S141" s="18">
        <f t="shared" si="16"/>
        <v>-5.9851868049918266E-3</v>
      </c>
      <c r="T141" s="18">
        <f t="shared" si="17"/>
        <v>1.8594893689623859E-2</v>
      </c>
      <c r="U141" s="18">
        <f t="shared" si="18"/>
        <v>6.3048541405805736E-3</v>
      </c>
    </row>
    <row r="142" spans="15:21" x14ac:dyDescent="0.25">
      <c r="O142" s="15">
        <v>136</v>
      </c>
      <c r="P142" s="15">
        <f t="shared" si="19"/>
        <v>5.553140605965437E-2</v>
      </c>
      <c r="Q142" s="15">
        <f t="shared" si="20"/>
        <v>5.5531406350692675E-2</v>
      </c>
      <c r="R142" s="15">
        <f t="shared" si="15"/>
        <v>5.5531406205173522E-2</v>
      </c>
      <c r="S142" s="18">
        <f t="shared" si="16"/>
        <v>-5.9851868049918266E-3</v>
      </c>
      <c r="T142" s="18">
        <f t="shared" si="17"/>
        <v>6.3048541405805736E-3</v>
      </c>
      <c r="U142" s="18">
        <f t="shared" si="18"/>
        <v>1.5973541303537786E-4</v>
      </c>
    </row>
    <row r="143" spans="15:21" x14ac:dyDescent="0.25">
      <c r="O143" s="15">
        <v>137</v>
      </c>
      <c r="P143" s="15">
        <f t="shared" si="19"/>
        <v>5.553140605965437E-2</v>
      </c>
      <c r="Q143" s="15">
        <f t="shared" si="20"/>
        <v>5.5531406205173522E-2</v>
      </c>
      <c r="R143" s="15">
        <f t="shared" si="15"/>
        <v>5.5531406132413946E-2</v>
      </c>
      <c r="S143" s="18">
        <f t="shared" si="16"/>
        <v>-5.9851868049918266E-3</v>
      </c>
      <c r="T143" s="18">
        <f t="shared" si="17"/>
        <v>1.5973541303537786E-4</v>
      </c>
      <c r="U143" s="18">
        <f t="shared" si="18"/>
        <v>-2.9128244168532547E-3</v>
      </c>
    </row>
    <row r="144" spans="15:21" x14ac:dyDescent="0.25">
      <c r="O144" s="15">
        <v>138</v>
      </c>
      <c r="P144" s="15">
        <f t="shared" si="19"/>
        <v>5.5531406132413946E-2</v>
      </c>
      <c r="Q144" s="15">
        <f t="shared" si="20"/>
        <v>5.5531406205173522E-2</v>
      </c>
      <c r="R144" s="15">
        <f t="shared" si="15"/>
        <v>5.5531406168793734E-2</v>
      </c>
      <c r="S144" s="18">
        <f t="shared" si="16"/>
        <v>-2.9128244168532547E-3</v>
      </c>
      <c r="T144" s="18">
        <f t="shared" si="17"/>
        <v>1.5973541303537786E-4</v>
      </c>
      <c r="U144" s="18">
        <f t="shared" si="18"/>
        <v>-1.3764448494839598E-3</v>
      </c>
    </row>
    <row r="145" spans="15:21" x14ac:dyDescent="0.25">
      <c r="O145" s="15">
        <v>139</v>
      </c>
      <c r="P145" s="15">
        <f t="shared" si="19"/>
        <v>5.5531406168793734E-2</v>
      </c>
      <c r="Q145" s="15">
        <f t="shared" si="20"/>
        <v>5.5531406205173522E-2</v>
      </c>
      <c r="R145" s="15">
        <f t="shared" si="15"/>
        <v>5.5531406186983628E-2</v>
      </c>
      <c r="S145" s="18">
        <f t="shared" si="16"/>
        <v>-1.3764448494839598E-3</v>
      </c>
      <c r="T145" s="18">
        <f t="shared" si="17"/>
        <v>1.5973541303537786E-4</v>
      </c>
      <c r="U145" s="18">
        <f t="shared" si="18"/>
        <v>-6.0825809396192199E-4</v>
      </c>
    </row>
    <row r="146" spans="15:21" x14ac:dyDescent="0.25">
      <c r="O146" s="15">
        <v>140</v>
      </c>
      <c r="P146" s="15">
        <f t="shared" si="19"/>
        <v>5.5531406186983628E-2</v>
      </c>
      <c r="Q146" s="15">
        <f t="shared" si="20"/>
        <v>5.5531406205173522E-2</v>
      </c>
      <c r="R146" s="15">
        <f t="shared" si="15"/>
        <v>5.5531406196078575E-2</v>
      </c>
      <c r="S146" s="18">
        <f t="shared" si="16"/>
        <v>-6.0825809396192199E-4</v>
      </c>
      <c r="T146" s="18">
        <f t="shared" si="17"/>
        <v>1.5973541303537786E-4</v>
      </c>
      <c r="U146" s="18">
        <f t="shared" si="18"/>
        <v>-2.2426110808737576E-4</v>
      </c>
    </row>
    <row r="147" spans="15:21" x14ac:dyDescent="0.25">
      <c r="O147" s="15">
        <v>141</v>
      </c>
      <c r="P147" s="15">
        <f t="shared" si="19"/>
        <v>5.5531406196078575E-2</v>
      </c>
      <c r="Q147" s="15">
        <f t="shared" si="20"/>
        <v>5.5531406205173522E-2</v>
      </c>
      <c r="R147" s="15">
        <f t="shared" si="15"/>
        <v>5.5531406200626049E-2</v>
      </c>
      <c r="S147" s="18">
        <f t="shared" si="16"/>
        <v>-2.2426110808737576E-4</v>
      </c>
      <c r="T147" s="18">
        <f t="shared" si="17"/>
        <v>1.5973541303537786E-4</v>
      </c>
      <c r="U147" s="18">
        <f t="shared" si="18"/>
        <v>-3.2261682008538628E-5</v>
      </c>
    </row>
    <row r="148" spans="15:21" x14ac:dyDescent="0.25">
      <c r="O148" s="15">
        <v>142</v>
      </c>
      <c r="P148" s="15">
        <f t="shared" si="19"/>
        <v>5.5531406200626049E-2</v>
      </c>
      <c r="Q148" s="15">
        <f t="shared" si="20"/>
        <v>5.5531406205173522E-2</v>
      </c>
      <c r="R148" s="15">
        <f t="shared" si="15"/>
        <v>5.5531406202899786E-2</v>
      </c>
      <c r="S148" s="18">
        <f t="shared" si="16"/>
        <v>-3.2261682008538628E-5</v>
      </c>
      <c r="T148" s="18">
        <f t="shared" si="17"/>
        <v>1.5973541303537786E-4</v>
      </c>
      <c r="U148" s="18">
        <f t="shared" si="18"/>
        <v>6.3735001731402008E-5</v>
      </c>
    </row>
    <row r="149" spans="15:21" x14ac:dyDescent="0.25">
      <c r="O149" s="15">
        <v>143</v>
      </c>
      <c r="P149" s="15">
        <f t="shared" si="19"/>
        <v>5.5531406200626049E-2</v>
      </c>
      <c r="Q149" s="15">
        <f t="shared" si="20"/>
        <v>5.5531406202899786E-2</v>
      </c>
      <c r="R149" s="15">
        <f t="shared" si="15"/>
        <v>5.5531406201762917E-2</v>
      </c>
      <c r="S149" s="18">
        <f t="shared" si="16"/>
        <v>-3.2261682008538628E-5</v>
      </c>
      <c r="T149" s="18">
        <f t="shared" si="17"/>
        <v>6.3735001731402008E-5</v>
      </c>
      <c r="U149" s="18">
        <f t="shared" si="18"/>
        <v>1.5737591638753656E-5</v>
      </c>
    </row>
    <row r="150" spans="15:21" x14ac:dyDescent="0.25">
      <c r="O150" s="15">
        <v>144</v>
      </c>
      <c r="P150" s="15">
        <f t="shared" si="19"/>
        <v>5.5531406200626049E-2</v>
      </c>
      <c r="Q150" s="15">
        <f t="shared" si="20"/>
        <v>5.5531406201762917E-2</v>
      </c>
      <c r="R150" s="15">
        <f t="shared" si="15"/>
        <v>5.5531406201194483E-2</v>
      </c>
      <c r="S150" s="18">
        <f t="shared" si="16"/>
        <v>-3.2261682008538628E-5</v>
      </c>
      <c r="T150" s="18">
        <f t="shared" si="17"/>
        <v>1.5737591638753656E-5</v>
      </c>
      <c r="U150" s="18">
        <f t="shared" si="18"/>
        <v>-8.2643750829447526E-6</v>
      </c>
    </row>
    <row r="151" spans="15:21" x14ac:dyDescent="0.25">
      <c r="O151" s="15">
        <v>145</v>
      </c>
      <c r="P151" s="15">
        <f t="shared" si="19"/>
        <v>5.5531406201194483E-2</v>
      </c>
      <c r="Q151" s="15">
        <f t="shared" si="20"/>
        <v>5.5531406201762917E-2</v>
      </c>
      <c r="R151" s="15">
        <f t="shared" si="15"/>
        <v>5.55314062014787E-2</v>
      </c>
      <c r="S151" s="18">
        <f t="shared" si="16"/>
        <v>-8.2643750829447526E-6</v>
      </c>
      <c r="T151" s="18">
        <f t="shared" si="17"/>
        <v>1.5737591638753656E-5</v>
      </c>
      <c r="U151" s="18">
        <f t="shared" si="18"/>
        <v>3.8341636354743969E-6</v>
      </c>
    </row>
    <row r="152" spans="15:21" x14ac:dyDescent="0.25">
      <c r="O152" s="15">
        <v>146</v>
      </c>
      <c r="P152" s="15">
        <f t="shared" si="19"/>
        <v>5.5531406201194483E-2</v>
      </c>
      <c r="Q152" s="15">
        <f t="shared" si="20"/>
        <v>5.55314062014787E-2</v>
      </c>
      <c r="R152" s="15">
        <f t="shared" si="15"/>
        <v>5.5531406201336592E-2</v>
      </c>
      <c r="S152" s="18">
        <f t="shared" si="16"/>
        <v>-8.2643750829447526E-6</v>
      </c>
      <c r="T152" s="18">
        <f t="shared" si="17"/>
        <v>3.8341636354743969E-6</v>
      </c>
      <c r="U152" s="18">
        <f t="shared" si="18"/>
        <v>-2.2141739464132115E-6</v>
      </c>
    </row>
    <row r="153" spans="15:21" x14ac:dyDescent="0.25">
      <c r="O153" s="15">
        <v>147</v>
      </c>
      <c r="P153" s="15">
        <f t="shared" si="19"/>
        <v>5.5531406201336592E-2</v>
      </c>
      <c r="Q153" s="15">
        <f t="shared" si="20"/>
        <v>5.55314062014787E-2</v>
      </c>
      <c r="R153" s="15">
        <f t="shared" si="15"/>
        <v>5.5531406201407646E-2</v>
      </c>
      <c r="S153" s="18">
        <f t="shared" si="16"/>
        <v>-2.2141739464132115E-6</v>
      </c>
      <c r="T153" s="18">
        <f t="shared" si="17"/>
        <v>3.8341636354743969E-6</v>
      </c>
      <c r="U153" s="18">
        <f t="shared" si="18"/>
        <v>7.1383738031727262E-7</v>
      </c>
    </row>
    <row r="154" spans="15:21" x14ac:dyDescent="0.25">
      <c r="O154" s="15">
        <v>148</v>
      </c>
      <c r="P154" s="15">
        <f t="shared" si="19"/>
        <v>5.5531406201336592E-2</v>
      </c>
      <c r="Q154" s="15">
        <f t="shared" si="20"/>
        <v>5.5531406201407646E-2</v>
      </c>
      <c r="R154" s="15">
        <f t="shared" si="15"/>
        <v>5.5531406201372119E-2</v>
      </c>
      <c r="S154" s="18">
        <f t="shared" si="16"/>
        <v>-2.2141739464132115E-6</v>
      </c>
      <c r="T154" s="18">
        <f t="shared" si="17"/>
        <v>7.1383738031727262E-7</v>
      </c>
      <c r="U154" s="18">
        <f t="shared" si="18"/>
        <v>-6.5354470279999077E-7</v>
      </c>
    </row>
    <row r="155" spans="15:21" x14ac:dyDescent="0.25">
      <c r="O155" s="15">
        <v>149</v>
      </c>
      <c r="P155" s="15">
        <f t="shared" si="19"/>
        <v>5.5531406201372119E-2</v>
      </c>
      <c r="Q155" s="15">
        <f t="shared" si="20"/>
        <v>5.5531406201407646E-2</v>
      </c>
      <c r="R155" s="15">
        <f t="shared" si="15"/>
        <v>5.5531406201389882E-2</v>
      </c>
      <c r="S155" s="18">
        <f t="shared" si="16"/>
        <v>-6.5354470279999077E-7</v>
      </c>
      <c r="T155" s="18">
        <f t="shared" si="17"/>
        <v>7.1383738031727262E-7</v>
      </c>
      <c r="U155" s="18">
        <f t="shared" si="18"/>
        <v>3.0612227419624105E-8</v>
      </c>
    </row>
    <row r="156" spans="15:21" x14ac:dyDescent="0.25">
      <c r="O156" s="15">
        <v>150</v>
      </c>
      <c r="P156" s="15">
        <f t="shared" si="19"/>
        <v>5.5531406201372119E-2</v>
      </c>
      <c r="Q156" s="15">
        <f t="shared" si="20"/>
        <v>5.5531406201389882E-2</v>
      </c>
      <c r="R156" s="15">
        <f t="shared" si="15"/>
        <v>5.5531406201381001E-2</v>
      </c>
      <c r="S156" s="18">
        <f t="shared" si="16"/>
        <v>-6.5354470279999077E-7</v>
      </c>
      <c r="T156" s="18">
        <f t="shared" si="17"/>
        <v>3.0612227419624105E-8</v>
      </c>
      <c r="U156" s="18">
        <f t="shared" si="18"/>
        <v>-3.1053423299454153E-7</v>
      </c>
    </row>
    <row r="157" spans="15:21" x14ac:dyDescent="0.25">
      <c r="O157" s="15">
        <v>151</v>
      </c>
      <c r="P157" s="15">
        <f t="shared" si="19"/>
        <v>5.5531406201381001E-2</v>
      </c>
      <c r="Q157" s="15">
        <f t="shared" si="20"/>
        <v>5.5531406201389882E-2</v>
      </c>
      <c r="R157" s="15">
        <f t="shared" si="15"/>
        <v>5.5531406201385441E-2</v>
      </c>
      <c r="S157" s="18">
        <f t="shared" si="16"/>
        <v>-3.1053423299454153E-7</v>
      </c>
      <c r="T157" s="18">
        <f t="shared" si="17"/>
        <v>3.0612227419624105E-8</v>
      </c>
      <c r="U157" s="18">
        <f t="shared" si="18"/>
        <v>-2.3821530703571625E-7</v>
      </c>
    </row>
    <row r="158" spans="15:21" x14ac:dyDescent="0.25">
      <c r="O158" s="15">
        <v>152</v>
      </c>
      <c r="P158" s="15">
        <f t="shared" si="19"/>
        <v>5.5531406201385441E-2</v>
      </c>
      <c r="Q158" s="15">
        <f t="shared" si="20"/>
        <v>5.5531406201389882E-2</v>
      </c>
      <c r="R158" s="15">
        <f t="shared" si="15"/>
        <v>5.5531406201387662E-2</v>
      </c>
      <c r="S158" s="18">
        <f t="shared" si="16"/>
        <v>-2.3821530703571625E-7</v>
      </c>
      <c r="T158" s="18">
        <f t="shared" si="17"/>
        <v>3.0612227419624105E-8</v>
      </c>
      <c r="U158" s="18">
        <f t="shared" si="18"/>
        <v>-1.0403437045169994E-7</v>
      </c>
    </row>
    <row r="159" spans="15:21" x14ac:dyDescent="0.25">
      <c r="O159" s="15">
        <v>153</v>
      </c>
      <c r="P159" s="15">
        <f t="shared" si="19"/>
        <v>5.5531406201387662E-2</v>
      </c>
      <c r="Q159" s="15">
        <f t="shared" si="20"/>
        <v>5.5531406201389882E-2</v>
      </c>
      <c r="R159" s="15">
        <f t="shared" si="15"/>
        <v>5.5531406201388772E-2</v>
      </c>
      <c r="S159" s="18">
        <f t="shared" si="16"/>
        <v>-1.0403437045169994E-7</v>
      </c>
      <c r="T159" s="18">
        <f t="shared" si="17"/>
        <v>3.0612227419624105E-8</v>
      </c>
      <c r="U159" s="18">
        <f t="shared" si="18"/>
        <v>6.1310856835916638E-8</v>
      </c>
    </row>
    <row r="160" spans="15:21" x14ac:dyDescent="0.25">
      <c r="O160" s="15">
        <v>154</v>
      </c>
      <c r="P160" s="15">
        <f t="shared" si="19"/>
        <v>5.5531406201387662E-2</v>
      </c>
      <c r="Q160" s="15">
        <f t="shared" si="20"/>
        <v>5.5531406201388772E-2</v>
      </c>
      <c r="R160" s="15">
        <f t="shared" si="15"/>
        <v>5.5531406201388217E-2</v>
      </c>
      <c r="S160" s="18">
        <f t="shared" si="16"/>
        <v>-1.0403437045169994E-7</v>
      </c>
      <c r="T160" s="18">
        <f t="shared" si="17"/>
        <v>6.1310856835916638E-8</v>
      </c>
      <c r="U160" s="18">
        <f t="shared" si="18"/>
        <v>-1.2310601960052736E-7</v>
      </c>
    </row>
    <row r="161" spans="15:21" x14ac:dyDescent="0.25">
      <c r="O161" s="15">
        <v>155</v>
      </c>
      <c r="P161" s="15">
        <f t="shared" si="19"/>
        <v>5.5531406201388217E-2</v>
      </c>
      <c r="Q161" s="15">
        <f t="shared" si="20"/>
        <v>5.5531406201388772E-2</v>
      </c>
      <c r="R161" s="15">
        <f t="shared" si="15"/>
        <v>5.5531406201388495E-2</v>
      </c>
      <c r="S161" s="18">
        <f t="shared" si="16"/>
        <v>-1.2310601960052736E-7</v>
      </c>
      <c r="T161" s="18">
        <f t="shared" si="17"/>
        <v>6.1310856835916638E-8</v>
      </c>
      <c r="U161" s="18">
        <f t="shared" si="18"/>
        <v>-1.3054977898718789E-7</v>
      </c>
    </row>
    <row r="162" spans="15:21" x14ac:dyDescent="0.25">
      <c r="O162" s="15">
        <v>156</v>
      </c>
      <c r="P162" s="15">
        <f t="shared" si="19"/>
        <v>5.5531406201388495E-2</v>
      </c>
      <c r="Q162" s="15">
        <f t="shared" si="20"/>
        <v>5.5531406201388772E-2</v>
      </c>
      <c r="R162" s="15">
        <f t="shared" si="15"/>
        <v>5.5531406201388633E-2</v>
      </c>
      <c r="S162" s="18">
        <f t="shared" si="16"/>
        <v>-1.3054977898718789E-7</v>
      </c>
      <c r="T162" s="18">
        <f t="shared" si="17"/>
        <v>6.1310856835916638E-8</v>
      </c>
      <c r="U162" s="18">
        <f t="shared" si="18"/>
        <v>6.1310856835916638E-8</v>
      </c>
    </row>
    <row r="163" spans="15:21" x14ac:dyDescent="0.25">
      <c r="O163" s="15">
        <v>157</v>
      </c>
      <c r="P163" s="15">
        <f t="shared" si="19"/>
        <v>5.5531406201388495E-2</v>
      </c>
      <c r="Q163" s="15">
        <f t="shared" si="20"/>
        <v>5.5531406201388633E-2</v>
      </c>
      <c r="R163" s="15">
        <f t="shared" si="15"/>
        <v>5.5531406201388564E-2</v>
      </c>
      <c r="S163" s="18">
        <f t="shared" si="16"/>
        <v>-1.3054977898718789E-7</v>
      </c>
      <c r="T163" s="18">
        <f t="shared" si="17"/>
        <v>6.1310856835916638E-8</v>
      </c>
      <c r="U163" s="18">
        <f t="shared" si="18"/>
        <v>-1.3054977898718789E-7</v>
      </c>
    </row>
    <row r="164" spans="15:21" x14ac:dyDescent="0.25">
      <c r="O164" s="15">
        <v>158</v>
      </c>
      <c r="P164" s="15">
        <f t="shared" si="19"/>
        <v>5.5531406201388564E-2</v>
      </c>
      <c r="Q164" s="15">
        <f t="shared" si="20"/>
        <v>5.5531406201388633E-2</v>
      </c>
      <c r="R164" s="15">
        <f t="shared" si="15"/>
        <v>5.5531406201388599E-2</v>
      </c>
      <c r="S164" s="18">
        <f t="shared" si="16"/>
        <v>-1.3054977898718789E-7</v>
      </c>
      <c r="T164" s="18">
        <f t="shared" si="17"/>
        <v>6.1310856835916638E-8</v>
      </c>
      <c r="U164" s="18">
        <f t="shared" si="18"/>
        <v>-1.3054977898718789E-7</v>
      </c>
    </row>
    <row r="165" spans="15:21" x14ac:dyDescent="0.25">
      <c r="O165" s="15">
        <v>159</v>
      </c>
      <c r="P165" s="15">
        <f t="shared" si="19"/>
        <v>5.5531406201388599E-2</v>
      </c>
      <c r="Q165" s="15">
        <f t="shared" si="20"/>
        <v>5.5531406201388633E-2</v>
      </c>
      <c r="R165" s="15">
        <f t="shared" si="15"/>
        <v>5.5531406201388619E-2</v>
      </c>
      <c r="S165" s="18">
        <f t="shared" si="16"/>
        <v>-1.3054977898718789E-7</v>
      </c>
      <c r="T165" s="18">
        <f t="shared" si="17"/>
        <v>6.1310856835916638E-8</v>
      </c>
      <c r="U165" s="18">
        <f t="shared" si="18"/>
        <v>-1.3054977898718789E-7</v>
      </c>
    </row>
    <row r="166" spans="15:21" x14ac:dyDescent="0.25">
      <c r="O166" s="15">
        <v>160</v>
      </c>
      <c r="P166" s="15">
        <f t="shared" si="19"/>
        <v>5.5531406201388619E-2</v>
      </c>
      <c r="Q166" s="15">
        <f t="shared" si="20"/>
        <v>5.5531406201388633E-2</v>
      </c>
      <c r="R166" s="15">
        <f t="shared" si="15"/>
        <v>5.5531406201388626E-2</v>
      </c>
      <c r="S166" s="18">
        <f t="shared" si="16"/>
        <v>-1.3054977898718789E-7</v>
      </c>
      <c r="T166" s="18">
        <f t="shared" si="17"/>
        <v>6.1310856835916638E-8</v>
      </c>
      <c r="U166" s="18">
        <f t="shared" si="18"/>
        <v>-1.3054977898718789E-7</v>
      </c>
    </row>
    <row r="167" spans="15:21" x14ac:dyDescent="0.25">
      <c r="O167" s="15">
        <v>161</v>
      </c>
      <c r="P167" s="15">
        <f t="shared" si="19"/>
        <v>5.5531406201388626E-2</v>
      </c>
      <c r="Q167" s="15">
        <f t="shared" si="20"/>
        <v>5.5531406201388633E-2</v>
      </c>
      <c r="R167" s="15">
        <f t="shared" si="15"/>
        <v>5.5531406201388633E-2</v>
      </c>
      <c r="S167" s="18">
        <f t="shared" si="16"/>
        <v>-1.3054977898718789E-7</v>
      </c>
      <c r="T167" s="18">
        <f t="shared" si="17"/>
        <v>6.1310856835916638E-8</v>
      </c>
      <c r="U167" s="18">
        <f t="shared" si="18"/>
        <v>6.1310856835916638E-8</v>
      </c>
    </row>
    <row r="168" spans="15:21" x14ac:dyDescent="0.25">
      <c r="O168" s="15">
        <v>162</v>
      </c>
      <c r="P168" s="15">
        <f t="shared" si="19"/>
        <v>5.5531406201388626E-2</v>
      </c>
      <c r="Q168" s="15">
        <f t="shared" si="20"/>
        <v>5.5531406201388633E-2</v>
      </c>
      <c r="R168" s="15">
        <f t="shared" si="15"/>
        <v>5.5531406201388633E-2</v>
      </c>
      <c r="S168" s="18">
        <f t="shared" si="16"/>
        <v>-1.3054977898718789E-7</v>
      </c>
      <c r="T168" s="18">
        <f t="shared" si="17"/>
        <v>6.1310856835916638E-8</v>
      </c>
      <c r="U168" s="18">
        <f t="shared" si="18"/>
        <v>6.1310856835916638E-8</v>
      </c>
    </row>
    <row r="169" spans="15:21" x14ac:dyDescent="0.25">
      <c r="O169" s="15">
        <v>163</v>
      </c>
      <c r="P169" s="15">
        <f t="shared" si="19"/>
        <v>5.5531406201388626E-2</v>
      </c>
      <c r="Q169" s="15">
        <f t="shared" si="20"/>
        <v>5.5531406201388633E-2</v>
      </c>
      <c r="R169" s="15">
        <f t="shared" si="15"/>
        <v>5.5531406201388633E-2</v>
      </c>
      <c r="S169" s="18">
        <f t="shared" si="16"/>
        <v>-1.3054977898718789E-7</v>
      </c>
      <c r="T169" s="18">
        <f t="shared" si="17"/>
        <v>6.1310856835916638E-8</v>
      </c>
      <c r="U169" s="18">
        <f t="shared" si="18"/>
        <v>6.1310856835916638E-8</v>
      </c>
    </row>
    <row r="170" spans="15:21" x14ac:dyDescent="0.25">
      <c r="O170" s="15">
        <v>164</v>
      </c>
      <c r="P170" s="15">
        <f t="shared" si="19"/>
        <v>5.5531406201388626E-2</v>
      </c>
      <c r="Q170" s="15">
        <f t="shared" si="20"/>
        <v>5.5531406201388633E-2</v>
      </c>
      <c r="R170" s="15">
        <f t="shared" si="15"/>
        <v>5.5531406201388633E-2</v>
      </c>
      <c r="S170" s="18">
        <f t="shared" si="16"/>
        <v>-1.3054977898718789E-7</v>
      </c>
      <c r="T170" s="18">
        <f t="shared" si="17"/>
        <v>6.1310856835916638E-8</v>
      </c>
      <c r="U170" s="18">
        <f t="shared" si="18"/>
        <v>6.1310856835916638E-8</v>
      </c>
    </row>
    <row r="171" spans="15:21" x14ac:dyDescent="0.25">
      <c r="O171" s="15">
        <v>165</v>
      </c>
      <c r="P171" s="15">
        <f t="shared" si="19"/>
        <v>5.5531406201388626E-2</v>
      </c>
      <c r="Q171" s="15">
        <f t="shared" si="20"/>
        <v>5.5531406201388633E-2</v>
      </c>
      <c r="R171" s="15">
        <f t="shared" ref="R171:R234" si="21">(P171+Q171)/2</f>
        <v>5.5531406201388633E-2</v>
      </c>
      <c r="S171" s="18">
        <f t="shared" ref="S171:S234" si="22">$E$4-$E$10-$E$11*(1+P171)^(-$E$5/$L$9)-$E$13*(1+P171)^(-$H$13/$L$9)-$E$14*(1+P171)^(-$H$14/$L$9) +$E$24*((1-(1+P171)^(-$E$5/$L$9)))/(1-(1+P171)^(1/$L$9))+$E$17*((1-(1+P171)^(-$J$20/$M$4)))/(1-(1+P171)^(1/$M$4))+$E$18*((1-(1+P171)^(-$J$21/$M$5)))/(1-(1+P171)^(1/$M$5))+$E$19*((1-(1+P171)^(-$J$22/$M$6)))/(1-(1+P171)^(1/$M$6))+$E$20*((1-(1+P171)^(-$J$23/$M$7)))/(1-(1+P171)^(1/$M$7))+$E$21*((1-(1+P171)^(-$J$24/$M$8)))/(1-(1+P171)^(1/$M$8))</f>
        <v>-1.3054977898718789E-7</v>
      </c>
      <c r="T171" s="18">
        <f t="shared" ref="T171:T234" si="23">$E$4-$E$10-$E$11*(1+Q171)^(-$E$5/$L$9)-$E$13*(1+Q171)^(-$H$13/$L$9)-$E$14*(1+Q171)^(-$H$14/$L$9) +$E$24*((1-(1+Q171)^(-$E$5/$L$9)))/(1-(1+Q171)^(1/$L$9))+$E$17*((1-(1+Q171)^(-$J$20/$M$4)))/(1-(1+Q171)^(1/$M$4))+$E$18*((1-(1+Q171)^(-$J$21/$M$5)))/(1-(1+Q171)^(1/$M$5))+$E$19*((1-(1+Q171)^(-$J$22/$M$6)))/(1-(1+Q171)^(1/$M$6))+$E$20*((1-(1+Q171)^(-$J$23/$M$7)))/(1-(1+Q171)^(1/$M$7))+$E$21*((1-(1+Q171)^(-$J$24/$M$8)))/(1-(1+Q171)^(1/$M$8))</f>
        <v>6.1310856835916638E-8</v>
      </c>
      <c r="U171" s="18">
        <f t="shared" ref="U171:U234" si="24">$E$4-$E$10-$E$11*(1+R171)^(-$E$5/$L$9)-$E$13*(1+R171)^(-$H$13/$L$9)-$E$14*(1+R171)^(-$H$14/$L$9) +$E$24*((1-(1+R171)^(-$E$5/$L$9)))/(1-(1+R171)^(1/$L$9))+$E$17*((1-(1+R171)^(-$J$20/$M$4)))/(1-(1+R171)^(1/$M$4))+$E$18*((1-(1+R171)^(-$J$21/$M$5)))/(1-(1+R171)^(1/$M$5))+$E$19*((1-(1+R171)^(-$J$22/$M$6)))/(1-(1+R171)^(1/$M$6))+$E$20*((1-(1+R171)^(-$J$23/$M$7)))/(1-(1+R171)^(1/$M$7))+$E$21*((1-(1+R171)^(-$J$24/$M$8)))/(1-(1+R171)^(1/$M$8))</f>
        <v>6.1310856835916638E-8</v>
      </c>
    </row>
    <row r="172" spans="15:21" x14ac:dyDescent="0.25">
      <c r="O172" s="15">
        <v>166</v>
      </c>
      <c r="P172" s="15">
        <f t="shared" ref="P172:P206" si="25">IF(S171*U171&gt;=0,R171,P171)</f>
        <v>5.5531406201388626E-2</v>
      </c>
      <c r="Q172" s="15">
        <f t="shared" ref="Q172:Q206" si="26">IF(T171*U171&gt;=0,R171,Q171)</f>
        <v>5.5531406201388633E-2</v>
      </c>
      <c r="R172" s="15">
        <f t="shared" si="21"/>
        <v>5.5531406201388633E-2</v>
      </c>
      <c r="S172" s="18">
        <f t="shared" si="22"/>
        <v>-1.3054977898718789E-7</v>
      </c>
      <c r="T172" s="18">
        <f t="shared" si="23"/>
        <v>6.1310856835916638E-8</v>
      </c>
      <c r="U172" s="18">
        <f t="shared" si="24"/>
        <v>6.1310856835916638E-8</v>
      </c>
    </row>
    <row r="173" spans="15:21" x14ac:dyDescent="0.25">
      <c r="O173" s="15">
        <v>167</v>
      </c>
      <c r="P173" s="15">
        <f t="shared" si="25"/>
        <v>5.5531406201388626E-2</v>
      </c>
      <c r="Q173" s="15">
        <f t="shared" si="26"/>
        <v>5.5531406201388633E-2</v>
      </c>
      <c r="R173" s="15">
        <f t="shared" si="21"/>
        <v>5.5531406201388633E-2</v>
      </c>
      <c r="S173" s="18">
        <f t="shared" si="22"/>
        <v>-1.3054977898718789E-7</v>
      </c>
      <c r="T173" s="18">
        <f t="shared" si="23"/>
        <v>6.1310856835916638E-8</v>
      </c>
      <c r="U173" s="18">
        <f t="shared" si="24"/>
        <v>6.1310856835916638E-8</v>
      </c>
    </row>
    <row r="174" spans="15:21" x14ac:dyDescent="0.25">
      <c r="O174" s="15">
        <v>168</v>
      </c>
      <c r="P174" s="15">
        <f t="shared" si="25"/>
        <v>5.5531406201388626E-2</v>
      </c>
      <c r="Q174" s="15">
        <f t="shared" si="26"/>
        <v>5.5531406201388633E-2</v>
      </c>
      <c r="R174" s="15">
        <f t="shared" si="21"/>
        <v>5.5531406201388633E-2</v>
      </c>
      <c r="S174" s="18">
        <f t="shared" si="22"/>
        <v>-1.3054977898718789E-7</v>
      </c>
      <c r="T174" s="18">
        <f t="shared" si="23"/>
        <v>6.1310856835916638E-8</v>
      </c>
      <c r="U174" s="18">
        <f t="shared" si="24"/>
        <v>6.1310856835916638E-8</v>
      </c>
    </row>
    <row r="175" spans="15:21" x14ac:dyDescent="0.25">
      <c r="O175" s="15">
        <v>169</v>
      </c>
      <c r="P175" s="15">
        <f t="shared" si="25"/>
        <v>5.5531406201388626E-2</v>
      </c>
      <c r="Q175" s="15">
        <f t="shared" si="26"/>
        <v>5.5531406201388633E-2</v>
      </c>
      <c r="R175" s="15">
        <f t="shared" si="21"/>
        <v>5.5531406201388633E-2</v>
      </c>
      <c r="S175" s="18">
        <f t="shared" si="22"/>
        <v>-1.3054977898718789E-7</v>
      </c>
      <c r="T175" s="18">
        <f t="shared" si="23"/>
        <v>6.1310856835916638E-8</v>
      </c>
      <c r="U175" s="18">
        <f t="shared" si="24"/>
        <v>6.1310856835916638E-8</v>
      </c>
    </row>
    <row r="176" spans="15:21" x14ac:dyDescent="0.25">
      <c r="O176" s="15">
        <v>170</v>
      </c>
      <c r="P176" s="15">
        <f t="shared" si="25"/>
        <v>5.5531406201388626E-2</v>
      </c>
      <c r="Q176" s="15">
        <f t="shared" si="26"/>
        <v>5.5531406201388633E-2</v>
      </c>
      <c r="R176" s="15">
        <f t="shared" si="21"/>
        <v>5.5531406201388633E-2</v>
      </c>
      <c r="S176" s="18">
        <f t="shared" si="22"/>
        <v>-1.3054977898718789E-7</v>
      </c>
      <c r="T176" s="18">
        <f t="shared" si="23"/>
        <v>6.1310856835916638E-8</v>
      </c>
      <c r="U176" s="18">
        <f t="shared" si="24"/>
        <v>6.1310856835916638E-8</v>
      </c>
    </row>
    <row r="177" spans="15:21" x14ac:dyDescent="0.25">
      <c r="O177" s="15">
        <v>171</v>
      </c>
      <c r="P177" s="15">
        <f t="shared" si="25"/>
        <v>5.5531406201388626E-2</v>
      </c>
      <c r="Q177" s="15">
        <f t="shared" si="26"/>
        <v>5.5531406201388633E-2</v>
      </c>
      <c r="R177" s="15">
        <f t="shared" si="21"/>
        <v>5.5531406201388633E-2</v>
      </c>
      <c r="S177" s="18">
        <f t="shared" si="22"/>
        <v>-1.3054977898718789E-7</v>
      </c>
      <c r="T177" s="18">
        <f t="shared" si="23"/>
        <v>6.1310856835916638E-8</v>
      </c>
      <c r="U177" s="18">
        <f t="shared" si="24"/>
        <v>6.1310856835916638E-8</v>
      </c>
    </row>
    <row r="178" spans="15:21" x14ac:dyDescent="0.25">
      <c r="O178" s="15">
        <v>172</v>
      </c>
      <c r="P178" s="15">
        <f t="shared" si="25"/>
        <v>5.5531406201388626E-2</v>
      </c>
      <c r="Q178" s="15">
        <f t="shared" si="26"/>
        <v>5.5531406201388633E-2</v>
      </c>
      <c r="R178" s="15">
        <f t="shared" si="21"/>
        <v>5.5531406201388633E-2</v>
      </c>
      <c r="S178" s="18">
        <f t="shared" si="22"/>
        <v>-1.3054977898718789E-7</v>
      </c>
      <c r="T178" s="18">
        <f t="shared" si="23"/>
        <v>6.1310856835916638E-8</v>
      </c>
      <c r="U178" s="18">
        <f t="shared" si="24"/>
        <v>6.1310856835916638E-8</v>
      </c>
    </row>
    <row r="179" spans="15:21" x14ac:dyDescent="0.25">
      <c r="O179" s="15">
        <v>173</v>
      </c>
      <c r="P179" s="15">
        <f t="shared" si="25"/>
        <v>5.5531406201388626E-2</v>
      </c>
      <c r="Q179" s="15">
        <f t="shared" si="26"/>
        <v>5.5531406201388633E-2</v>
      </c>
      <c r="R179" s="15">
        <f t="shared" si="21"/>
        <v>5.5531406201388633E-2</v>
      </c>
      <c r="S179" s="18">
        <f t="shared" si="22"/>
        <v>-1.3054977898718789E-7</v>
      </c>
      <c r="T179" s="18">
        <f t="shared" si="23"/>
        <v>6.1310856835916638E-8</v>
      </c>
      <c r="U179" s="18">
        <f t="shared" si="24"/>
        <v>6.1310856835916638E-8</v>
      </c>
    </row>
    <row r="180" spans="15:21" x14ac:dyDescent="0.25">
      <c r="O180" s="15">
        <v>174</v>
      </c>
      <c r="P180" s="15">
        <f t="shared" si="25"/>
        <v>5.5531406201388626E-2</v>
      </c>
      <c r="Q180" s="15">
        <f t="shared" si="26"/>
        <v>5.5531406201388633E-2</v>
      </c>
      <c r="R180" s="15">
        <f t="shared" si="21"/>
        <v>5.5531406201388633E-2</v>
      </c>
      <c r="S180" s="18">
        <f t="shared" si="22"/>
        <v>-1.3054977898718789E-7</v>
      </c>
      <c r="T180" s="18">
        <f t="shared" si="23"/>
        <v>6.1310856835916638E-8</v>
      </c>
      <c r="U180" s="18">
        <f t="shared" si="24"/>
        <v>6.1310856835916638E-8</v>
      </c>
    </row>
    <row r="181" spans="15:21" x14ac:dyDescent="0.25">
      <c r="O181" s="15">
        <v>175</v>
      </c>
      <c r="P181" s="15">
        <f t="shared" si="25"/>
        <v>5.5531406201388626E-2</v>
      </c>
      <c r="Q181" s="15">
        <f t="shared" si="26"/>
        <v>5.5531406201388633E-2</v>
      </c>
      <c r="R181" s="15">
        <f t="shared" si="21"/>
        <v>5.5531406201388633E-2</v>
      </c>
      <c r="S181" s="18">
        <f t="shared" si="22"/>
        <v>-1.3054977898718789E-7</v>
      </c>
      <c r="T181" s="18">
        <f t="shared" si="23"/>
        <v>6.1310856835916638E-8</v>
      </c>
      <c r="U181" s="18">
        <f t="shared" si="24"/>
        <v>6.1310856835916638E-8</v>
      </c>
    </row>
    <row r="182" spans="15:21" x14ac:dyDescent="0.25">
      <c r="O182" s="15">
        <v>176</v>
      </c>
      <c r="P182" s="15">
        <f t="shared" si="25"/>
        <v>5.5531406201388626E-2</v>
      </c>
      <c r="Q182" s="15">
        <f t="shared" si="26"/>
        <v>5.5531406201388633E-2</v>
      </c>
      <c r="R182" s="15">
        <f t="shared" si="21"/>
        <v>5.5531406201388633E-2</v>
      </c>
      <c r="S182" s="18">
        <f t="shared" si="22"/>
        <v>-1.3054977898718789E-7</v>
      </c>
      <c r="T182" s="18">
        <f t="shared" si="23"/>
        <v>6.1310856835916638E-8</v>
      </c>
      <c r="U182" s="18">
        <f t="shared" si="24"/>
        <v>6.1310856835916638E-8</v>
      </c>
    </row>
    <row r="183" spans="15:21" x14ac:dyDescent="0.25">
      <c r="O183" s="15">
        <v>177</v>
      </c>
      <c r="P183" s="15">
        <f t="shared" si="25"/>
        <v>5.5531406201388626E-2</v>
      </c>
      <c r="Q183" s="15">
        <f t="shared" si="26"/>
        <v>5.5531406201388633E-2</v>
      </c>
      <c r="R183" s="15">
        <f t="shared" si="21"/>
        <v>5.5531406201388633E-2</v>
      </c>
      <c r="S183" s="18">
        <f t="shared" si="22"/>
        <v>-1.3054977898718789E-7</v>
      </c>
      <c r="T183" s="18">
        <f t="shared" si="23"/>
        <v>6.1310856835916638E-8</v>
      </c>
      <c r="U183" s="18">
        <f t="shared" si="24"/>
        <v>6.1310856835916638E-8</v>
      </c>
    </row>
    <row r="184" spans="15:21" x14ac:dyDescent="0.25">
      <c r="O184" s="15">
        <v>178</v>
      </c>
      <c r="P184" s="15">
        <f t="shared" si="25"/>
        <v>5.5531406201388626E-2</v>
      </c>
      <c r="Q184" s="15">
        <f t="shared" si="26"/>
        <v>5.5531406201388633E-2</v>
      </c>
      <c r="R184" s="15">
        <f t="shared" si="21"/>
        <v>5.5531406201388633E-2</v>
      </c>
      <c r="S184" s="18">
        <f t="shared" si="22"/>
        <v>-1.3054977898718789E-7</v>
      </c>
      <c r="T184" s="18">
        <f t="shared" si="23"/>
        <v>6.1310856835916638E-8</v>
      </c>
      <c r="U184" s="18">
        <f t="shared" si="24"/>
        <v>6.1310856835916638E-8</v>
      </c>
    </row>
    <row r="185" spans="15:21" x14ac:dyDescent="0.25">
      <c r="O185" s="15">
        <v>179</v>
      </c>
      <c r="P185" s="15">
        <f t="shared" si="25"/>
        <v>5.5531406201388626E-2</v>
      </c>
      <c r="Q185" s="15">
        <f t="shared" si="26"/>
        <v>5.5531406201388633E-2</v>
      </c>
      <c r="R185" s="15">
        <f t="shared" si="21"/>
        <v>5.5531406201388633E-2</v>
      </c>
      <c r="S185" s="18">
        <f t="shared" si="22"/>
        <v>-1.3054977898718789E-7</v>
      </c>
      <c r="T185" s="18">
        <f t="shared" si="23"/>
        <v>6.1310856835916638E-8</v>
      </c>
      <c r="U185" s="18">
        <f t="shared" si="24"/>
        <v>6.1310856835916638E-8</v>
      </c>
    </row>
    <row r="186" spans="15:21" x14ac:dyDescent="0.25">
      <c r="O186" s="15">
        <v>180</v>
      </c>
      <c r="P186" s="15">
        <f t="shared" si="25"/>
        <v>5.5531406201388626E-2</v>
      </c>
      <c r="Q186" s="15">
        <f t="shared" si="26"/>
        <v>5.5531406201388633E-2</v>
      </c>
      <c r="R186" s="15">
        <f t="shared" si="21"/>
        <v>5.5531406201388633E-2</v>
      </c>
      <c r="S186" s="18">
        <f t="shared" si="22"/>
        <v>-1.3054977898718789E-7</v>
      </c>
      <c r="T186" s="18">
        <f t="shared" si="23"/>
        <v>6.1310856835916638E-8</v>
      </c>
      <c r="U186" s="18">
        <f t="shared" si="24"/>
        <v>6.1310856835916638E-8</v>
      </c>
    </row>
    <row r="187" spans="15:21" x14ac:dyDescent="0.25">
      <c r="O187" s="15">
        <v>181</v>
      </c>
      <c r="P187" s="15">
        <f t="shared" si="25"/>
        <v>5.5531406201388626E-2</v>
      </c>
      <c r="Q187" s="15">
        <f t="shared" si="26"/>
        <v>5.5531406201388633E-2</v>
      </c>
      <c r="R187" s="15">
        <f t="shared" si="21"/>
        <v>5.5531406201388633E-2</v>
      </c>
      <c r="S187" s="18">
        <f t="shared" si="22"/>
        <v>-1.3054977898718789E-7</v>
      </c>
      <c r="T187" s="18">
        <f t="shared" si="23"/>
        <v>6.1310856835916638E-8</v>
      </c>
      <c r="U187" s="18">
        <f t="shared" si="24"/>
        <v>6.1310856835916638E-8</v>
      </c>
    </row>
    <row r="188" spans="15:21" x14ac:dyDescent="0.25">
      <c r="O188" s="15">
        <v>182</v>
      </c>
      <c r="P188" s="15">
        <f t="shared" si="25"/>
        <v>5.5531406201388626E-2</v>
      </c>
      <c r="Q188" s="15">
        <f t="shared" si="26"/>
        <v>5.5531406201388633E-2</v>
      </c>
      <c r="R188" s="15">
        <f t="shared" si="21"/>
        <v>5.5531406201388633E-2</v>
      </c>
      <c r="S188" s="18">
        <f t="shared" si="22"/>
        <v>-1.3054977898718789E-7</v>
      </c>
      <c r="T188" s="18">
        <f t="shared" si="23"/>
        <v>6.1310856835916638E-8</v>
      </c>
      <c r="U188" s="18">
        <f t="shared" si="24"/>
        <v>6.1310856835916638E-8</v>
      </c>
    </row>
    <row r="189" spans="15:21" x14ac:dyDescent="0.25">
      <c r="O189" s="15">
        <v>183</v>
      </c>
      <c r="P189" s="15">
        <f t="shared" si="25"/>
        <v>5.5531406201388626E-2</v>
      </c>
      <c r="Q189" s="15">
        <f t="shared" si="26"/>
        <v>5.5531406201388633E-2</v>
      </c>
      <c r="R189" s="15">
        <f t="shared" si="21"/>
        <v>5.5531406201388633E-2</v>
      </c>
      <c r="S189" s="18">
        <f t="shared" si="22"/>
        <v>-1.3054977898718789E-7</v>
      </c>
      <c r="T189" s="18">
        <f t="shared" si="23"/>
        <v>6.1310856835916638E-8</v>
      </c>
      <c r="U189" s="18">
        <f t="shared" si="24"/>
        <v>6.1310856835916638E-8</v>
      </c>
    </row>
    <row r="190" spans="15:21" x14ac:dyDescent="0.25">
      <c r="O190" s="15">
        <v>184</v>
      </c>
      <c r="P190" s="15">
        <f t="shared" si="25"/>
        <v>5.5531406201388626E-2</v>
      </c>
      <c r="Q190" s="15">
        <f t="shared" si="26"/>
        <v>5.5531406201388633E-2</v>
      </c>
      <c r="R190" s="15">
        <f t="shared" si="21"/>
        <v>5.5531406201388633E-2</v>
      </c>
      <c r="S190" s="18">
        <f t="shared" si="22"/>
        <v>-1.3054977898718789E-7</v>
      </c>
      <c r="T190" s="18">
        <f t="shared" si="23"/>
        <v>6.1310856835916638E-8</v>
      </c>
      <c r="U190" s="18">
        <f t="shared" si="24"/>
        <v>6.1310856835916638E-8</v>
      </c>
    </row>
    <row r="191" spans="15:21" x14ac:dyDescent="0.25">
      <c r="O191" s="15">
        <v>185</v>
      </c>
      <c r="P191" s="15">
        <f t="shared" si="25"/>
        <v>5.5531406201388626E-2</v>
      </c>
      <c r="Q191" s="15">
        <f t="shared" si="26"/>
        <v>5.5531406201388633E-2</v>
      </c>
      <c r="R191" s="15">
        <f t="shared" si="21"/>
        <v>5.5531406201388633E-2</v>
      </c>
      <c r="S191" s="18">
        <f t="shared" si="22"/>
        <v>-1.3054977898718789E-7</v>
      </c>
      <c r="T191" s="18">
        <f t="shared" si="23"/>
        <v>6.1310856835916638E-8</v>
      </c>
      <c r="U191" s="18">
        <f t="shared" si="24"/>
        <v>6.1310856835916638E-8</v>
      </c>
    </row>
    <row r="192" spans="15:21" x14ac:dyDescent="0.25">
      <c r="O192" s="15">
        <v>186</v>
      </c>
      <c r="P192" s="15">
        <f t="shared" si="25"/>
        <v>5.5531406201388626E-2</v>
      </c>
      <c r="Q192" s="15">
        <f t="shared" si="26"/>
        <v>5.5531406201388633E-2</v>
      </c>
      <c r="R192" s="15">
        <f t="shared" si="21"/>
        <v>5.5531406201388633E-2</v>
      </c>
      <c r="S192" s="18">
        <f t="shared" si="22"/>
        <v>-1.3054977898718789E-7</v>
      </c>
      <c r="T192" s="18">
        <f t="shared" si="23"/>
        <v>6.1310856835916638E-8</v>
      </c>
      <c r="U192" s="18">
        <f t="shared" si="24"/>
        <v>6.1310856835916638E-8</v>
      </c>
    </row>
    <row r="193" spans="15:21" x14ac:dyDescent="0.25">
      <c r="O193" s="15">
        <v>187</v>
      </c>
      <c r="P193" s="15">
        <f t="shared" si="25"/>
        <v>5.5531406201388626E-2</v>
      </c>
      <c r="Q193" s="15">
        <f t="shared" si="26"/>
        <v>5.5531406201388633E-2</v>
      </c>
      <c r="R193" s="15">
        <f t="shared" si="21"/>
        <v>5.5531406201388633E-2</v>
      </c>
      <c r="S193" s="18">
        <f t="shared" si="22"/>
        <v>-1.3054977898718789E-7</v>
      </c>
      <c r="T193" s="18">
        <f t="shared" si="23"/>
        <v>6.1310856835916638E-8</v>
      </c>
      <c r="U193" s="18">
        <f t="shared" si="24"/>
        <v>6.1310856835916638E-8</v>
      </c>
    </row>
    <row r="194" spans="15:21" x14ac:dyDescent="0.25">
      <c r="O194" s="15">
        <v>188</v>
      </c>
      <c r="P194" s="15">
        <f t="shared" si="25"/>
        <v>5.5531406201388626E-2</v>
      </c>
      <c r="Q194" s="15">
        <f t="shared" si="26"/>
        <v>5.5531406201388633E-2</v>
      </c>
      <c r="R194" s="15">
        <f t="shared" si="21"/>
        <v>5.5531406201388633E-2</v>
      </c>
      <c r="S194" s="18">
        <f t="shared" si="22"/>
        <v>-1.3054977898718789E-7</v>
      </c>
      <c r="T194" s="18">
        <f t="shared" si="23"/>
        <v>6.1310856835916638E-8</v>
      </c>
      <c r="U194" s="18">
        <f t="shared" si="24"/>
        <v>6.1310856835916638E-8</v>
      </c>
    </row>
    <row r="195" spans="15:21" x14ac:dyDescent="0.25">
      <c r="O195" s="15">
        <v>189</v>
      </c>
      <c r="P195" s="15">
        <f t="shared" si="25"/>
        <v>5.5531406201388626E-2</v>
      </c>
      <c r="Q195" s="15">
        <f t="shared" si="26"/>
        <v>5.5531406201388633E-2</v>
      </c>
      <c r="R195" s="15">
        <f t="shared" si="21"/>
        <v>5.5531406201388633E-2</v>
      </c>
      <c r="S195" s="18">
        <f t="shared" si="22"/>
        <v>-1.3054977898718789E-7</v>
      </c>
      <c r="T195" s="18">
        <f t="shared" si="23"/>
        <v>6.1310856835916638E-8</v>
      </c>
      <c r="U195" s="18">
        <f t="shared" si="24"/>
        <v>6.1310856835916638E-8</v>
      </c>
    </row>
    <row r="196" spans="15:21" x14ac:dyDescent="0.25">
      <c r="O196" s="15">
        <v>190</v>
      </c>
      <c r="P196" s="15">
        <f t="shared" si="25"/>
        <v>5.5531406201388626E-2</v>
      </c>
      <c r="Q196" s="15">
        <f t="shared" si="26"/>
        <v>5.5531406201388633E-2</v>
      </c>
      <c r="R196" s="15">
        <f t="shared" si="21"/>
        <v>5.5531406201388633E-2</v>
      </c>
      <c r="S196" s="18">
        <f t="shared" si="22"/>
        <v>-1.3054977898718789E-7</v>
      </c>
      <c r="T196" s="18">
        <f t="shared" si="23"/>
        <v>6.1310856835916638E-8</v>
      </c>
      <c r="U196" s="18">
        <f t="shared" si="24"/>
        <v>6.1310856835916638E-8</v>
      </c>
    </row>
    <row r="197" spans="15:21" x14ac:dyDescent="0.25">
      <c r="O197" s="15">
        <v>191</v>
      </c>
      <c r="P197" s="15">
        <f t="shared" si="25"/>
        <v>5.5531406201388626E-2</v>
      </c>
      <c r="Q197" s="15">
        <f t="shared" si="26"/>
        <v>5.5531406201388633E-2</v>
      </c>
      <c r="R197" s="15">
        <f t="shared" si="21"/>
        <v>5.5531406201388633E-2</v>
      </c>
      <c r="S197" s="18">
        <f t="shared" si="22"/>
        <v>-1.3054977898718789E-7</v>
      </c>
      <c r="T197" s="18">
        <f t="shared" si="23"/>
        <v>6.1310856835916638E-8</v>
      </c>
      <c r="U197" s="18">
        <f t="shared" si="24"/>
        <v>6.1310856835916638E-8</v>
      </c>
    </row>
    <row r="198" spans="15:21" x14ac:dyDescent="0.25">
      <c r="O198" s="15">
        <v>192</v>
      </c>
      <c r="P198" s="15">
        <f t="shared" si="25"/>
        <v>5.5531406201388626E-2</v>
      </c>
      <c r="Q198" s="15">
        <f t="shared" si="26"/>
        <v>5.5531406201388633E-2</v>
      </c>
      <c r="R198" s="15">
        <f t="shared" si="21"/>
        <v>5.5531406201388633E-2</v>
      </c>
      <c r="S198" s="18">
        <f t="shared" si="22"/>
        <v>-1.3054977898718789E-7</v>
      </c>
      <c r="T198" s="18">
        <f t="shared" si="23"/>
        <v>6.1310856835916638E-8</v>
      </c>
      <c r="U198" s="18">
        <f t="shared" si="24"/>
        <v>6.1310856835916638E-8</v>
      </c>
    </row>
    <row r="199" spans="15:21" x14ac:dyDescent="0.25">
      <c r="O199" s="15">
        <v>193</v>
      </c>
      <c r="P199" s="15">
        <f t="shared" si="25"/>
        <v>5.5531406201388626E-2</v>
      </c>
      <c r="Q199" s="15">
        <f t="shared" si="26"/>
        <v>5.5531406201388633E-2</v>
      </c>
      <c r="R199" s="15">
        <f t="shared" si="21"/>
        <v>5.5531406201388633E-2</v>
      </c>
      <c r="S199" s="18">
        <f t="shared" si="22"/>
        <v>-1.3054977898718789E-7</v>
      </c>
      <c r="T199" s="18">
        <f t="shared" si="23"/>
        <v>6.1310856835916638E-8</v>
      </c>
      <c r="U199" s="18">
        <f t="shared" si="24"/>
        <v>6.1310856835916638E-8</v>
      </c>
    </row>
    <row r="200" spans="15:21" x14ac:dyDescent="0.25">
      <c r="O200" s="15">
        <v>194</v>
      </c>
      <c r="P200" s="15">
        <f t="shared" si="25"/>
        <v>5.5531406201388626E-2</v>
      </c>
      <c r="Q200" s="15">
        <f t="shared" si="26"/>
        <v>5.5531406201388633E-2</v>
      </c>
      <c r="R200" s="15">
        <f t="shared" si="21"/>
        <v>5.5531406201388633E-2</v>
      </c>
      <c r="S200" s="18">
        <f t="shared" si="22"/>
        <v>-1.3054977898718789E-7</v>
      </c>
      <c r="T200" s="18">
        <f t="shared" si="23"/>
        <v>6.1310856835916638E-8</v>
      </c>
      <c r="U200" s="18">
        <f t="shared" si="24"/>
        <v>6.1310856835916638E-8</v>
      </c>
    </row>
    <row r="201" spans="15:21" x14ac:dyDescent="0.25">
      <c r="O201" s="15">
        <v>195</v>
      </c>
      <c r="P201" s="15">
        <f t="shared" si="25"/>
        <v>5.5531406201388626E-2</v>
      </c>
      <c r="Q201" s="15">
        <f t="shared" si="26"/>
        <v>5.5531406201388633E-2</v>
      </c>
      <c r="R201" s="15">
        <f t="shared" si="21"/>
        <v>5.5531406201388633E-2</v>
      </c>
      <c r="S201" s="18">
        <f t="shared" si="22"/>
        <v>-1.3054977898718789E-7</v>
      </c>
      <c r="T201" s="18">
        <f t="shared" si="23"/>
        <v>6.1310856835916638E-8</v>
      </c>
      <c r="U201" s="18">
        <f t="shared" si="24"/>
        <v>6.1310856835916638E-8</v>
      </c>
    </row>
    <row r="202" spans="15:21" x14ac:dyDescent="0.25">
      <c r="O202" s="15">
        <v>196</v>
      </c>
      <c r="P202" s="15">
        <f t="shared" si="25"/>
        <v>5.5531406201388626E-2</v>
      </c>
      <c r="Q202" s="15">
        <f t="shared" si="26"/>
        <v>5.5531406201388633E-2</v>
      </c>
      <c r="R202" s="15">
        <f t="shared" si="21"/>
        <v>5.5531406201388633E-2</v>
      </c>
      <c r="S202" s="18">
        <f t="shared" si="22"/>
        <v>-1.3054977898718789E-7</v>
      </c>
      <c r="T202" s="18">
        <f t="shared" si="23"/>
        <v>6.1310856835916638E-8</v>
      </c>
      <c r="U202" s="18">
        <f t="shared" si="24"/>
        <v>6.1310856835916638E-8</v>
      </c>
    </row>
    <row r="203" spans="15:21" x14ac:dyDescent="0.25">
      <c r="O203" s="15">
        <v>197</v>
      </c>
      <c r="P203" s="15">
        <f t="shared" si="25"/>
        <v>5.5531406201388626E-2</v>
      </c>
      <c r="Q203" s="15">
        <f t="shared" si="26"/>
        <v>5.5531406201388633E-2</v>
      </c>
      <c r="R203" s="15">
        <f t="shared" si="21"/>
        <v>5.5531406201388633E-2</v>
      </c>
      <c r="S203" s="18">
        <f t="shared" si="22"/>
        <v>-1.3054977898718789E-7</v>
      </c>
      <c r="T203" s="18">
        <f t="shared" si="23"/>
        <v>6.1310856835916638E-8</v>
      </c>
      <c r="U203" s="18">
        <f t="shared" si="24"/>
        <v>6.1310856835916638E-8</v>
      </c>
    </row>
    <row r="204" spans="15:21" x14ac:dyDescent="0.25">
      <c r="O204" s="15">
        <v>198</v>
      </c>
      <c r="P204" s="15">
        <f t="shared" si="25"/>
        <v>5.5531406201388626E-2</v>
      </c>
      <c r="Q204" s="15">
        <f t="shared" si="26"/>
        <v>5.5531406201388633E-2</v>
      </c>
      <c r="R204" s="15">
        <f t="shared" si="21"/>
        <v>5.5531406201388633E-2</v>
      </c>
      <c r="S204" s="18">
        <f t="shared" si="22"/>
        <v>-1.3054977898718789E-7</v>
      </c>
      <c r="T204" s="18">
        <f t="shared" si="23"/>
        <v>6.1310856835916638E-8</v>
      </c>
      <c r="U204" s="18">
        <f t="shared" si="24"/>
        <v>6.1310856835916638E-8</v>
      </c>
    </row>
    <row r="205" spans="15:21" x14ac:dyDescent="0.25">
      <c r="O205" s="15">
        <v>199</v>
      </c>
      <c r="P205" s="15">
        <f t="shared" si="25"/>
        <v>5.5531406201388626E-2</v>
      </c>
      <c r="Q205" s="15">
        <f t="shared" si="26"/>
        <v>5.5531406201388633E-2</v>
      </c>
      <c r="R205" s="15">
        <f t="shared" si="21"/>
        <v>5.5531406201388633E-2</v>
      </c>
      <c r="S205" s="18">
        <f t="shared" si="22"/>
        <v>-1.3054977898718789E-7</v>
      </c>
      <c r="T205" s="18">
        <f t="shared" si="23"/>
        <v>6.1310856835916638E-8</v>
      </c>
      <c r="U205" s="18">
        <f t="shared" si="24"/>
        <v>6.1310856835916638E-8</v>
      </c>
    </row>
    <row r="206" spans="15:21" x14ac:dyDescent="0.25">
      <c r="O206" s="15">
        <v>200</v>
      </c>
      <c r="P206" s="15">
        <f t="shared" si="25"/>
        <v>5.5531406201388626E-2</v>
      </c>
      <c r="Q206" s="15">
        <f t="shared" si="26"/>
        <v>5.5531406201388633E-2</v>
      </c>
      <c r="R206" s="15">
        <f t="shared" si="21"/>
        <v>5.5531406201388633E-2</v>
      </c>
      <c r="S206" s="18">
        <f t="shared" si="22"/>
        <v>-1.3054977898718789E-7</v>
      </c>
      <c r="T206" s="18">
        <f t="shared" si="23"/>
        <v>6.1310856835916638E-8</v>
      </c>
      <c r="U206" s="18">
        <f t="shared" si="24"/>
        <v>6.1310856835916638E-8</v>
      </c>
    </row>
    <row r="207" spans="15:21" x14ac:dyDescent="0.25">
      <c r="P207" s="15" t="s">
        <v>8</v>
      </c>
    </row>
    <row r="208" spans="15:21" x14ac:dyDescent="0.25">
      <c r="P208" s="15" t="s">
        <v>1</v>
      </c>
      <c r="Q208" s="15" t="s">
        <v>2</v>
      </c>
      <c r="R208" s="15" t="s">
        <v>3</v>
      </c>
      <c r="S208" s="15" t="s">
        <v>4</v>
      </c>
      <c r="T208" s="15" t="s">
        <v>5</v>
      </c>
      <c r="U208" s="15" t="s">
        <v>6</v>
      </c>
    </row>
    <row r="209" spans="15:21" x14ac:dyDescent="0.25">
      <c r="O209" s="15">
        <v>201</v>
      </c>
      <c r="P209" s="15">
        <v>1E-10</v>
      </c>
      <c r="Q209" s="15">
        <v>10</v>
      </c>
      <c r="R209" s="15">
        <f t="shared" ref="R209:R272" si="27">(P209+Q209)/2</f>
        <v>5.00000000005</v>
      </c>
      <c r="S209" s="18">
        <f t="shared" ref="S209:S272" si="28">$E$4-$E$10-$E$11*(1+P209)^(-$E$5/$L$9)-$E$13*(1+P209)^(-$H$13/$L$9)-$E$14*(1+P209)^(-$H$14/$L$9) +$E$24*((1-(1+P209)^(-$E$5/$L$9)))/(1-(1+P209)^(1/$L$9))+$E$17*((1-(1+P209)^(-$J$20/$M$4)))/(1-(1+P209)^(1/$M$4))+$E$18*((1-(1+P209)^(-$J$21/$M$5)))/(1-(1+P209)^(1/$M$5))+$E$19*((1-(1+P209)^(-$J$22/$M$6)))/(1-(1+P209)^(1/$M$6))+$E$20*((1-(1+P209)^(-$J$23/$M$7)))/(1-(1+P209)^(1/$M$7))+$E$21*((1-(1+P209)^(-$J$24/$M$8)))/(1-(1+P209)^(1/$M$8))</f>
        <v>-4096543.402922513</v>
      </c>
      <c r="T209" s="18">
        <f t="shared" ref="T209:T272" si="29">$E$4-$E$10-$E$11*(1+Q209)^(-$E$5/$L$9)-$E$13*(1+Q209)^(-$H$13/$L$9)-$E$14*(1+Q209)^(-$H$14/$L$9) +$E$24*((1-(1+Q209)^(-$E$5/$L$9)))/(1-(1+Q209)^(1/$L$9))+$E$17*((1-(1+Q209)^(-$J$20/$M$4)))/(1-(1+Q209)^(1/$M$4))+$E$18*((1-(1+Q209)^(-$J$21/$M$5)))/(1-(1+Q209)^(1/$M$5))+$E$19*((1-(1+Q209)^(-$J$22/$M$6)))/(1-(1+Q209)^(1/$M$6))+$E$20*((1-(1+Q209)^(-$J$23/$M$7)))/(1-(1+Q209)^(1/$M$7))+$E$21*((1-(1+Q209)^(-$J$24/$M$8)))/(1-(1+Q209)^(1/$M$8))</f>
        <v>3894207.2828773954</v>
      </c>
      <c r="U209" s="18">
        <f t="shared" ref="U209:U272" si="30">$E$4-$E$10-$E$11*(1+R209)^(-$E$5/$L$9)-$E$13*(1+R209)^(-$H$13/$L$9)-$E$14*(1+R209)^(-$H$14/$L$9) +$E$24*((1-(1+R209)^(-$E$5/$L$9)))/(1-(1+R209)^(1/$L$9))+$E$17*((1-(1+R209)^(-$J$20/$M$4)))/(1-(1+R209)^(1/$M$4))+$E$18*((1-(1+R209)^(-$J$21/$M$5)))/(1-(1+R209)^(1/$M$5))+$E$19*((1-(1+R209)^(-$J$22/$M$6)))/(1-(1+R209)^(1/$M$6))+$E$20*((1-(1+R209)^(-$J$23/$M$7)))/(1-(1+R209)^(1/$M$7))+$E$21*((1-(1+R209)^(-$J$24/$M$8)))/(1-(1+R209)^(1/$M$8))</f>
        <v>3856205.8539974457</v>
      </c>
    </row>
    <row r="210" spans="15:21" x14ac:dyDescent="0.25">
      <c r="O210" s="15">
        <v>202</v>
      </c>
      <c r="P210" s="15">
        <f t="shared" ref="P210:P273" si="31">IF(S209*U209&gt;=0,R209,P209)</f>
        <v>1E-10</v>
      </c>
      <c r="Q210" s="15">
        <f t="shared" ref="Q210:Q273" si="32">IF(T209*U209&gt;=0,R209,Q209)</f>
        <v>5.00000000005</v>
      </c>
      <c r="R210" s="15">
        <f t="shared" si="27"/>
        <v>2.500000000075</v>
      </c>
      <c r="S210" s="18">
        <f t="shared" si="28"/>
        <v>-4096543.402922513</v>
      </c>
      <c r="T210" s="18">
        <f t="shared" si="29"/>
        <v>3856205.8539974457</v>
      </c>
      <c r="U210" s="18">
        <f t="shared" si="30"/>
        <v>3791473.6705574365</v>
      </c>
    </row>
    <row r="211" spans="15:21" x14ac:dyDescent="0.25">
      <c r="O211" s="15">
        <v>203</v>
      </c>
      <c r="P211" s="15">
        <f t="shared" si="31"/>
        <v>1E-10</v>
      </c>
      <c r="Q211" s="15">
        <f t="shared" si="32"/>
        <v>2.500000000075</v>
      </c>
      <c r="R211" s="15">
        <f t="shared" si="27"/>
        <v>1.2500000000875</v>
      </c>
      <c r="S211" s="18">
        <f t="shared" si="28"/>
        <v>-4096543.402922513</v>
      </c>
      <c r="T211" s="18">
        <f t="shared" si="29"/>
        <v>3791473.6705574365</v>
      </c>
      <c r="U211" s="18">
        <f t="shared" si="30"/>
        <v>3674185.2838576422</v>
      </c>
    </row>
    <row r="212" spans="15:21" x14ac:dyDescent="0.25">
      <c r="O212" s="15">
        <v>204</v>
      </c>
      <c r="P212" s="15">
        <f t="shared" si="31"/>
        <v>1E-10</v>
      </c>
      <c r="Q212" s="15">
        <f t="shared" si="32"/>
        <v>1.2500000000875</v>
      </c>
      <c r="R212" s="15">
        <f t="shared" si="27"/>
        <v>0.62500000009375001</v>
      </c>
      <c r="S212" s="18">
        <f t="shared" si="28"/>
        <v>-4096543.402922513</v>
      </c>
      <c r="T212" s="18">
        <f t="shared" si="29"/>
        <v>3674185.2838576422</v>
      </c>
      <c r="U212" s="18">
        <f t="shared" si="30"/>
        <v>3451249.3171429066</v>
      </c>
    </row>
    <row r="213" spans="15:21" x14ac:dyDescent="0.25">
      <c r="O213" s="15">
        <v>205</v>
      </c>
      <c r="P213" s="15">
        <f t="shared" si="31"/>
        <v>1E-10</v>
      </c>
      <c r="Q213" s="15">
        <f t="shared" si="32"/>
        <v>0.62500000009375001</v>
      </c>
      <c r="R213" s="15">
        <f t="shared" si="27"/>
        <v>0.31250000009687501</v>
      </c>
      <c r="S213" s="18">
        <f t="shared" si="28"/>
        <v>-4096543.402922513</v>
      </c>
      <c r="T213" s="18">
        <f t="shared" si="29"/>
        <v>3451249.3171429066</v>
      </c>
      <c r="U213" s="18">
        <f t="shared" si="30"/>
        <v>3015194.1773318858</v>
      </c>
    </row>
    <row r="214" spans="15:21" x14ac:dyDescent="0.25">
      <c r="O214" s="15">
        <v>206</v>
      </c>
      <c r="P214" s="15">
        <f t="shared" si="31"/>
        <v>1E-10</v>
      </c>
      <c r="Q214" s="15">
        <f t="shared" si="32"/>
        <v>0.31250000009687501</v>
      </c>
      <c r="R214" s="15">
        <f t="shared" si="27"/>
        <v>0.15625000009843751</v>
      </c>
      <c r="S214" s="18">
        <f t="shared" si="28"/>
        <v>-4096543.402922513</v>
      </c>
      <c r="T214" s="18">
        <f t="shared" si="29"/>
        <v>3015194.1773318858</v>
      </c>
      <c r="U214" s="18">
        <f t="shared" si="30"/>
        <v>2172625.3949700431</v>
      </c>
    </row>
    <row r="215" spans="15:21" x14ac:dyDescent="0.25">
      <c r="O215" s="15">
        <v>207</v>
      </c>
      <c r="P215" s="15">
        <f t="shared" si="31"/>
        <v>1E-10</v>
      </c>
      <c r="Q215" s="15">
        <f t="shared" si="32"/>
        <v>0.15625000009843751</v>
      </c>
      <c r="R215" s="15">
        <f t="shared" si="27"/>
        <v>7.8125000099218758E-2</v>
      </c>
      <c r="S215" s="18">
        <f t="shared" si="28"/>
        <v>-4096543.402922513</v>
      </c>
      <c r="T215" s="18">
        <f t="shared" si="29"/>
        <v>2172625.3949700431</v>
      </c>
      <c r="U215" s="18">
        <f t="shared" si="30"/>
        <v>795277.15576752613</v>
      </c>
    </row>
    <row r="216" spans="15:21" x14ac:dyDescent="0.25">
      <c r="O216" s="15">
        <v>208</v>
      </c>
      <c r="P216" s="15">
        <f t="shared" si="31"/>
        <v>1E-10</v>
      </c>
      <c r="Q216" s="15">
        <f t="shared" si="32"/>
        <v>7.8125000099218758E-2</v>
      </c>
      <c r="R216" s="15">
        <f t="shared" si="27"/>
        <v>3.9062500099609376E-2</v>
      </c>
      <c r="S216" s="18">
        <f t="shared" si="28"/>
        <v>-4096543.402922513</v>
      </c>
      <c r="T216" s="18">
        <f t="shared" si="29"/>
        <v>795277.15576752613</v>
      </c>
      <c r="U216" s="18">
        <f t="shared" si="30"/>
        <v>-806130.79722869582</v>
      </c>
    </row>
    <row r="217" spans="15:21" x14ac:dyDescent="0.25">
      <c r="O217" s="15">
        <v>209</v>
      </c>
      <c r="P217" s="15">
        <f t="shared" si="31"/>
        <v>3.9062500099609376E-2</v>
      </c>
      <c r="Q217" s="15">
        <f t="shared" si="32"/>
        <v>7.8125000099218758E-2</v>
      </c>
      <c r="R217" s="15">
        <f t="shared" si="27"/>
        <v>5.8593750099414067E-2</v>
      </c>
      <c r="S217" s="18">
        <f t="shared" si="28"/>
        <v>-806130.79722869582</v>
      </c>
      <c r="T217" s="18">
        <f t="shared" si="29"/>
        <v>795277.15576752613</v>
      </c>
      <c r="U217" s="18">
        <f t="shared" si="30"/>
        <v>125998.37751938807</v>
      </c>
    </row>
    <row r="218" spans="15:21" x14ac:dyDescent="0.25">
      <c r="O218" s="15">
        <v>210</v>
      </c>
      <c r="P218" s="15">
        <f t="shared" si="31"/>
        <v>3.9062500099609376E-2</v>
      </c>
      <c r="Q218" s="15">
        <f t="shared" si="32"/>
        <v>5.8593750099414067E-2</v>
      </c>
      <c r="R218" s="15">
        <f t="shared" si="27"/>
        <v>4.8828125099511718E-2</v>
      </c>
      <c r="S218" s="18">
        <f t="shared" si="28"/>
        <v>-806130.79722869582</v>
      </c>
      <c r="T218" s="18">
        <f t="shared" si="29"/>
        <v>125998.37751938807</v>
      </c>
      <c r="U218" s="18">
        <f t="shared" si="30"/>
        <v>-300117.85427544912</v>
      </c>
    </row>
    <row r="219" spans="15:21" x14ac:dyDescent="0.25">
      <c r="O219" s="15">
        <v>211</v>
      </c>
      <c r="P219" s="15">
        <f t="shared" si="31"/>
        <v>4.8828125099511718E-2</v>
      </c>
      <c r="Q219" s="15">
        <f t="shared" si="32"/>
        <v>5.8593750099414067E-2</v>
      </c>
      <c r="R219" s="15">
        <f t="shared" si="27"/>
        <v>5.3710937599462896E-2</v>
      </c>
      <c r="S219" s="18">
        <f t="shared" si="28"/>
        <v>-300117.85427544912</v>
      </c>
      <c r="T219" s="18">
        <f t="shared" si="29"/>
        <v>125998.37751938807</v>
      </c>
      <c r="U219" s="18">
        <f t="shared" si="30"/>
        <v>-78089.717054340348</v>
      </c>
    </row>
    <row r="220" spans="15:21" x14ac:dyDescent="0.25">
      <c r="O220" s="15">
        <v>212</v>
      </c>
      <c r="P220" s="15">
        <f t="shared" si="31"/>
        <v>5.3710937599462896E-2</v>
      </c>
      <c r="Q220" s="15">
        <f t="shared" si="32"/>
        <v>5.8593750099414067E-2</v>
      </c>
      <c r="R220" s="15">
        <f t="shared" si="27"/>
        <v>5.6152343849438485E-2</v>
      </c>
      <c r="S220" s="18">
        <f t="shared" si="28"/>
        <v>-78089.717054340348</v>
      </c>
      <c r="T220" s="18">
        <f t="shared" si="29"/>
        <v>125998.37751938807</v>
      </c>
      <c r="U220" s="18">
        <f t="shared" si="30"/>
        <v>26082.431833555249</v>
      </c>
    </row>
    <row r="221" spans="15:21" x14ac:dyDescent="0.25">
      <c r="O221" s="15">
        <v>213</v>
      </c>
      <c r="P221" s="15">
        <f t="shared" si="31"/>
        <v>5.3710937599462896E-2</v>
      </c>
      <c r="Q221" s="15">
        <f t="shared" si="32"/>
        <v>5.6152343849438485E-2</v>
      </c>
      <c r="R221" s="15">
        <f t="shared" si="27"/>
        <v>5.4931640724450691E-2</v>
      </c>
      <c r="S221" s="18">
        <f t="shared" si="28"/>
        <v>-78089.717054340348</v>
      </c>
      <c r="T221" s="18">
        <f t="shared" si="29"/>
        <v>26082.431833555249</v>
      </c>
      <c r="U221" s="18">
        <f t="shared" si="30"/>
        <v>-25457.838380042806</v>
      </c>
    </row>
    <row r="222" spans="15:21" x14ac:dyDescent="0.25">
      <c r="O222" s="15">
        <v>214</v>
      </c>
      <c r="P222" s="15">
        <f t="shared" si="31"/>
        <v>5.4931640724450691E-2</v>
      </c>
      <c r="Q222" s="15">
        <f t="shared" si="32"/>
        <v>5.6152343849438485E-2</v>
      </c>
      <c r="R222" s="15">
        <f t="shared" si="27"/>
        <v>5.5541992286944591E-2</v>
      </c>
      <c r="S222" s="18">
        <f t="shared" si="28"/>
        <v>-25457.838380042806</v>
      </c>
      <c r="T222" s="18">
        <f t="shared" si="29"/>
        <v>26082.431833555249</v>
      </c>
      <c r="U222" s="18">
        <f t="shared" si="30"/>
        <v>446.99396819314325</v>
      </c>
    </row>
    <row r="223" spans="15:21" x14ac:dyDescent="0.25">
      <c r="O223" s="15">
        <v>215</v>
      </c>
      <c r="P223" s="15">
        <f t="shared" si="31"/>
        <v>5.4931640724450691E-2</v>
      </c>
      <c r="Q223" s="15">
        <f t="shared" si="32"/>
        <v>5.5541992286944591E-2</v>
      </c>
      <c r="R223" s="15">
        <f t="shared" si="27"/>
        <v>5.5236816505697645E-2</v>
      </c>
      <c r="S223" s="18">
        <f t="shared" si="28"/>
        <v>-25457.838380042806</v>
      </c>
      <c r="T223" s="18">
        <f t="shared" si="29"/>
        <v>446.99396819314325</v>
      </c>
      <c r="U223" s="18">
        <f t="shared" si="30"/>
        <v>-12471.530669613465</v>
      </c>
    </row>
    <row r="224" spans="15:21" x14ac:dyDescent="0.25">
      <c r="O224" s="15">
        <v>216</v>
      </c>
      <c r="P224" s="15">
        <f t="shared" si="31"/>
        <v>5.5236816505697645E-2</v>
      </c>
      <c r="Q224" s="15">
        <f t="shared" si="32"/>
        <v>5.5541992286944591E-2</v>
      </c>
      <c r="R224" s="15">
        <f t="shared" si="27"/>
        <v>5.5389404396321118E-2</v>
      </c>
      <c r="S224" s="18">
        <f t="shared" si="28"/>
        <v>-12471.530669613465</v>
      </c>
      <c r="T224" s="18">
        <f t="shared" si="29"/>
        <v>446.99396819314325</v>
      </c>
      <c r="U224" s="18">
        <f t="shared" si="30"/>
        <v>-6003.8227437936475</v>
      </c>
    </row>
    <row r="225" spans="15:21" x14ac:dyDescent="0.25">
      <c r="O225" s="15">
        <v>217</v>
      </c>
      <c r="P225" s="15">
        <f t="shared" si="31"/>
        <v>5.5389404396321118E-2</v>
      </c>
      <c r="Q225" s="15">
        <f t="shared" si="32"/>
        <v>5.5541992286944591E-2</v>
      </c>
      <c r="R225" s="15">
        <f t="shared" si="27"/>
        <v>5.5465698341632855E-2</v>
      </c>
      <c r="S225" s="18">
        <f t="shared" si="28"/>
        <v>-6003.8227437936475</v>
      </c>
      <c r="T225" s="18">
        <f t="shared" si="29"/>
        <v>446.99396819314325</v>
      </c>
      <c r="U225" s="18">
        <f t="shared" si="30"/>
        <v>-2776.3063849629848</v>
      </c>
    </row>
    <row r="226" spans="15:21" x14ac:dyDescent="0.25">
      <c r="O226" s="15">
        <v>218</v>
      </c>
      <c r="P226" s="15">
        <f t="shared" si="31"/>
        <v>5.5465698341632855E-2</v>
      </c>
      <c r="Q226" s="15">
        <f t="shared" si="32"/>
        <v>5.5541992286944591E-2</v>
      </c>
      <c r="R226" s="15">
        <f t="shared" si="27"/>
        <v>5.5503845314288723E-2</v>
      </c>
      <c r="S226" s="18">
        <f t="shared" si="28"/>
        <v>-2776.3063849629848</v>
      </c>
      <c r="T226" s="18">
        <f t="shared" si="29"/>
        <v>446.99396819314325</v>
      </c>
      <c r="U226" s="18">
        <f t="shared" si="30"/>
        <v>-1164.1296318378991</v>
      </c>
    </row>
    <row r="227" spans="15:21" x14ac:dyDescent="0.25">
      <c r="O227" s="15">
        <v>219</v>
      </c>
      <c r="P227" s="15">
        <f t="shared" si="31"/>
        <v>5.5503845314288723E-2</v>
      </c>
      <c r="Q227" s="15">
        <f t="shared" si="32"/>
        <v>5.5541992286944591E-2</v>
      </c>
      <c r="R227" s="15">
        <f t="shared" si="27"/>
        <v>5.5522918800616661E-2</v>
      </c>
      <c r="S227" s="18">
        <f t="shared" si="28"/>
        <v>-1164.1296318378991</v>
      </c>
      <c r="T227" s="18">
        <f t="shared" si="29"/>
        <v>446.99396819314325</v>
      </c>
      <c r="U227" s="18">
        <f t="shared" si="30"/>
        <v>-358.43624065257518</v>
      </c>
    </row>
    <row r="228" spans="15:21" x14ac:dyDescent="0.25">
      <c r="O228" s="15">
        <v>220</v>
      </c>
      <c r="P228" s="15">
        <f t="shared" si="31"/>
        <v>5.5522918800616661E-2</v>
      </c>
      <c r="Q228" s="15">
        <f t="shared" si="32"/>
        <v>5.5541992286944591E-2</v>
      </c>
      <c r="R228" s="15">
        <f t="shared" si="27"/>
        <v>5.5532455543780626E-2</v>
      </c>
      <c r="S228" s="18">
        <f t="shared" si="28"/>
        <v>-358.43624065257518</v>
      </c>
      <c r="T228" s="18">
        <f t="shared" si="29"/>
        <v>446.99396819314325</v>
      </c>
      <c r="U228" s="18">
        <f t="shared" si="30"/>
        <v>44.311754848723922</v>
      </c>
    </row>
    <row r="229" spans="15:21" x14ac:dyDescent="0.25">
      <c r="O229" s="15">
        <v>221</v>
      </c>
      <c r="P229" s="15">
        <f t="shared" si="31"/>
        <v>5.5522918800616661E-2</v>
      </c>
      <c r="Q229" s="15">
        <f t="shared" si="32"/>
        <v>5.5532455543780626E-2</v>
      </c>
      <c r="R229" s="15">
        <f t="shared" si="27"/>
        <v>5.5527687172198643E-2</v>
      </c>
      <c r="S229" s="18">
        <f t="shared" si="28"/>
        <v>-358.43624065257518</v>
      </c>
      <c r="T229" s="18">
        <f t="shared" si="29"/>
        <v>44.311754848723922</v>
      </c>
      <c r="U229" s="18">
        <f t="shared" si="30"/>
        <v>-157.05401933347866</v>
      </c>
    </row>
    <row r="230" spans="15:21" x14ac:dyDescent="0.25">
      <c r="O230" s="15">
        <v>222</v>
      </c>
      <c r="P230" s="15">
        <f t="shared" si="31"/>
        <v>5.5527687172198643E-2</v>
      </c>
      <c r="Q230" s="15">
        <f t="shared" si="32"/>
        <v>5.5532455543780626E-2</v>
      </c>
      <c r="R230" s="15">
        <f t="shared" si="27"/>
        <v>5.5530071357989638E-2</v>
      </c>
      <c r="S230" s="18">
        <f t="shared" si="28"/>
        <v>-157.05401933347866</v>
      </c>
      <c r="T230" s="18">
        <f t="shared" si="29"/>
        <v>44.311754848723922</v>
      </c>
      <c r="U230" s="18">
        <f t="shared" si="30"/>
        <v>-56.369076355117159</v>
      </c>
    </row>
    <row r="231" spans="15:21" x14ac:dyDescent="0.25">
      <c r="O231" s="15">
        <v>223</v>
      </c>
      <c r="P231" s="15">
        <f t="shared" si="31"/>
        <v>5.5530071357989638E-2</v>
      </c>
      <c r="Q231" s="15">
        <f t="shared" si="32"/>
        <v>5.5532455543780626E-2</v>
      </c>
      <c r="R231" s="15">
        <f t="shared" si="27"/>
        <v>5.5531263450885132E-2</v>
      </c>
      <c r="S231" s="18">
        <f t="shared" si="28"/>
        <v>-56.369076355117159</v>
      </c>
      <c r="T231" s="18">
        <f t="shared" si="29"/>
        <v>44.311754848723922</v>
      </c>
      <c r="U231" s="18">
        <f t="shared" si="30"/>
        <v>-6.0281466950696085</v>
      </c>
    </row>
    <row r="232" spans="15:21" x14ac:dyDescent="0.25">
      <c r="O232" s="15">
        <v>224</v>
      </c>
      <c r="P232" s="15">
        <f t="shared" si="31"/>
        <v>5.5531263450885132E-2</v>
      </c>
      <c r="Q232" s="15">
        <f t="shared" si="32"/>
        <v>5.5532455543780626E-2</v>
      </c>
      <c r="R232" s="15">
        <f t="shared" si="27"/>
        <v>5.5531859497332879E-2</v>
      </c>
      <c r="S232" s="18">
        <f t="shared" si="28"/>
        <v>-6.0281466950696085</v>
      </c>
      <c r="T232" s="18">
        <f t="shared" si="29"/>
        <v>44.311754848723922</v>
      </c>
      <c r="U232" s="18">
        <f t="shared" si="30"/>
        <v>19.14193263652578</v>
      </c>
    </row>
    <row r="233" spans="15:21" x14ac:dyDescent="0.25">
      <c r="O233" s="15">
        <v>225</v>
      </c>
      <c r="P233" s="15">
        <f t="shared" si="31"/>
        <v>5.5531263450885132E-2</v>
      </c>
      <c r="Q233" s="15">
        <f t="shared" si="32"/>
        <v>5.5531859497332879E-2</v>
      </c>
      <c r="R233" s="15">
        <f t="shared" si="27"/>
        <v>5.5531561474109009E-2</v>
      </c>
      <c r="S233" s="18">
        <f t="shared" si="28"/>
        <v>-6.0281466950696085</v>
      </c>
      <c r="T233" s="18">
        <f t="shared" si="29"/>
        <v>19.14193263652578</v>
      </c>
      <c r="U233" s="18">
        <f t="shared" si="30"/>
        <v>6.5569249377172127</v>
      </c>
    </row>
    <row r="234" spans="15:21" x14ac:dyDescent="0.25">
      <c r="O234" s="15">
        <v>226</v>
      </c>
      <c r="P234" s="15">
        <f t="shared" si="31"/>
        <v>5.5531263450885132E-2</v>
      </c>
      <c r="Q234" s="15">
        <f t="shared" si="32"/>
        <v>5.5531561474109009E-2</v>
      </c>
      <c r="R234" s="15">
        <f t="shared" si="27"/>
        <v>5.5531412462497071E-2</v>
      </c>
      <c r="S234" s="18">
        <f t="shared" si="28"/>
        <v>-6.0281466950696085</v>
      </c>
      <c r="T234" s="18">
        <f t="shared" si="29"/>
        <v>6.5569249377172127</v>
      </c>
      <c r="U234" s="18">
        <f t="shared" si="30"/>
        <v>0.26439706673954788</v>
      </c>
    </row>
    <row r="235" spans="15:21" x14ac:dyDescent="0.25">
      <c r="O235" s="15">
        <v>227</v>
      </c>
      <c r="P235" s="15">
        <f t="shared" si="31"/>
        <v>5.5531263450885132E-2</v>
      </c>
      <c r="Q235" s="15">
        <f t="shared" si="32"/>
        <v>5.5531412462497071E-2</v>
      </c>
      <c r="R235" s="15">
        <f t="shared" si="27"/>
        <v>5.5531337956691101E-2</v>
      </c>
      <c r="S235" s="18">
        <f t="shared" si="28"/>
        <v>-6.0281466950696085</v>
      </c>
      <c r="T235" s="18">
        <f t="shared" si="29"/>
        <v>0.26439706673954788</v>
      </c>
      <c r="U235" s="18">
        <f t="shared" si="30"/>
        <v>-2.881872878510876</v>
      </c>
    </row>
    <row r="236" spans="15:21" x14ac:dyDescent="0.25">
      <c r="O236" s="15">
        <v>228</v>
      </c>
      <c r="P236" s="15">
        <f t="shared" si="31"/>
        <v>5.5531337956691101E-2</v>
      </c>
      <c r="Q236" s="15">
        <f t="shared" si="32"/>
        <v>5.5531412462497071E-2</v>
      </c>
      <c r="R236" s="15">
        <f t="shared" si="27"/>
        <v>5.5531375209594086E-2</v>
      </c>
      <c r="S236" s="18">
        <f t="shared" si="28"/>
        <v>-2.881872878510876</v>
      </c>
      <c r="T236" s="18">
        <f t="shared" si="29"/>
        <v>0.26439706673954788</v>
      </c>
      <c r="U236" s="18">
        <f t="shared" si="30"/>
        <v>-1.3087372517161384</v>
      </c>
    </row>
    <row r="237" spans="15:21" x14ac:dyDescent="0.25">
      <c r="O237" s="15">
        <v>229</v>
      </c>
      <c r="P237" s="15">
        <f t="shared" si="31"/>
        <v>5.5531375209594086E-2</v>
      </c>
      <c r="Q237" s="15">
        <f t="shared" si="32"/>
        <v>5.5531412462497071E-2</v>
      </c>
      <c r="R237" s="15">
        <f t="shared" si="27"/>
        <v>5.5531393836045578E-2</v>
      </c>
      <c r="S237" s="18">
        <f t="shared" si="28"/>
        <v>-1.3087372517161384</v>
      </c>
      <c r="T237" s="18">
        <f t="shared" si="29"/>
        <v>0.26439706673954788</v>
      </c>
      <c r="U237" s="18">
        <f t="shared" si="30"/>
        <v>-0.52216988075042536</v>
      </c>
    </row>
    <row r="238" spans="15:21" x14ac:dyDescent="0.25">
      <c r="O238" s="15">
        <v>230</v>
      </c>
      <c r="P238" s="15">
        <f t="shared" si="31"/>
        <v>5.5531393836045578E-2</v>
      </c>
      <c r="Q238" s="15">
        <f t="shared" si="32"/>
        <v>5.5531412462497071E-2</v>
      </c>
      <c r="R238" s="15">
        <f t="shared" si="27"/>
        <v>5.5531403149271324E-2</v>
      </c>
      <c r="S238" s="18">
        <f t="shared" si="28"/>
        <v>-0.52216988075042536</v>
      </c>
      <c r="T238" s="18">
        <f t="shared" si="29"/>
        <v>0.26439706673954788</v>
      </c>
      <c r="U238" s="18">
        <f t="shared" si="30"/>
        <v>-0.12888637811010994</v>
      </c>
    </row>
    <row r="239" spans="15:21" x14ac:dyDescent="0.25">
      <c r="O239" s="15">
        <v>231</v>
      </c>
      <c r="P239" s="15">
        <f t="shared" si="31"/>
        <v>5.5531403149271324E-2</v>
      </c>
      <c r="Q239" s="15">
        <f t="shared" si="32"/>
        <v>5.5531412462497071E-2</v>
      </c>
      <c r="R239" s="15">
        <f t="shared" si="27"/>
        <v>5.5531407805884198E-2</v>
      </c>
      <c r="S239" s="18">
        <f t="shared" si="28"/>
        <v>-0.12888637811010994</v>
      </c>
      <c r="T239" s="18">
        <f t="shared" si="29"/>
        <v>0.26439706673954788</v>
      </c>
      <c r="U239" s="18">
        <f t="shared" si="30"/>
        <v>6.7755447696981719E-2</v>
      </c>
    </row>
    <row r="240" spans="15:21" x14ac:dyDescent="0.25">
      <c r="O240" s="15">
        <v>232</v>
      </c>
      <c r="P240" s="15">
        <f t="shared" si="31"/>
        <v>5.5531403149271324E-2</v>
      </c>
      <c r="Q240" s="15">
        <f t="shared" si="32"/>
        <v>5.5531407805884198E-2</v>
      </c>
      <c r="R240" s="15">
        <f t="shared" si="27"/>
        <v>5.5531405477577761E-2</v>
      </c>
      <c r="S240" s="18">
        <f t="shared" si="28"/>
        <v>-0.12888637811010994</v>
      </c>
      <c r="T240" s="18">
        <f t="shared" si="29"/>
        <v>6.7755447696981719E-2</v>
      </c>
      <c r="U240" s="18">
        <f t="shared" si="30"/>
        <v>-3.0565462876893434E-2</v>
      </c>
    </row>
    <row r="241" spans="15:21" x14ac:dyDescent="0.25">
      <c r="O241" s="15">
        <v>233</v>
      </c>
      <c r="P241" s="15">
        <f t="shared" si="31"/>
        <v>5.5531405477577761E-2</v>
      </c>
      <c r="Q241" s="15">
        <f t="shared" si="32"/>
        <v>5.5531407805884198E-2</v>
      </c>
      <c r="R241" s="15">
        <f t="shared" si="27"/>
        <v>5.5531406641730979E-2</v>
      </c>
      <c r="S241" s="18">
        <f t="shared" si="28"/>
        <v>-3.0565462876893434E-2</v>
      </c>
      <c r="T241" s="18">
        <f t="shared" si="29"/>
        <v>6.7755447696981719E-2</v>
      </c>
      <c r="U241" s="18">
        <f t="shared" si="30"/>
        <v>1.8594893689623859E-2</v>
      </c>
    </row>
    <row r="242" spans="15:21" x14ac:dyDescent="0.25">
      <c r="O242" s="15">
        <v>234</v>
      </c>
      <c r="P242" s="15">
        <f t="shared" si="31"/>
        <v>5.5531405477577761E-2</v>
      </c>
      <c r="Q242" s="15">
        <f t="shared" si="32"/>
        <v>5.5531406641730979E-2</v>
      </c>
      <c r="R242" s="15">
        <f t="shared" si="27"/>
        <v>5.553140605965437E-2</v>
      </c>
      <c r="S242" s="18">
        <f t="shared" si="28"/>
        <v>-3.0565462876893434E-2</v>
      </c>
      <c r="T242" s="18">
        <f t="shared" si="29"/>
        <v>1.8594893689623859E-2</v>
      </c>
      <c r="U242" s="18">
        <f t="shared" si="30"/>
        <v>-5.9851868049918266E-3</v>
      </c>
    </row>
    <row r="243" spans="15:21" x14ac:dyDescent="0.25">
      <c r="O243" s="15">
        <v>235</v>
      </c>
      <c r="P243" s="15">
        <f t="shared" si="31"/>
        <v>5.553140605965437E-2</v>
      </c>
      <c r="Q243" s="15">
        <f t="shared" si="32"/>
        <v>5.5531406641730979E-2</v>
      </c>
      <c r="R243" s="15">
        <f t="shared" si="27"/>
        <v>5.5531406350692675E-2</v>
      </c>
      <c r="S243" s="18">
        <f t="shared" si="28"/>
        <v>-5.9851868049918266E-3</v>
      </c>
      <c r="T243" s="18">
        <f t="shared" si="29"/>
        <v>1.8594893689623859E-2</v>
      </c>
      <c r="U243" s="18">
        <f t="shared" si="30"/>
        <v>6.3048541405805736E-3</v>
      </c>
    </row>
    <row r="244" spans="15:21" x14ac:dyDescent="0.25">
      <c r="O244" s="15">
        <v>236</v>
      </c>
      <c r="P244" s="15">
        <f t="shared" si="31"/>
        <v>5.553140605965437E-2</v>
      </c>
      <c r="Q244" s="15">
        <f t="shared" si="32"/>
        <v>5.5531406350692675E-2</v>
      </c>
      <c r="R244" s="15">
        <f t="shared" si="27"/>
        <v>5.5531406205173522E-2</v>
      </c>
      <c r="S244" s="18">
        <f t="shared" si="28"/>
        <v>-5.9851868049918266E-3</v>
      </c>
      <c r="T244" s="18">
        <f t="shared" si="29"/>
        <v>6.3048541405805736E-3</v>
      </c>
      <c r="U244" s="18">
        <f t="shared" si="30"/>
        <v>1.5973541303537786E-4</v>
      </c>
    </row>
    <row r="245" spans="15:21" x14ac:dyDescent="0.25">
      <c r="O245" s="15">
        <v>237</v>
      </c>
      <c r="P245" s="15">
        <f t="shared" si="31"/>
        <v>5.553140605965437E-2</v>
      </c>
      <c r="Q245" s="15">
        <f t="shared" si="32"/>
        <v>5.5531406205173522E-2</v>
      </c>
      <c r="R245" s="15">
        <f t="shared" si="27"/>
        <v>5.5531406132413946E-2</v>
      </c>
      <c r="S245" s="18">
        <f t="shared" si="28"/>
        <v>-5.9851868049918266E-3</v>
      </c>
      <c r="T245" s="18">
        <f t="shared" si="29"/>
        <v>1.5973541303537786E-4</v>
      </c>
      <c r="U245" s="18">
        <f t="shared" si="30"/>
        <v>-2.9128244168532547E-3</v>
      </c>
    </row>
    <row r="246" spans="15:21" x14ac:dyDescent="0.25">
      <c r="O246" s="15">
        <v>238</v>
      </c>
      <c r="P246" s="15">
        <f t="shared" si="31"/>
        <v>5.5531406132413946E-2</v>
      </c>
      <c r="Q246" s="15">
        <f t="shared" si="32"/>
        <v>5.5531406205173522E-2</v>
      </c>
      <c r="R246" s="15">
        <f t="shared" si="27"/>
        <v>5.5531406168793734E-2</v>
      </c>
      <c r="S246" s="18">
        <f t="shared" si="28"/>
        <v>-2.9128244168532547E-3</v>
      </c>
      <c r="T246" s="18">
        <f t="shared" si="29"/>
        <v>1.5973541303537786E-4</v>
      </c>
      <c r="U246" s="18">
        <f t="shared" si="30"/>
        <v>-1.3764448494839598E-3</v>
      </c>
    </row>
    <row r="247" spans="15:21" x14ac:dyDescent="0.25">
      <c r="O247" s="15">
        <v>239</v>
      </c>
      <c r="P247" s="15">
        <f t="shared" si="31"/>
        <v>5.5531406168793734E-2</v>
      </c>
      <c r="Q247" s="15">
        <f t="shared" si="32"/>
        <v>5.5531406205173522E-2</v>
      </c>
      <c r="R247" s="15">
        <f t="shared" si="27"/>
        <v>5.5531406186983628E-2</v>
      </c>
      <c r="S247" s="18">
        <f t="shared" si="28"/>
        <v>-1.3764448494839598E-3</v>
      </c>
      <c r="T247" s="18">
        <f t="shared" si="29"/>
        <v>1.5973541303537786E-4</v>
      </c>
      <c r="U247" s="18">
        <f t="shared" si="30"/>
        <v>-6.0825809396192199E-4</v>
      </c>
    </row>
    <row r="248" spans="15:21" x14ac:dyDescent="0.25">
      <c r="O248" s="15">
        <v>240</v>
      </c>
      <c r="P248" s="15">
        <f t="shared" si="31"/>
        <v>5.5531406186983628E-2</v>
      </c>
      <c r="Q248" s="15">
        <f t="shared" si="32"/>
        <v>5.5531406205173522E-2</v>
      </c>
      <c r="R248" s="15">
        <f t="shared" si="27"/>
        <v>5.5531406196078575E-2</v>
      </c>
      <c r="S248" s="18">
        <f t="shared" si="28"/>
        <v>-6.0825809396192199E-4</v>
      </c>
      <c r="T248" s="18">
        <f t="shared" si="29"/>
        <v>1.5973541303537786E-4</v>
      </c>
      <c r="U248" s="18">
        <f t="shared" si="30"/>
        <v>-2.2426110808737576E-4</v>
      </c>
    </row>
    <row r="249" spans="15:21" x14ac:dyDescent="0.25">
      <c r="O249" s="15">
        <v>241</v>
      </c>
      <c r="P249" s="15">
        <f t="shared" si="31"/>
        <v>5.5531406196078575E-2</v>
      </c>
      <c r="Q249" s="15">
        <f t="shared" si="32"/>
        <v>5.5531406205173522E-2</v>
      </c>
      <c r="R249" s="15">
        <f t="shared" si="27"/>
        <v>5.5531406200626049E-2</v>
      </c>
      <c r="S249" s="18">
        <f t="shared" si="28"/>
        <v>-2.2426110808737576E-4</v>
      </c>
      <c r="T249" s="18">
        <f t="shared" si="29"/>
        <v>1.5973541303537786E-4</v>
      </c>
      <c r="U249" s="18">
        <f t="shared" si="30"/>
        <v>-3.2261682008538628E-5</v>
      </c>
    </row>
    <row r="250" spans="15:21" x14ac:dyDescent="0.25">
      <c r="O250" s="15">
        <v>242</v>
      </c>
      <c r="P250" s="15">
        <f t="shared" si="31"/>
        <v>5.5531406200626049E-2</v>
      </c>
      <c r="Q250" s="15">
        <f t="shared" si="32"/>
        <v>5.5531406205173522E-2</v>
      </c>
      <c r="R250" s="15">
        <f t="shared" si="27"/>
        <v>5.5531406202899786E-2</v>
      </c>
      <c r="S250" s="18">
        <f t="shared" si="28"/>
        <v>-3.2261682008538628E-5</v>
      </c>
      <c r="T250" s="18">
        <f t="shared" si="29"/>
        <v>1.5973541303537786E-4</v>
      </c>
      <c r="U250" s="18">
        <f t="shared" si="30"/>
        <v>6.3735001731402008E-5</v>
      </c>
    </row>
    <row r="251" spans="15:21" x14ac:dyDescent="0.25">
      <c r="O251" s="15">
        <v>243</v>
      </c>
      <c r="P251" s="15">
        <f t="shared" si="31"/>
        <v>5.5531406200626049E-2</v>
      </c>
      <c r="Q251" s="15">
        <f t="shared" si="32"/>
        <v>5.5531406202899786E-2</v>
      </c>
      <c r="R251" s="15">
        <f t="shared" si="27"/>
        <v>5.5531406201762917E-2</v>
      </c>
      <c r="S251" s="18">
        <f t="shared" si="28"/>
        <v>-3.2261682008538628E-5</v>
      </c>
      <c r="T251" s="18">
        <f t="shared" si="29"/>
        <v>6.3735001731402008E-5</v>
      </c>
      <c r="U251" s="18">
        <f t="shared" si="30"/>
        <v>1.5737591638753656E-5</v>
      </c>
    </row>
    <row r="252" spans="15:21" x14ac:dyDescent="0.25">
      <c r="O252" s="15">
        <v>244</v>
      </c>
      <c r="P252" s="15">
        <f t="shared" si="31"/>
        <v>5.5531406200626049E-2</v>
      </c>
      <c r="Q252" s="15">
        <f t="shared" si="32"/>
        <v>5.5531406201762917E-2</v>
      </c>
      <c r="R252" s="15">
        <f t="shared" si="27"/>
        <v>5.5531406201194483E-2</v>
      </c>
      <c r="S252" s="18">
        <f t="shared" si="28"/>
        <v>-3.2261682008538628E-5</v>
      </c>
      <c r="T252" s="18">
        <f t="shared" si="29"/>
        <v>1.5737591638753656E-5</v>
      </c>
      <c r="U252" s="18">
        <f t="shared" si="30"/>
        <v>-8.2643750829447526E-6</v>
      </c>
    </row>
    <row r="253" spans="15:21" x14ac:dyDescent="0.25">
      <c r="O253" s="15">
        <v>245</v>
      </c>
      <c r="P253" s="15">
        <f t="shared" si="31"/>
        <v>5.5531406201194483E-2</v>
      </c>
      <c r="Q253" s="15">
        <f t="shared" si="32"/>
        <v>5.5531406201762917E-2</v>
      </c>
      <c r="R253" s="15">
        <f t="shared" si="27"/>
        <v>5.55314062014787E-2</v>
      </c>
      <c r="S253" s="18">
        <f t="shared" si="28"/>
        <v>-8.2643750829447526E-6</v>
      </c>
      <c r="T253" s="18">
        <f t="shared" si="29"/>
        <v>1.5737591638753656E-5</v>
      </c>
      <c r="U253" s="18">
        <f t="shared" si="30"/>
        <v>3.8341636354743969E-6</v>
      </c>
    </row>
    <row r="254" spans="15:21" x14ac:dyDescent="0.25">
      <c r="O254" s="15">
        <v>246</v>
      </c>
      <c r="P254" s="15">
        <f t="shared" si="31"/>
        <v>5.5531406201194483E-2</v>
      </c>
      <c r="Q254" s="15">
        <f t="shared" si="32"/>
        <v>5.55314062014787E-2</v>
      </c>
      <c r="R254" s="15">
        <f t="shared" si="27"/>
        <v>5.5531406201336592E-2</v>
      </c>
      <c r="S254" s="18">
        <f t="shared" si="28"/>
        <v>-8.2643750829447526E-6</v>
      </c>
      <c r="T254" s="18">
        <f t="shared" si="29"/>
        <v>3.8341636354743969E-6</v>
      </c>
      <c r="U254" s="18">
        <f t="shared" si="30"/>
        <v>-2.2141739464132115E-6</v>
      </c>
    </row>
    <row r="255" spans="15:21" x14ac:dyDescent="0.25">
      <c r="O255" s="15">
        <v>247</v>
      </c>
      <c r="P255" s="15">
        <f t="shared" si="31"/>
        <v>5.5531406201336592E-2</v>
      </c>
      <c r="Q255" s="15">
        <f t="shared" si="32"/>
        <v>5.55314062014787E-2</v>
      </c>
      <c r="R255" s="15">
        <f t="shared" si="27"/>
        <v>5.5531406201407646E-2</v>
      </c>
      <c r="S255" s="18">
        <f t="shared" si="28"/>
        <v>-2.2141739464132115E-6</v>
      </c>
      <c r="T255" s="18">
        <f t="shared" si="29"/>
        <v>3.8341636354743969E-6</v>
      </c>
      <c r="U255" s="18">
        <f t="shared" si="30"/>
        <v>7.1383738031727262E-7</v>
      </c>
    </row>
    <row r="256" spans="15:21" x14ac:dyDescent="0.25">
      <c r="O256" s="15">
        <v>248</v>
      </c>
      <c r="P256" s="15">
        <f t="shared" si="31"/>
        <v>5.5531406201336592E-2</v>
      </c>
      <c r="Q256" s="15">
        <f t="shared" si="32"/>
        <v>5.5531406201407646E-2</v>
      </c>
      <c r="R256" s="15">
        <f t="shared" si="27"/>
        <v>5.5531406201372119E-2</v>
      </c>
      <c r="S256" s="18">
        <f t="shared" si="28"/>
        <v>-2.2141739464132115E-6</v>
      </c>
      <c r="T256" s="18">
        <f t="shared" si="29"/>
        <v>7.1383738031727262E-7</v>
      </c>
      <c r="U256" s="18">
        <f t="shared" si="30"/>
        <v>-6.5354470279999077E-7</v>
      </c>
    </row>
    <row r="257" spans="15:21" x14ac:dyDescent="0.25">
      <c r="O257" s="15">
        <v>249</v>
      </c>
      <c r="P257" s="15">
        <f t="shared" si="31"/>
        <v>5.5531406201372119E-2</v>
      </c>
      <c r="Q257" s="15">
        <f t="shared" si="32"/>
        <v>5.5531406201407646E-2</v>
      </c>
      <c r="R257" s="15">
        <f t="shared" si="27"/>
        <v>5.5531406201389882E-2</v>
      </c>
      <c r="S257" s="18">
        <f t="shared" si="28"/>
        <v>-6.5354470279999077E-7</v>
      </c>
      <c r="T257" s="18">
        <f t="shared" si="29"/>
        <v>7.1383738031727262E-7</v>
      </c>
      <c r="U257" s="18">
        <f t="shared" si="30"/>
        <v>3.0612227419624105E-8</v>
      </c>
    </row>
    <row r="258" spans="15:21" x14ac:dyDescent="0.25">
      <c r="O258" s="15">
        <v>250</v>
      </c>
      <c r="P258" s="15">
        <f t="shared" si="31"/>
        <v>5.5531406201372119E-2</v>
      </c>
      <c r="Q258" s="15">
        <f t="shared" si="32"/>
        <v>5.5531406201389882E-2</v>
      </c>
      <c r="R258" s="15">
        <f t="shared" si="27"/>
        <v>5.5531406201381001E-2</v>
      </c>
      <c r="S258" s="18">
        <f t="shared" si="28"/>
        <v>-6.5354470279999077E-7</v>
      </c>
      <c r="T258" s="18">
        <f t="shared" si="29"/>
        <v>3.0612227419624105E-8</v>
      </c>
      <c r="U258" s="18">
        <f t="shared" si="30"/>
        <v>-3.1053423299454153E-7</v>
      </c>
    </row>
    <row r="259" spans="15:21" x14ac:dyDescent="0.25">
      <c r="O259" s="15">
        <v>251</v>
      </c>
      <c r="P259" s="15">
        <f t="shared" si="31"/>
        <v>5.5531406201381001E-2</v>
      </c>
      <c r="Q259" s="15">
        <f t="shared" si="32"/>
        <v>5.5531406201389882E-2</v>
      </c>
      <c r="R259" s="15">
        <f t="shared" si="27"/>
        <v>5.5531406201385441E-2</v>
      </c>
      <c r="S259" s="18">
        <f t="shared" si="28"/>
        <v>-3.1053423299454153E-7</v>
      </c>
      <c r="T259" s="18">
        <f t="shared" si="29"/>
        <v>3.0612227419624105E-8</v>
      </c>
      <c r="U259" s="18">
        <f t="shared" si="30"/>
        <v>-2.3821530703571625E-7</v>
      </c>
    </row>
    <row r="260" spans="15:21" x14ac:dyDescent="0.25">
      <c r="O260" s="15">
        <v>252</v>
      </c>
      <c r="P260" s="15">
        <f t="shared" si="31"/>
        <v>5.5531406201385441E-2</v>
      </c>
      <c r="Q260" s="15">
        <f t="shared" si="32"/>
        <v>5.5531406201389882E-2</v>
      </c>
      <c r="R260" s="15">
        <f t="shared" si="27"/>
        <v>5.5531406201387662E-2</v>
      </c>
      <c r="S260" s="18">
        <f t="shared" si="28"/>
        <v>-2.3821530703571625E-7</v>
      </c>
      <c r="T260" s="18">
        <f t="shared" si="29"/>
        <v>3.0612227419624105E-8</v>
      </c>
      <c r="U260" s="18">
        <f t="shared" si="30"/>
        <v>-1.0403437045169994E-7</v>
      </c>
    </row>
    <row r="261" spans="15:21" x14ac:dyDescent="0.25">
      <c r="O261" s="15">
        <v>253</v>
      </c>
      <c r="P261" s="15">
        <f t="shared" si="31"/>
        <v>5.5531406201387662E-2</v>
      </c>
      <c r="Q261" s="15">
        <f t="shared" si="32"/>
        <v>5.5531406201389882E-2</v>
      </c>
      <c r="R261" s="15">
        <f t="shared" si="27"/>
        <v>5.5531406201388772E-2</v>
      </c>
      <c r="S261" s="18">
        <f t="shared" si="28"/>
        <v>-1.0403437045169994E-7</v>
      </c>
      <c r="T261" s="18">
        <f t="shared" si="29"/>
        <v>3.0612227419624105E-8</v>
      </c>
      <c r="U261" s="18">
        <f t="shared" si="30"/>
        <v>6.1310856835916638E-8</v>
      </c>
    </row>
    <row r="262" spans="15:21" x14ac:dyDescent="0.25">
      <c r="O262" s="15">
        <v>254</v>
      </c>
      <c r="P262" s="15">
        <f t="shared" si="31"/>
        <v>5.5531406201387662E-2</v>
      </c>
      <c r="Q262" s="15">
        <f t="shared" si="32"/>
        <v>5.5531406201388772E-2</v>
      </c>
      <c r="R262" s="15">
        <f t="shared" si="27"/>
        <v>5.5531406201388217E-2</v>
      </c>
      <c r="S262" s="18">
        <f t="shared" si="28"/>
        <v>-1.0403437045169994E-7</v>
      </c>
      <c r="T262" s="18">
        <f t="shared" si="29"/>
        <v>6.1310856835916638E-8</v>
      </c>
      <c r="U262" s="18">
        <f t="shared" si="30"/>
        <v>-1.2310601960052736E-7</v>
      </c>
    </row>
    <row r="263" spans="15:21" x14ac:dyDescent="0.25">
      <c r="O263" s="15">
        <v>255</v>
      </c>
      <c r="P263" s="15">
        <f t="shared" si="31"/>
        <v>5.5531406201388217E-2</v>
      </c>
      <c r="Q263" s="15">
        <f t="shared" si="32"/>
        <v>5.5531406201388772E-2</v>
      </c>
      <c r="R263" s="15">
        <f t="shared" si="27"/>
        <v>5.5531406201388495E-2</v>
      </c>
      <c r="S263" s="18">
        <f t="shared" si="28"/>
        <v>-1.2310601960052736E-7</v>
      </c>
      <c r="T263" s="18">
        <f t="shared" si="29"/>
        <v>6.1310856835916638E-8</v>
      </c>
      <c r="U263" s="18">
        <f t="shared" si="30"/>
        <v>-1.3054977898718789E-7</v>
      </c>
    </row>
    <row r="264" spans="15:21" x14ac:dyDescent="0.25">
      <c r="O264" s="15">
        <v>256</v>
      </c>
      <c r="P264" s="15">
        <f t="shared" si="31"/>
        <v>5.5531406201388495E-2</v>
      </c>
      <c r="Q264" s="15">
        <f t="shared" si="32"/>
        <v>5.5531406201388772E-2</v>
      </c>
      <c r="R264" s="15">
        <f t="shared" si="27"/>
        <v>5.5531406201388633E-2</v>
      </c>
      <c r="S264" s="18">
        <f t="shared" si="28"/>
        <v>-1.3054977898718789E-7</v>
      </c>
      <c r="T264" s="18">
        <f t="shared" si="29"/>
        <v>6.1310856835916638E-8</v>
      </c>
      <c r="U264" s="18">
        <f t="shared" si="30"/>
        <v>6.1310856835916638E-8</v>
      </c>
    </row>
    <row r="265" spans="15:21" x14ac:dyDescent="0.25">
      <c r="O265" s="15">
        <v>257</v>
      </c>
      <c r="P265" s="15">
        <f t="shared" si="31"/>
        <v>5.5531406201388495E-2</v>
      </c>
      <c r="Q265" s="15">
        <f t="shared" si="32"/>
        <v>5.5531406201388633E-2</v>
      </c>
      <c r="R265" s="15">
        <f t="shared" si="27"/>
        <v>5.5531406201388564E-2</v>
      </c>
      <c r="S265" s="18">
        <f t="shared" si="28"/>
        <v>-1.3054977898718789E-7</v>
      </c>
      <c r="T265" s="18">
        <f t="shared" si="29"/>
        <v>6.1310856835916638E-8</v>
      </c>
      <c r="U265" s="18">
        <f t="shared" si="30"/>
        <v>-1.3054977898718789E-7</v>
      </c>
    </row>
    <row r="266" spans="15:21" x14ac:dyDescent="0.25">
      <c r="O266" s="15">
        <v>258</v>
      </c>
      <c r="P266" s="15">
        <f t="shared" si="31"/>
        <v>5.5531406201388564E-2</v>
      </c>
      <c r="Q266" s="15">
        <f t="shared" si="32"/>
        <v>5.5531406201388633E-2</v>
      </c>
      <c r="R266" s="15">
        <f t="shared" si="27"/>
        <v>5.5531406201388599E-2</v>
      </c>
      <c r="S266" s="18">
        <f t="shared" si="28"/>
        <v>-1.3054977898718789E-7</v>
      </c>
      <c r="T266" s="18">
        <f t="shared" si="29"/>
        <v>6.1310856835916638E-8</v>
      </c>
      <c r="U266" s="18">
        <f t="shared" si="30"/>
        <v>-1.3054977898718789E-7</v>
      </c>
    </row>
    <row r="267" spans="15:21" x14ac:dyDescent="0.25">
      <c r="O267" s="15">
        <v>259</v>
      </c>
      <c r="P267" s="15">
        <f t="shared" si="31"/>
        <v>5.5531406201388599E-2</v>
      </c>
      <c r="Q267" s="15">
        <f t="shared" si="32"/>
        <v>5.5531406201388633E-2</v>
      </c>
      <c r="R267" s="15">
        <f t="shared" si="27"/>
        <v>5.5531406201388619E-2</v>
      </c>
      <c r="S267" s="18">
        <f t="shared" si="28"/>
        <v>-1.3054977898718789E-7</v>
      </c>
      <c r="T267" s="18">
        <f t="shared" si="29"/>
        <v>6.1310856835916638E-8</v>
      </c>
      <c r="U267" s="18">
        <f t="shared" si="30"/>
        <v>-1.3054977898718789E-7</v>
      </c>
    </row>
    <row r="268" spans="15:21" x14ac:dyDescent="0.25">
      <c r="O268" s="15">
        <v>260</v>
      </c>
      <c r="P268" s="15">
        <f t="shared" si="31"/>
        <v>5.5531406201388619E-2</v>
      </c>
      <c r="Q268" s="15">
        <f t="shared" si="32"/>
        <v>5.5531406201388633E-2</v>
      </c>
      <c r="R268" s="15">
        <f t="shared" si="27"/>
        <v>5.5531406201388626E-2</v>
      </c>
      <c r="S268" s="18">
        <f t="shared" si="28"/>
        <v>-1.3054977898718789E-7</v>
      </c>
      <c r="T268" s="18">
        <f t="shared" si="29"/>
        <v>6.1310856835916638E-8</v>
      </c>
      <c r="U268" s="18">
        <f t="shared" si="30"/>
        <v>-1.3054977898718789E-7</v>
      </c>
    </row>
    <row r="269" spans="15:21" x14ac:dyDescent="0.25">
      <c r="O269" s="15">
        <v>261</v>
      </c>
      <c r="P269" s="15">
        <f t="shared" si="31"/>
        <v>5.5531406201388626E-2</v>
      </c>
      <c r="Q269" s="15">
        <f t="shared" si="32"/>
        <v>5.5531406201388633E-2</v>
      </c>
      <c r="R269" s="15">
        <f t="shared" si="27"/>
        <v>5.5531406201388633E-2</v>
      </c>
      <c r="S269" s="18">
        <f t="shared" si="28"/>
        <v>-1.3054977898718789E-7</v>
      </c>
      <c r="T269" s="18">
        <f t="shared" si="29"/>
        <v>6.1310856835916638E-8</v>
      </c>
      <c r="U269" s="18">
        <f t="shared" si="30"/>
        <v>6.1310856835916638E-8</v>
      </c>
    </row>
    <row r="270" spans="15:21" x14ac:dyDescent="0.25">
      <c r="O270" s="15">
        <v>262</v>
      </c>
      <c r="P270" s="15">
        <f t="shared" si="31"/>
        <v>5.5531406201388626E-2</v>
      </c>
      <c r="Q270" s="15">
        <f t="shared" si="32"/>
        <v>5.5531406201388633E-2</v>
      </c>
      <c r="R270" s="15">
        <f t="shared" si="27"/>
        <v>5.5531406201388633E-2</v>
      </c>
      <c r="S270" s="18">
        <f t="shared" si="28"/>
        <v>-1.3054977898718789E-7</v>
      </c>
      <c r="T270" s="18">
        <f t="shared" si="29"/>
        <v>6.1310856835916638E-8</v>
      </c>
      <c r="U270" s="18">
        <f t="shared" si="30"/>
        <v>6.1310856835916638E-8</v>
      </c>
    </row>
    <row r="271" spans="15:21" x14ac:dyDescent="0.25">
      <c r="O271" s="15">
        <v>263</v>
      </c>
      <c r="P271" s="15">
        <f t="shared" si="31"/>
        <v>5.5531406201388626E-2</v>
      </c>
      <c r="Q271" s="15">
        <f t="shared" si="32"/>
        <v>5.5531406201388633E-2</v>
      </c>
      <c r="R271" s="15">
        <f t="shared" si="27"/>
        <v>5.5531406201388633E-2</v>
      </c>
      <c r="S271" s="18">
        <f t="shared" si="28"/>
        <v>-1.3054977898718789E-7</v>
      </c>
      <c r="T271" s="18">
        <f t="shared" si="29"/>
        <v>6.1310856835916638E-8</v>
      </c>
      <c r="U271" s="18">
        <f t="shared" si="30"/>
        <v>6.1310856835916638E-8</v>
      </c>
    </row>
    <row r="272" spans="15:21" x14ac:dyDescent="0.25">
      <c r="O272" s="15">
        <v>264</v>
      </c>
      <c r="P272" s="15">
        <f t="shared" si="31"/>
        <v>5.5531406201388626E-2</v>
      </c>
      <c r="Q272" s="15">
        <f t="shared" si="32"/>
        <v>5.5531406201388633E-2</v>
      </c>
      <c r="R272" s="15">
        <f t="shared" si="27"/>
        <v>5.5531406201388633E-2</v>
      </c>
      <c r="S272" s="18">
        <f t="shared" si="28"/>
        <v>-1.3054977898718789E-7</v>
      </c>
      <c r="T272" s="18">
        <f t="shared" si="29"/>
        <v>6.1310856835916638E-8</v>
      </c>
      <c r="U272" s="18">
        <f t="shared" si="30"/>
        <v>6.1310856835916638E-8</v>
      </c>
    </row>
    <row r="273" spans="15:21" x14ac:dyDescent="0.25">
      <c r="O273" s="15">
        <v>265</v>
      </c>
      <c r="P273" s="15">
        <f t="shared" si="31"/>
        <v>5.5531406201388626E-2</v>
      </c>
      <c r="Q273" s="15">
        <f t="shared" si="32"/>
        <v>5.5531406201388633E-2</v>
      </c>
      <c r="R273" s="15">
        <f t="shared" ref="R273:R336" si="33">(P273+Q273)/2</f>
        <v>5.5531406201388633E-2</v>
      </c>
      <c r="S273" s="18">
        <f t="shared" ref="S273:S336" si="34">$E$4-$E$10-$E$11*(1+P273)^(-$E$5/$L$9)-$E$13*(1+P273)^(-$H$13/$L$9)-$E$14*(1+P273)^(-$H$14/$L$9) +$E$24*((1-(1+P273)^(-$E$5/$L$9)))/(1-(1+P273)^(1/$L$9))+$E$17*((1-(1+P273)^(-$J$20/$M$4)))/(1-(1+P273)^(1/$M$4))+$E$18*((1-(1+P273)^(-$J$21/$M$5)))/(1-(1+P273)^(1/$M$5))+$E$19*((1-(1+P273)^(-$J$22/$M$6)))/(1-(1+P273)^(1/$M$6))+$E$20*((1-(1+P273)^(-$J$23/$M$7)))/(1-(1+P273)^(1/$M$7))+$E$21*((1-(1+P273)^(-$J$24/$M$8)))/(1-(1+P273)^(1/$M$8))</f>
        <v>-1.3054977898718789E-7</v>
      </c>
      <c r="T273" s="18">
        <f t="shared" ref="T273:T336" si="35">$E$4-$E$10-$E$11*(1+Q273)^(-$E$5/$L$9)-$E$13*(1+Q273)^(-$H$13/$L$9)-$E$14*(1+Q273)^(-$H$14/$L$9) +$E$24*((1-(1+Q273)^(-$E$5/$L$9)))/(1-(1+Q273)^(1/$L$9))+$E$17*((1-(1+Q273)^(-$J$20/$M$4)))/(1-(1+Q273)^(1/$M$4))+$E$18*((1-(1+Q273)^(-$J$21/$M$5)))/(1-(1+Q273)^(1/$M$5))+$E$19*((1-(1+Q273)^(-$J$22/$M$6)))/(1-(1+Q273)^(1/$M$6))+$E$20*((1-(1+Q273)^(-$J$23/$M$7)))/(1-(1+Q273)^(1/$M$7))+$E$21*((1-(1+Q273)^(-$J$24/$M$8)))/(1-(1+Q273)^(1/$M$8))</f>
        <v>6.1310856835916638E-8</v>
      </c>
      <c r="U273" s="18">
        <f t="shared" ref="U273:U336" si="36">$E$4-$E$10-$E$11*(1+R273)^(-$E$5/$L$9)-$E$13*(1+R273)^(-$H$13/$L$9)-$E$14*(1+R273)^(-$H$14/$L$9) +$E$24*((1-(1+R273)^(-$E$5/$L$9)))/(1-(1+R273)^(1/$L$9))+$E$17*((1-(1+R273)^(-$J$20/$M$4)))/(1-(1+R273)^(1/$M$4))+$E$18*((1-(1+R273)^(-$J$21/$M$5)))/(1-(1+R273)^(1/$M$5))+$E$19*((1-(1+R273)^(-$J$22/$M$6)))/(1-(1+R273)^(1/$M$6))+$E$20*((1-(1+R273)^(-$J$23/$M$7)))/(1-(1+R273)^(1/$M$7))+$E$21*((1-(1+R273)^(-$J$24/$M$8)))/(1-(1+R273)^(1/$M$8))</f>
        <v>6.1310856835916638E-8</v>
      </c>
    </row>
    <row r="274" spans="15:21" x14ac:dyDescent="0.25">
      <c r="O274" s="15">
        <v>266</v>
      </c>
      <c r="P274" s="15">
        <f t="shared" ref="P274:P308" si="37">IF(S273*U273&gt;=0,R273,P273)</f>
        <v>5.5531406201388626E-2</v>
      </c>
      <c r="Q274" s="15">
        <f t="shared" ref="Q274:Q308" si="38">IF(T273*U273&gt;=0,R273,Q273)</f>
        <v>5.5531406201388633E-2</v>
      </c>
      <c r="R274" s="15">
        <f t="shared" si="33"/>
        <v>5.5531406201388633E-2</v>
      </c>
      <c r="S274" s="18">
        <f t="shared" si="34"/>
        <v>-1.3054977898718789E-7</v>
      </c>
      <c r="T274" s="18">
        <f t="shared" si="35"/>
        <v>6.1310856835916638E-8</v>
      </c>
      <c r="U274" s="18">
        <f t="shared" si="36"/>
        <v>6.1310856835916638E-8</v>
      </c>
    </row>
    <row r="275" spans="15:21" x14ac:dyDescent="0.25">
      <c r="O275" s="15">
        <v>267</v>
      </c>
      <c r="P275" s="15">
        <f t="shared" si="37"/>
        <v>5.5531406201388626E-2</v>
      </c>
      <c r="Q275" s="15">
        <f t="shared" si="38"/>
        <v>5.5531406201388633E-2</v>
      </c>
      <c r="R275" s="15">
        <f t="shared" si="33"/>
        <v>5.5531406201388633E-2</v>
      </c>
      <c r="S275" s="18">
        <f t="shared" si="34"/>
        <v>-1.3054977898718789E-7</v>
      </c>
      <c r="T275" s="18">
        <f t="shared" si="35"/>
        <v>6.1310856835916638E-8</v>
      </c>
      <c r="U275" s="18">
        <f t="shared" si="36"/>
        <v>6.1310856835916638E-8</v>
      </c>
    </row>
    <row r="276" spans="15:21" x14ac:dyDescent="0.25">
      <c r="O276" s="15">
        <v>268</v>
      </c>
      <c r="P276" s="15">
        <f t="shared" si="37"/>
        <v>5.5531406201388626E-2</v>
      </c>
      <c r="Q276" s="15">
        <f t="shared" si="38"/>
        <v>5.5531406201388633E-2</v>
      </c>
      <c r="R276" s="15">
        <f t="shared" si="33"/>
        <v>5.5531406201388633E-2</v>
      </c>
      <c r="S276" s="18">
        <f t="shared" si="34"/>
        <v>-1.3054977898718789E-7</v>
      </c>
      <c r="T276" s="18">
        <f t="shared" si="35"/>
        <v>6.1310856835916638E-8</v>
      </c>
      <c r="U276" s="18">
        <f t="shared" si="36"/>
        <v>6.1310856835916638E-8</v>
      </c>
    </row>
    <row r="277" spans="15:21" x14ac:dyDescent="0.25">
      <c r="O277" s="15">
        <v>269</v>
      </c>
      <c r="P277" s="15">
        <f t="shared" si="37"/>
        <v>5.5531406201388626E-2</v>
      </c>
      <c r="Q277" s="15">
        <f t="shared" si="38"/>
        <v>5.5531406201388633E-2</v>
      </c>
      <c r="R277" s="15">
        <f t="shared" si="33"/>
        <v>5.5531406201388633E-2</v>
      </c>
      <c r="S277" s="18">
        <f t="shared" si="34"/>
        <v>-1.3054977898718789E-7</v>
      </c>
      <c r="T277" s="18">
        <f t="shared" si="35"/>
        <v>6.1310856835916638E-8</v>
      </c>
      <c r="U277" s="18">
        <f t="shared" si="36"/>
        <v>6.1310856835916638E-8</v>
      </c>
    </row>
    <row r="278" spans="15:21" x14ac:dyDescent="0.25">
      <c r="O278" s="15">
        <v>270</v>
      </c>
      <c r="P278" s="15">
        <f t="shared" si="37"/>
        <v>5.5531406201388626E-2</v>
      </c>
      <c r="Q278" s="15">
        <f t="shared" si="38"/>
        <v>5.5531406201388633E-2</v>
      </c>
      <c r="R278" s="15">
        <f t="shared" si="33"/>
        <v>5.5531406201388633E-2</v>
      </c>
      <c r="S278" s="18">
        <f t="shared" si="34"/>
        <v>-1.3054977898718789E-7</v>
      </c>
      <c r="T278" s="18">
        <f t="shared" si="35"/>
        <v>6.1310856835916638E-8</v>
      </c>
      <c r="U278" s="18">
        <f t="shared" si="36"/>
        <v>6.1310856835916638E-8</v>
      </c>
    </row>
    <row r="279" spans="15:21" x14ac:dyDescent="0.25">
      <c r="O279" s="15">
        <v>271</v>
      </c>
      <c r="P279" s="15">
        <f t="shared" si="37"/>
        <v>5.5531406201388626E-2</v>
      </c>
      <c r="Q279" s="15">
        <f t="shared" si="38"/>
        <v>5.5531406201388633E-2</v>
      </c>
      <c r="R279" s="15">
        <f t="shared" si="33"/>
        <v>5.5531406201388633E-2</v>
      </c>
      <c r="S279" s="18">
        <f t="shared" si="34"/>
        <v>-1.3054977898718789E-7</v>
      </c>
      <c r="T279" s="18">
        <f t="shared" si="35"/>
        <v>6.1310856835916638E-8</v>
      </c>
      <c r="U279" s="18">
        <f t="shared" si="36"/>
        <v>6.1310856835916638E-8</v>
      </c>
    </row>
    <row r="280" spans="15:21" x14ac:dyDescent="0.25">
      <c r="O280" s="15">
        <v>272</v>
      </c>
      <c r="P280" s="15">
        <f t="shared" si="37"/>
        <v>5.5531406201388626E-2</v>
      </c>
      <c r="Q280" s="15">
        <f t="shared" si="38"/>
        <v>5.5531406201388633E-2</v>
      </c>
      <c r="R280" s="15">
        <f t="shared" si="33"/>
        <v>5.5531406201388633E-2</v>
      </c>
      <c r="S280" s="18">
        <f t="shared" si="34"/>
        <v>-1.3054977898718789E-7</v>
      </c>
      <c r="T280" s="18">
        <f t="shared" si="35"/>
        <v>6.1310856835916638E-8</v>
      </c>
      <c r="U280" s="18">
        <f t="shared" si="36"/>
        <v>6.1310856835916638E-8</v>
      </c>
    </row>
    <row r="281" spans="15:21" x14ac:dyDescent="0.25">
      <c r="O281" s="15">
        <v>273</v>
      </c>
      <c r="P281" s="15">
        <f t="shared" si="37"/>
        <v>5.5531406201388626E-2</v>
      </c>
      <c r="Q281" s="15">
        <f t="shared" si="38"/>
        <v>5.5531406201388633E-2</v>
      </c>
      <c r="R281" s="15">
        <f t="shared" si="33"/>
        <v>5.5531406201388633E-2</v>
      </c>
      <c r="S281" s="18">
        <f t="shared" si="34"/>
        <v>-1.3054977898718789E-7</v>
      </c>
      <c r="T281" s="18">
        <f t="shared" si="35"/>
        <v>6.1310856835916638E-8</v>
      </c>
      <c r="U281" s="18">
        <f t="shared" si="36"/>
        <v>6.1310856835916638E-8</v>
      </c>
    </row>
    <row r="282" spans="15:21" x14ac:dyDescent="0.25">
      <c r="O282" s="15">
        <v>274</v>
      </c>
      <c r="P282" s="15">
        <f t="shared" si="37"/>
        <v>5.5531406201388626E-2</v>
      </c>
      <c r="Q282" s="15">
        <f t="shared" si="38"/>
        <v>5.5531406201388633E-2</v>
      </c>
      <c r="R282" s="15">
        <f t="shared" si="33"/>
        <v>5.5531406201388633E-2</v>
      </c>
      <c r="S282" s="18">
        <f t="shared" si="34"/>
        <v>-1.3054977898718789E-7</v>
      </c>
      <c r="T282" s="18">
        <f t="shared" si="35"/>
        <v>6.1310856835916638E-8</v>
      </c>
      <c r="U282" s="18">
        <f t="shared" si="36"/>
        <v>6.1310856835916638E-8</v>
      </c>
    </row>
    <row r="283" spans="15:21" x14ac:dyDescent="0.25">
      <c r="O283" s="15">
        <v>275</v>
      </c>
      <c r="P283" s="15">
        <f t="shared" si="37"/>
        <v>5.5531406201388626E-2</v>
      </c>
      <c r="Q283" s="15">
        <f t="shared" si="38"/>
        <v>5.5531406201388633E-2</v>
      </c>
      <c r="R283" s="15">
        <f t="shared" si="33"/>
        <v>5.5531406201388633E-2</v>
      </c>
      <c r="S283" s="18">
        <f t="shared" si="34"/>
        <v>-1.3054977898718789E-7</v>
      </c>
      <c r="T283" s="18">
        <f t="shared" si="35"/>
        <v>6.1310856835916638E-8</v>
      </c>
      <c r="U283" s="18">
        <f t="shared" si="36"/>
        <v>6.1310856835916638E-8</v>
      </c>
    </row>
    <row r="284" spans="15:21" x14ac:dyDescent="0.25">
      <c r="O284" s="15">
        <v>276</v>
      </c>
      <c r="P284" s="15">
        <f t="shared" si="37"/>
        <v>5.5531406201388626E-2</v>
      </c>
      <c r="Q284" s="15">
        <f t="shared" si="38"/>
        <v>5.5531406201388633E-2</v>
      </c>
      <c r="R284" s="15">
        <f t="shared" si="33"/>
        <v>5.5531406201388633E-2</v>
      </c>
      <c r="S284" s="18">
        <f t="shared" si="34"/>
        <v>-1.3054977898718789E-7</v>
      </c>
      <c r="T284" s="18">
        <f t="shared" si="35"/>
        <v>6.1310856835916638E-8</v>
      </c>
      <c r="U284" s="18">
        <f t="shared" si="36"/>
        <v>6.1310856835916638E-8</v>
      </c>
    </row>
    <row r="285" spans="15:21" x14ac:dyDescent="0.25">
      <c r="O285" s="15">
        <v>277</v>
      </c>
      <c r="P285" s="15">
        <f t="shared" si="37"/>
        <v>5.5531406201388626E-2</v>
      </c>
      <c r="Q285" s="15">
        <f t="shared" si="38"/>
        <v>5.5531406201388633E-2</v>
      </c>
      <c r="R285" s="15">
        <f t="shared" si="33"/>
        <v>5.5531406201388633E-2</v>
      </c>
      <c r="S285" s="18">
        <f t="shared" si="34"/>
        <v>-1.3054977898718789E-7</v>
      </c>
      <c r="T285" s="18">
        <f t="shared" si="35"/>
        <v>6.1310856835916638E-8</v>
      </c>
      <c r="U285" s="18">
        <f t="shared" si="36"/>
        <v>6.1310856835916638E-8</v>
      </c>
    </row>
    <row r="286" spans="15:21" x14ac:dyDescent="0.25">
      <c r="O286" s="15">
        <v>278</v>
      </c>
      <c r="P286" s="15">
        <f t="shared" si="37"/>
        <v>5.5531406201388626E-2</v>
      </c>
      <c r="Q286" s="15">
        <f t="shared" si="38"/>
        <v>5.5531406201388633E-2</v>
      </c>
      <c r="R286" s="15">
        <f t="shared" si="33"/>
        <v>5.5531406201388633E-2</v>
      </c>
      <c r="S286" s="18">
        <f t="shared" si="34"/>
        <v>-1.3054977898718789E-7</v>
      </c>
      <c r="T286" s="18">
        <f t="shared" si="35"/>
        <v>6.1310856835916638E-8</v>
      </c>
      <c r="U286" s="18">
        <f t="shared" si="36"/>
        <v>6.1310856835916638E-8</v>
      </c>
    </row>
    <row r="287" spans="15:21" x14ac:dyDescent="0.25">
      <c r="O287" s="15">
        <v>279</v>
      </c>
      <c r="P287" s="15">
        <f t="shared" si="37"/>
        <v>5.5531406201388626E-2</v>
      </c>
      <c r="Q287" s="15">
        <f t="shared" si="38"/>
        <v>5.5531406201388633E-2</v>
      </c>
      <c r="R287" s="15">
        <f t="shared" si="33"/>
        <v>5.5531406201388633E-2</v>
      </c>
      <c r="S287" s="18">
        <f t="shared" si="34"/>
        <v>-1.3054977898718789E-7</v>
      </c>
      <c r="T287" s="18">
        <f t="shared" si="35"/>
        <v>6.1310856835916638E-8</v>
      </c>
      <c r="U287" s="18">
        <f t="shared" si="36"/>
        <v>6.1310856835916638E-8</v>
      </c>
    </row>
    <row r="288" spans="15:21" x14ac:dyDescent="0.25">
      <c r="O288" s="15">
        <v>280</v>
      </c>
      <c r="P288" s="15">
        <f t="shared" si="37"/>
        <v>5.5531406201388626E-2</v>
      </c>
      <c r="Q288" s="15">
        <f t="shared" si="38"/>
        <v>5.5531406201388633E-2</v>
      </c>
      <c r="R288" s="15">
        <f t="shared" si="33"/>
        <v>5.5531406201388633E-2</v>
      </c>
      <c r="S288" s="18">
        <f t="shared" si="34"/>
        <v>-1.3054977898718789E-7</v>
      </c>
      <c r="T288" s="18">
        <f t="shared" si="35"/>
        <v>6.1310856835916638E-8</v>
      </c>
      <c r="U288" s="18">
        <f t="shared" si="36"/>
        <v>6.1310856835916638E-8</v>
      </c>
    </row>
    <row r="289" spans="15:21" x14ac:dyDescent="0.25">
      <c r="O289" s="15">
        <v>281</v>
      </c>
      <c r="P289" s="15">
        <f t="shared" si="37"/>
        <v>5.5531406201388626E-2</v>
      </c>
      <c r="Q289" s="15">
        <f t="shared" si="38"/>
        <v>5.5531406201388633E-2</v>
      </c>
      <c r="R289" s="15">
        <f t="shared" si="33"/>
        <v>5.5531406201388633E-2</v>
      </c>
      <c r="S289" s="18">
        <f t="shared" si="34"/>
        <v>-1.3054977898718789E-7</v>
      </c>
      <c r="T289" s="18">
        <f t="shared" si="35"/>
        <v>6.1310856835916638E-8</v>
      </c>
      <c r="U289" s="18">
        <f t="shared" si="36"/>
        <v>6.1310856835916638E-8</v>
      </c>
    </row>
    <row r="290" spans="15:21" x14ac:dyDescent="0.25">
      <c r="O290" s="15">
        <v>282</v>
      </c>
      <c r="P290" s="15">
        <f t="shared" si="37"/>
        <v>5.5531406201388626E-2</v>
      </c>
      <c r="Q290" s="15">
        <f t="shared" si="38"/>
        <v>5.5531406201388633E-2</v>
      </c>
      <c r="R290" s="15">
        <f t="shared" si="33"/>
        <v>5.5531406201388633E-2</v>
      </c>
      <c r="S290" s="18">
        <f t="shared" si="34"/>
        <v>-1.3054977898718789E-7</v>
      </c>
      <c r="T290" s="18">
        <f t="shared" si="35"/>
        <v>6.1310856835916638E-8</v>
      </c>
      <c r="U290" s="18">
        <f t="shared" si="36"/>
        <v>6.1310856835916638E-8</v>
      </c>
    </row>
    <row r="291" spans="15:21" x14ac:dyDescent="0.25">
      <c r="O291" s="15">
        <v>283</v>
      </c>
      <c r="P291" s="15">
        <f t="shared" si="37"/>
        <v>5.5531406201388626E-2</v>
      </c>
      <c r="Q291" s="15">
        <f t="shared" si="38"/>
        <v>5.5531406201388633E-2</v>
      </c>
      <c r="R291" s="15">
        <f t="shared" si="33"/>
        <v>5.5531406201388633E-2</v>
      </c>
      <c r="S291" s="18">
        <f t="shared" si="34"/>
        <v>-1.3054977898718789E-7</v>
      </c>
      <c r="T291" s="18">
        <f t="shared" si="35"/>
        <v>6.1310856835916638E-8</v>
      </c>
      <c r="U291" s="18">
        <f t="shared" si="36"/>
        <v>6.1310856835916638E-8</v>
      </c>
    </row>
    <row r="292" spans="15:21" x14ac:dyDescent="0.25">
      <c r="O292" s="15">
        <v>284</v>
      </c>
      <c r="P292" s="15">
        <f t="shared" si="37"/>
        <v>5.5531406201388626E-2</v>
      </c>
      <c r="Q292" s="15">
        <f t="shared" si="38"/>
        <v>5.5531406201388633E-2</v>
      </c>
      <c r="R292" s="15">
        <f t="shared" si="33"/>
        <v>5.5531406201388633E-2</v>
      </c>
      <c r="S292" s="18">
        <f t="shared" si="34"/>
        <v>-1.3054977898718789E-7</v>
      </c>
      <c r="T292" s="18">
        <f t="shared" si="35"/>
        <v>6.1310856835916638E-8</v>
      </c>
      <c r="U292" s="18">
        <f t="shared" si="36"/>
        <v>6.1310856835916638E-8</v>
      </c>
    </row>
    <row r="293" spans="15:21" x14ac:dyDescent="0.25">
      <c r="O293" s="15">
        <v>285</v>
      </c>
      <c r="P293" s="15">
        <f t="shared" si="37"/>
        <v>5.5531406201388626E-2</v>
      </c>
      <c r="Q293" s="15">
        <f t="shared" si="38"/>
        <v>5.5531406201388633E-2</v>
      </c>
      <c r="R293" s="15">
        <f t="shared" si="33"/>
        <v>5.5531406201388633E-2</v>
      </c>
      <c r="S293" s="18">
        <f t="shared" si="34"/>
        <v>-1.3054977898718789E-7</v>
      </c>
      <c r="T293" s="18">
        <f t="shared" si="35"/>
        <v>6.1310856835916638E-8</v>
      </c>
      <c r="U293" s="18">
        <f t="shared" si="36"/>
        <v>6.1310856835916638E-8</v>
      </c>
    </row>
    <row r="294" spans="15:21" x14ac:dyDescent="0.25">
      <c r="O294" s="15">
        <v>286</v>
      </c>
      <c r="P294" s="15">
        <f t="shared" si="37"/>
        <v>5.5531406201388626E-2</v>
      </c>
      <c r="Q294" s="15">
        <f t="shared" si="38"/>
        <v>5.5531406201388633E-2</v>
      </c>
      <c r="R294" s="15">
        <f t="shared" si="33"/>
        <v>5.5531406201388633E-2</v>
      </c>
      <c r="S294" s="18">
        <f t="shared" si="34"/>
        <v>-1.3054977898718789E-7</v>
      </c>
      <c r="T294" s="18">
        <f t="shared" si="35"/>
        <v>6.1310856835916638E-8</v>
      </c>
      <c r="U294" s="18">
        <f t="shared" si="36"/>
        <v>6.1310856835916638E-8</v>
      </c>
    </row>
    <row r="295" spans="15:21" x14ac:dyDescent="0.25">
      <c r="O295" s="15">
        <v>287</v>
      </c>
      <c r="P295" s="15">
        <f t="shared" si="37"/>
        <v>5.5531406201388626E-2</v>
      </c>
      <c r="Q295" s="15">
        <f t="shared" si="38"/>
        <v>5.5531406201388633E-2</v>
      </c>
      <c r="R295" s="15">
        <f t="shared" si="33"/>
        <v>5.5531406201388633E-2</v>
      </c>
      <c r="S295" s="18">
        <f t="shared" si="34"/>
        <v>-1.3054977898718789E-7</v>
      </c>
      <c r="T295" s="18">
        <f t="shared" si="35"/>
        <v>6.1310856835916638E-8</v>
      </c>
      <c r="U295" s="18">
        <f t="shared" si="36"/>
        <v>6.1310856835916638E-8</v>
      </c>
    </row>
    <row r="296" spans="15:21" x14ac:dyDescent="0.25">
      <c r="O296" s="15">
        <v>288</v>
      </c>
      <c r="P296" s="15">
        <f t="shared" si="37"/>
        <v>5.5531406201388626E-2</v>
      </c>
      <c r="Q296" s="15">
        <f t="shared" si="38"/>
        <v>5.5531406201388633E-2</v>
      </c>
      <c r="R296" s="15">
        <f t="shared" si="33"/>
        <v>5.5531406201388633E-2</v>
      </c>
      <c r="S296" s="18">
        <f t="shared" si="34"/>
        <v>-1.3054977898718789E-7</v>
      </c>
      <c r="T296" s="18">
        <f t="shared" si="35"/>
        <v>6.1310856835916638E-8</v>
      </c>
      <c r="U296" s="18">
        <f t="shared" si="36"/>
        <v>6.1310856835916638E-8</v>
      </c>
    </row>
    <row r="297" spans="15:21" x14ac:dyDescent="0.25">
      <c r="O297" s="15">
        <v>289</v>
      </c>
      <c r="P297" s="15">
        <f t="shared" si="37"/>
        <v>5.5531406201388626E-2</v>
      </c>
      <c r="Q297" s="15">
        <f t="shared" si="38"/>
        <v>5.5531406201388633E-2</v>
      </c>
      <c r="R297" s="15">
        <f t="shared" si="33"/>
        <v>5.5531406201388633E-2</v>
      </c>
      <c r="S297" s="18">
        <f t="shared" si="34"/>
        <v>-1.3054977898718789E-7</v>
      </c>
      <c r="T297" s="18">
        <f t="shared" si="35"/>
        <v>6.1310856835916638E-8</v>
      </c>
      <c r="U297" s="18">
        <f t="shared" si="36"/>
        <v>6.1310856835916638E-8</v>
      </c>
    </row>
    <row r="298" spans="15:21" x14ac:dyDescent="0.25">
      <c r="O298" s="15">
        <v>290</v>
      </c>
      <c r="P298" s="15">
        <f t="shared" si="37"/>
        <v>5.5531406201388626E-2</v>
      </c>
      <c r="Q298" s="15">
        <f t="shared" si="38"/>
        <v>5.5531406201388633E-2</v>
      </c>
      <c r="R298" s="15">
        <f t="shared" si="33"/>
        <v>5.5531406201388633E-2</v>
      </c>
      <c r="S298" s="18">
        <f t="shared" si="34"/>
        <v>-1.3054977898718789E-7</v>
      </c>
      <c r="T298" s="18">
        <f t="shared" si="35"/>
        <v>6.1310856835916638E-8</v>
      </c>
      <c r="U298" s="18">
        <f t="shared" si="36"/>
        <v>6.1310856835916638E-8</v>
      </c>
    </row>
    <row r="299" spans="15:21" x14ac:dyDescent="0.25">
      <c r="O299" s="15">
        <v>291</v>
      </c>
      <c r="P299" s="15">
        <f t="shared" si="37"/>
        <v>5.5531406201388626E-2</v>
      </c>
      <c r="Q299" s="15">
        <f t="shared" si="38"/>
        <v>5.5531406201388633E-2</v>
      </c>
      <c r="R299" s="15">
        <f t="shared" si="33"/>
        <v>5.5531406201388633E-2</v>
      </c>
      <c r="S299" s="18">
        <f t="shared" si="34"/>
        <v>-1.3054977898718789E-7</v>
      </c>
      <c r="T299" s="18">
        <f t="shared" si="35"/>
        <v>6.1310856835916638E-8</v>
      </c>
      <c r="U299" s="18">
        <f t="shared" si="36"/>
        <v>6.1310856835916638E-8</v>
      </c>
    </row>
    <row r="300" spans="15:21" x14ac:dyDescent="0.25">
      <c r="O300" s="15">
        <v>292</v>
      </c>
      <c r="P300" s="15">
        <f t="shared" si="37"/>
        <v>5.5531406201388626E-2</v>
      </c>
      <c r="Q300" s="15">
        <f t="shared" si="38"/>
        <v>5.5531406201388633E-2</v>
      </c>
      <c r="R300" s="15">
        <f t="shared" si="33"/>
        <v>5.5531406201388633E-2</v>
      </c>
      <c r="S300" s="18">
        <f t="shared" si="34"/>
        <v>-1.3054977898718789E-7</v>
      </c>
      <c r="T300" s="18">
        <f t="shared" si="35"/>
        <v>6.1310856835916638E-8</v>
      </c>
      <c r="U300" s="18">
        <f t="shared" si="36"/>
        <v>6.1310856835916638E-8</v>
      </c>
    </row>
    <row r="301" spans="15:21" x14ac:dyDescent="0.25">
      <c r="O301" s="15">
        <v>293</v>
      </c>
      <c r="P301" s="15">
        <f t="shared" si="37"/>
        <v>5.5531406201388626E-2</v>
      </c>
      <c r="Q301" s="15">
        <f t="shared" si="38"/>
        <v>5.5531406201388633E-2</v>
      </c>
      <c r="R301" s="15">
        <f t="shared" si="33"/>
        <v>5.5531406201388633E-2</v>
      </c>
      <c r="S301" s="18">
        <f t="shared" si="34"/>
        <v>-1.3054977898718789E-7</v>
      </c>
      <c r="T301" s="18">
        <f t="shared" si="35"/>
        <v>6.1310856835916638E-8</v>
      </c>
      <c r="U301" s="18">
        <f t="shared" si="36"/>
        <v>6.1310856835916638E-8</v>
      </c>
    </row>
    <row r="302" spans="15:21" x14ac:dyDescent="0.25">
      <c r="O302" s="15">
        <v>294</v>
      </c>
      <c r="P302" s="15">
        <f t="shared" si="37"/>
        <v>5.5531406201388626E-2</v>
      </c>
      <c r="Q302" s="15">
        <f t="shared" si="38"/>
        <v>5.5531406201388633E-2</v>
      </c>
      <c r="R302" s="15">
        <f t="shared" si="33"/>
        <v>5.5531406201388633E-2</v>
      </c>
      <c r="S302" s="18">
        <f t="shared" si="34"/>
        <v>-1.3054977898718789E-7</v>
      </c>
      <c r="T302" s="18">
        <f t="shared" si="35"/>
        <v>6.1310856835916638E-8</v>
      </c>
      <c r="U302" s="18">
        <f t="shared" si="36"/>
        <v>6.1310856835916638E-8</v>
      </c>
    </row>
    <row r="303" spans="15:21" x14ac:dyDescent="0.25">
      <c r="O303" s="15">
        <v>295</v>
      </c>
      <c r="P303" s="15">
        <f t="shared" si="37"/>
        <v>5.5531406201388626E-2</v>
      </c>
      <c r="Q303" s="15">
        <f t="shared" si="38"/>
        <v>5.5531406201388633E-2</v>
      </c>
      <c r="R303" s="15">
        <f t="shared" si="33"/>
        <v>5.5531406201388633E-2</v>
      </c>
      <c r="S303" s="18">
        <f t="shared" si="34"/>
        <v>-1.3054977898718789E-7</v>
      </c>
      <c r="T303" s="18">
        <f t="shared" si="35"/>
        <v>6.1310856835916638E-8</v>
      </c>
      <c r="U303" s="18">
        <f t="shared" si="36"/>
        <v>6.1310856835916638E-8</v>
      </c>
    </row>
    <row r="304" spans="15:21" x14ac:dyDescent="0.25">
      <c r="O304" s="15">
        <v>296</v>
      </c>
      <c r="P304" s="15">
        <f t="shared" si="37"/>
        <v>5.5531406201388626E-2</v>
      </c>
      <c r="Q304" s="15">
        <f t="shared" si="38"/>
        <v>5.5531406201388633E-2</v>
      </c>
      <c r="R304" s="15">
        <f t="shared" si="33"/>
        <v>5.5531406201388633E-2</v>
      </c>
      <c r="S304" s="18">
        <f t="shared" si="34"/>
        <v>-1.3054977898718789E-7</v>
      </c>
      <c r="T304" s="18">
        <f t="shared" si="35"/>
        <v>6.1310856835916638E-8</v>
      </c>
      <c r="U304" s="18">
        <f t="shared" si="36"/>
        <v>6.1310856835916638E-8</v>
      </c>
    </row>
    <row r="305" spans="15:21" x14ac:dyDescent="0.25">
      <c r="O305" s="15">
        <v>297</v>
      </c>
      <c r="P305" s="15">
        <f t="shared" si="37"/>
        <v>5.5531406201388626E-2</v>
      </c>
      <c r="Q305" s="15">
        <f t="shared" si="38"/>
        <v>5.5531406201388633E-2</v>
      </c>
      <c r="R305" s="15">
        <f t="shared" si="33"/>
        <v>5.5531406201388633E-2</v>
      </c>
      <c r="S305" s="18">
        <f t="shared" si="34"/>
        <v>-1.3054977898718789E-7</v>
      </c>
      <c r="T305" s="18">
        <f t="shared" si="35"/>
        <v>6.1310856835916638E-8</v>
      </c>
      <c r="U305" s="18">
        <f t="shared" si="36"/>
        <v>6.1310856835916638E-8</v>
      </c>
    </row>
    <row r="306" spans="15:21" x14ac:dyDescent="0.25">
      <c r="O306" s="15">
        <v>298</v>
      </c>
      <c r="P306" s="15">
        <f t="shared" si="37"/>
        <v>5.5531406201388626E-2</v>
      </c>
      <c r="Q306" s="15">
        <f t="shared" si="38"/>
        <v>5.5531406201388633E-2</v>
      </c>
      <c r="R306" s="15">
        <f t="shared" si="33"/>
        <v>5.5531406201388633E-2</v>
      </c>
      <c r="S306" s="18">
        <f t="shared" si="34"/>
        <v>-1.3054977898718789E-7</v>
      </c>
      <c r="T306" s="18">
        <f t="shared" si="35"/>
        <v>6.1310856835916638E-8</v>
      </c>
      <c r="U306" s="18">
        <f t="shared" si="36"/>
        <v>6.1310856835916638E-8</v>
      </c>
    </row>
    <row r="307" spans="15:21" x14ac:dyDescent="0.25">
      <c r="O307" s="15">
        <v>299</v>
      </c>
      <c r="P307" s="15">
        <f t="shared" si="37"/>
        <v>5.5531406201388626E-2</v>
      </c>
      <c r="Q307" s="15">
        <f t="shared" si="38"/>
        <v>5.5531406201388633E-2</v>
      </c>
      <c r="R307" s="15">
        <f t="shared" si="33"/>
        <v>5.5531406201388633E-2</v>
      </c>
      <c r="S307" s="18">
        <f t="shared" si="34"/>
        <v>-1.3054977898718789E-7</v>
      </c>
      <c r="T307" s="18">
        <f t="shared" si="35"/>
        <v>6.1310856835916638E-8</v>
      </c>
      <c r="U307" s="18">
        <f t="shared" si="36"/>
        <v>6.1310856835916638E-8</v>
      </c>
    </row>
    <row r="308" spans="15:21" x14ac:dyDescent="0.25">
      <c r="O308" s="15">
        <v>300</v>
      </c>
      <c r="P308" s="15">
        <f t="shared" si="37"/>
        <v>5.5531406201388626E-2</v>
      </c>
      <c r="Q308" s="15">
        <f t="shared" si="38"/>
        <v>5.5531406201388633E-2</v>
      </c>
      <c r="R308" s="15">
        <f t="shared" si="33"/>
        <v>5.5531406201388633E-2</v>
      </c>
      <c r="S308" s="18">
        <f t="shared" si="34"/>
        <v>-1.3054977898718789E-7</v>
      </c>
      <c r="T308" s="18">
        <f t="shared" si="35"/>
        <v>6.1310856835916638E-8</v>
      </c>
      <c r="U308" s="18">
        <f t="shared" si="36"/>
        <v>6.1310856835916638E-8</v>
      </c>
    </row>
    <row r="309" spans="15:21" x14ac:dyDescent="0.25">
      <c r="P309" s="15" t="s">
        <v>8</v>
      </c>
    </row>
    <row r="310" spans="15:21" x14ac:dyDescent="0.25">
      <c r="P310" s="15" t="s">
        <v>1</v>
      </c>
      <c r="Q310" s="15" t="s">
        <v>2</v>
      </c>
      <c r="R310" s="15" t="s">
        <v>3</v>
      </c>
      <c r="S310" s="15" t="s">
        <v>4</v>
      </c>
      <c r="T310" s="15" t="s">
        <v>5</v>
      </c>
      <c r="U310" s="15" t="s">
        <v>6</v>
      </c>
    </row>
    <row r="311" spans="15:21" x14ac:dyDescent="0.25">
      <c r="O311" s="15">
        <v>301</v>
      </c>
      <c r="P311" s="15">
        <v>1E-10</v>
      </c>
      <c r="Q311" s="15">
        <v>10</v>
      </c>
      <c r="R311" s="15">
        <f t="shared" ref="R311:R374" si="39">(P311+Q311)/2</f>
        <v>5.00000000005</v>
      </c>
      <c r="S311" s="18">
        <f t="shared" ref="S311:S374" si="40">$E$4-$E$10-$E$11*(1+P311)^(-$E$5/$L$9)-$E$13*(1+P311)^(-$H$13/$L$9)-$E$14*(1+P311)^(-$H$14/$L$9) +$E$24*((1-(1+P311)^(-$E$5/$L$9)))/(1-(1+P311)^(1/$L$9))+$E$17*((1-(1+P311)^(-$J$20/$M$4)))/(1-(1+P311)^(1/$M$4))+$E$18*((1-(1+P311)^(-$J$21/$M$5)))/(1-(1+P311)^(1/$M$5))+$E$19*((1-(1+P311)^(-$J$22/$M$6)))/(1-(1+P311)^(1/$M$6))+$E$20*((1-(1+P311)^(-$J$23/$M$7)))/(1-(1+P311)^(1/$M$7))+$E$21*((1-(1+P311)^(-$J$24/$M$8)))/(1-(1+P311)^(1/$M$8))</f>
        <v>-4096543.402922513</v>
      </c>
      <c r="T311" s="18">
        <f t="shared" ref="T311:T374" si="41">$E$4-$E$10-$E$11*(1+Q311)^(-$E$5/$L$9)-$E$13*(1+Q311)^(-$H$13/$L$9)-$E$14*(1+Q311)^(-$H$14/$L$9) +$E$24*((1-(1+Q311)^(-$E$5/$L$9)))/(1-(1+Q311)^(1/$L$9))+$E$17*((1-(1+Q311)^(-$J$20/$M$4)))/(1-(1+Q311)^(1/$M$4))+$E$18*((1-(1+Q311)^(-$J$21/$M$5)))/(1-(1+Q311)^(1/$M$5))+$E$19*((1-(1+Q311)^(-$J$22/$M$6)))/(1-(1+Q311)^(1/$M$6))+$E$20*((1-(1+Q311)^(-$J$23/$M$7)))/(1-(1+Q311)^(1/$M$7))+$E$21*((1-(1+Q311)^(-$J$24/$M$8)))/(1-(1+Q311)^(1/$M$8))</f>
        <v>3894207.2828773954</v>
      </c>
      <c r="U311" s="18">
        <f t="shared" ref="U311:U374" si="42">$E$4-$E$10-$E$11*(1+R311)^(-$E$5/$L$9)-$E$13*(1+R311)^(-$H$13/$L$9)-$E$14*(1+R311)^(-$H$14/$L$9) +$E$24*((1-(1+R311)^(-$E$5/$L$9)))/(1-(1+R311)^(1/$L$9))+$E$17*((1-(1+R311)^(-$J$20/$M$4)))/(1-(1+R311)^(1/$M$4))+$E$18*((1-(1+R311)^(-$J$21/$M$5)))/(1-(1+R311)^(1/$M$5))+$E$19*((1-(1+R311)^(-$J$22/$M$6)))/(1-(1+R311)^(1/$M$6))+$E$20*((1-(1+R311)^(-$J$23/$M$7)))/(1-(1+R311)^(1/$M$7))+$E$21*((1-(1+R311)^(-$J$24/$M$8)))/(1-(1+R311)^(1/$M$8))</f>
        <v>3856205.8539974457</v>
      </c>
    </row>
    <row r="312" spans="15:21" x14ac:dyDescent="0.25">
      <c r="O312" s="15">
        <v>302</v>
      </c>
      <c r="P312" s="15">
        <f t="shared" ref="P312:P375" si="43">IF(S311*U311&gt;=0,R311,P311)</f>
        <v>1E-10</v>
      </c>
      <c r="Q312" s="15">
        <f t="shared" ref="Q312:Q375" si="44">IF(T311*U311&gt;=0,R311,Q311)</f>
        <v>5.00000000005</v>
      </c>
      <c r="R312" s="15">
        <f t="shared" si="39"/>
        <v>2.500000000075</v>
      </c>
      <c r="S312" s="18">
        <f t="shared" si="40"/>
        <v>-4096543.402922513</v>
      </c>
      <c r="T312" s="18">
        <f t="shared" si="41"/>
        <v>3856205.8539974457</v>
      </c>
      <c r="U312" s="18">
        <f t="shared" si="42"/>
        <v>3791473.6705574365</v>
      </c>
    </row>
    <row r="313" spans="15:21" x14ac:dyDescent="0.25">
      <c r="O313" s="15">
        <v>303</v>
      </c>
      <c r="P313" s="15">
        <f t="shared" si="43"/>
        <v>1E-10</v>
      </c>
      <c r="Q313" s="15">
        <f t="shared" si="44"/>
        <v>2.500000000075</v>
      </c>
      <c r="R313" s="15">
        <f t="shared" si="39"/>
        <v>1.2500000000875</v>
      </c>
      <c r="S313" s="18">
        <f t="shared" si="40"/>
        <v>-4096543.402922513</v>
      </c>
      <c r="T313" s="18">
        <f t="shared" si="41"/>
        <v>3791473.6705574365</v>
      </c>
      <c r="U313" s="18">
        <f t="shared" si="42"/>
        <v>3674185.2838576422</v>
      </c>
    </row>
    <row r="314" spans="15:21" x14ac:dyDescent="0.25">
      <c r="O314" s="15">
        <v>304</v>
      </c>
      <c r="P314" s="15">
        <f t="shared" si="43"/>
        <v>1E-10</v>
      </c>
      <c r="Q314" s="15">
        <f t="shared" si="44"/>
        <v>1.2500000000875</v>
      </c>
      <c r="R314" s="15">
        <f t="shared" si="39"/>
        <v>0.62500000009375001</v>
      </c>
      <c r="S314" s="18">
        <f t="shared" si="40"/>
        <v>-4096543.402922513</v>
      </c>
      <c r="T314" s="18">
        <f t="shared" si="41"/>
        <v>3674185.2838576422</v>
      </c>
      <c r="U314" s="18">
        <f t="shared" si="42"/>
        <v>3451249.3171429066</v>
      </c>
    </row>
    <row r="315" spans="15:21" x14ac:dyDescent="0.25">
      <c r="O315" s="15">
        <v>305</v>
      </c>
      <c r="P315" s="15">
        <f t="shared" si="43"/>
        <v>1E-10</v>
      </c>
      <c r="Q315" s="15">
        <f t="shared" si="44"/>
        <v>0.62500000009375001</v>
      </c>
      <c r="R315" s="15">
        <f t="shared" si="39"/>
        <v>0.31250000009687501</v>
      </c>
      <c r="S315" s="18">
        <f t="shared" si="40"/>
        <v>-4096543.402922513</v>
      </c>
      <c r="T315" s="18">
        <f t="shared" si="41"/>
        <v>3451249.3171429066</v>
      </c>
      <c r="U315" s="18">
        <f t="shared" si="42"/>
        <v>3015194.1773318858</v>
      </c>
    </row>
    <row r="316" spans="15:21" x14ac:dyDescent="0.25">
      <c r="O316" s="15">
        <v>306</v>
      </c>
      <c r="P316" s="15">
        <f t="shared" si="43"/>
        <v>1E-10</v>
      </c>
      <c r="Q316" s="15">
        <f t="shared" si="44"/>
        <v>0.31250000009687501</v>
      </c>
      <c r="R316" s="15">
        <f t="shared" si="39"/>
        <v>0.15625000009843751</v>
      </c>
      <c r="S316" s="18">
        <f t="shared" si="40"/>
        <v>-4096543.402922513</v>
      </c>
      <c r="T316" s="18">
        <f t="shared" si="41"/>
        <v>3015194.1773318858</v>
      </c>
      <c r="U316" s="18">
        <f t="shared" si="42"/>
        <v>2172625.3949700431</v>
      </c>
    </row>
    <row r="317" spans="15:21" x14ac:dyDescent="0.25">
      <c r="O317" s="15">
        <v>307</v>
      </c>
      <c r="P317" s="15">
        <f t="shared" si="43"/>
        <v>1E-10</v>
      </c>
      <c r="Q317" s="15">
        <f t="shared" si="44"/>
        <v>0.15625000009843751</v>
      </c>
      <c r="R317" s="15">
        <f t="shared" si="39"/>
        <v>7.8125000099218758E-2</v>
      </c>
      <c r="S317" s="18">
        <f t="shared" si="40"/>
        <v>-4096543.402922513</v>
      </c>
      <c r="T317" s="18">
        <f t="shared" si="41"/>
        <v>2172625.3949700431</v>
      </c>
      <c r="U317" s="18">
        <f t="shared" si="42"/>
        <v>795277.15576752613</v>
      </c>
    </row>
    <row r="318" spans="15:21" x14ac:dyDescent="0.25">
      <c r="O318" s="15">
        <v>308</v>
      </c>
      <c r="P318" s="15">
        <f t="shared" si="43"/>
        <v>1E-10</v>
      </c>
      <c r="Q318" s="15">
        <f t="shared" si="44"/>
        <v>7.8125000099218758E-2</v>
      </c>
      <c r="R318" s="15">
        <f t="shared" si="39"/>
        <v>3.9062500099609376E-2</v>
      </c>
      <c r="S318" s="18">
        <f t="shared" si="40"/>
        <v>-4096543.402922513</v>
      </c>
      <c r="T318" s="18">
        <f t="shared" si="41"/>
        <v>795277.15576752613</v>
      </c>
      <c r="U318" s="18">
        <f t="shared" si="42"/>
        <v>-806130.79722869582</v>
      </c>
    </row>
    <row r="319" spans="15:21" x14ac:dyDescent="0.25">
      <c r="O319" s="15">
        <v>309</v>
      </c>
      <c r="P319" s="15">
        <f t="shared" si="43"/>
        <v>3.9062500099609376E-2</v>
      </c>
      <c r="Q319" s="15">
        <f t="shared" si="44"/>
        <v>7.8125000099218758E-2</v>
      </c>
      <c r="R319" s="15">
        <f t="shared" si="39"/>
        <v>5.8593750099414067E-2</v>
      </c>
      <c r="S319" s="18">
        <f t="shared" si="40"/>
        <v>-806130.79722869582</v>
      </c>
      <c r="T319" s="18">
        <f t="shared" si="41"/>
        <v>795277.15576752613</v>
      </c>
      <c r="U319" s="18">
        <f t="shared" si="42"/>
        <v>125998.37751938807</v>
      </c>
    </row>
    <row r="320" spans="15:21" x14ac:dyDescent="0.25">
      <c r="O320" s="15">
        <v>310</v>
      </c>
      <c r="P320" s="15">
        <f t="shared" si="43"/>
        <v>3.9062500099609376E-2</v>
      </c>
      <c r="Q320" s="15">
        <f t="shared" si="44"/>
        <v>5.8593750099414067E-2</v>
      </c>
      <c r="R320" s="15">
        <f t="shared" si="39"/>
        <v>4.8828125099511718E-2</v>
      </c>
      <c r="S320" s="18">
        <f t="shared" si="40"/>
        <v>-806130.79722869582</v>
      </c>
      <c r="T320" s="18">
        <f t="shared" si="41"/>
        <v>125998.37751938807</v>
      </c>
      <c r="U320" s="18">
        <f t="shared" si="42"/>
        <v>-300117.85427544912</v>
      </c>
    </row>
    <row r="321" spans="15:21" x14ac:dyDescent="0.25">
      <c r="O321" s="15">
        <v>311</v>
      </c>
      <c r="P321" s="15">
        <f t="shared" si="43"/>
        <v>4.8828125099511718E-2</v>
      </c>
      <c r="Q321" s="15">
        <f t="shared" si="44"/>
        <v>5.8593750099414067E-2</v>
      </c>
      <c r="R321" s="15">
        <f t="shared" si="39"/>
        <v>5.3710937599462896E-2</v>
      </c>
      <c r="S321" s="18">
        <f t="shared" si="40"/>
        <v>-300117.85427544912</v>
      </c>
      <c r="T321" s="18">
        <f t="shared" si="41"/>
        <v>125998.37751938807</v>
      </c>
      <c r="U321" s="18">
        <f t="shared" si="42"/>
        <v>-78089.717054340348</v>
      </c>
    </row>
    <row r="322" spans="15:21" x14ac:dyDescent="0.25">
      <c r="O322" s="15">
        <v>312</v>
      </c>
      <c r="P322" s="15">
        <f t="shared" si="43"/>
        <v>5.3710937599462896E-2</v>
      </c>
      <c r="Q322" s="15">
        <f t="shared" si="44"/>
        <v>5.8593750099414067E-2</v>
      </c>
      <c r="R322" s="15">
        <f t="shared" si="39"/>
        <v>5.6152343849438485E-2</v>
      </c>
      <c r="S322" s="18">
        <f t="shared" si="40"/>
        <v>-78089.717054340348</v>
      </c>
      <c r="T322" s="18">
        <f t="shared" si="41"/>
        <v>125998.37751938807</v>
      </c>
      <c r="U322" s="18">
        <f t="shared" si="42"/>
        <v>26082.431833555249</v>
      </c>
    </row>
    <row r="323" spans="15:21" x14ac:dyDescent="0.25">
      <c r="O323" s="15">
        <v>313</v>
      </c>
      <c r="P323" s="15">
        <f t="shared" si="43"/>
        <v>5.3710937599462896E-2</v>
      </c>
      <c r="Q323" s="15">
        <f t="shared" si="44"/>
        <v>5.6152343849438485E-2</v>
      </c>
      <c r="R323" s="15">
        <f t="shared" si="39"/>
        <v>5.4931640724450691E-2</v>
      </c>
      <c r="S323" s="18">
        <f t="shared" si="40"/>
        <v>-78089.717054340348</v>
      </c>
      <c r="T323" s="18">
        <f t="shared" si="41"/>
        <v>26082.431833555249</v>
      </c>
      <c r="U323" s="18">
        <f t="shared" si="42"/>
        <v>-25457.838380042806</v>
      </c>
    </row>
    <row r="324" spans="15:21" x14ac:dyDescent="0.25">
      <c r="O324" s="15">
        <v>314</v>
      </c>
      <c r="P324" s="15">
        <f t="shared" si="43"/>
        <v>5.4931640724450691E-2</v>
      </c>
      <c r="Q324" s="15">
        <f t="shared" si="44"/>
        <v>5.6152343849438485E-2</v>
      </c>
      <c r="R324" s="15">
        <f t="shared" si="39"/>
        <v>5.5541992286944591E-2</v>
      </c>
      <c r="S324" s="18">
        <f t="shared" si="40"/>
        <v>-25457.838380042806</v>
      </c>
      <c r="T324" s="18">
        <f t="shared" si="41"/>
        <v>26082.431833555249</v>
      </c>
      <c r="U324" s="18">
        <f t="shared" si="42"/>
        <v>446.99396819314325</v>
      </c>
    </row>
    <row r="325" spans="15:21" x14ac:dyDescent="0.25">
      <c r="O325" s="15">
        <v>315</v>
      </c>
      <c r="P325" s="15">
        <f t="shared" si="43"/>
        <v>5.4931640724450691E-2</v>
      </c>
      <c r="Q325" s="15">
        <f t="shared" si="44"/>
        <v>5.5541992286944591E-2</v>
      </c>
      <c r="R325" s="15">
        <f t="shared" si="39"/>
        <v>5.5236816505697645E-2</v>
      </c>
      <c r="S325" s="18">
        <f t="shared" si="40"/>
        <v>-25457.838380042806</v>
      </c>
      <c r="T325" s="18">
        <f t="shared" si="41"/>
        <v>446.99396819314325</v>
      </c>
      <c r="U325" s="18">
        <f t="shared" si="42"/>
        <v>-12471.530669613465</v>
      </c>
    </row>
    <row r="326" spans="15:21" x14ac:dyDescent="0.25">
      <c r="O326" s="15">
        <v>316</v>
      </c>
      <c r="P326" s="15">
        <f t="shared" si="43"/>
        <v>5.5236816505697645E-2</v>
      </c>
      <c r="Q326" s="15">
        <f t="shared" si="44"/>
        <v>5.5541992286944591E-2</v>
      </c>
      <c r="R326" s="15">
        <f t="shared" si="39"/>
        <v>5.5389404396321118E-2</v>
      </c>
      <c r="S326" s="18">
        <f t="shared" si="40"/>
        <v>-12471.530669613465</v>
      </c>
      <c r="T326" s="18">
        <f t="shared" si="41"/>
        <v>446.99396819314325</v>
      </c>
      <c r="U326" s="18">
        <f t="shared" si="42"/>
        <v>-6003.8227437936475</v>
      </c>
    </row>
    <row r="327" spans="15:21" x14ac:dyDescent="0.25">
      <c r="O327" s="15">
        <v>317</v>
      </c>
      <c r="P327" s="15">
        <f t="shared" si="43"/>
        <v>5.5389404396321118E-2</v>
      </c>
      <c r="Q327" s="15">
        <f t="shared" si="44"/>
        <v>5.5541992286944591E-2</v>
      </c>
      <c r="R327" s="15">
        <f t="shared" si="39"/>
        <v>5.5465698341632855E-2</v>
      </c>
      <c r="S327" s="18">
        <f t="shared" si="40"/>
        <v>-6003.8227437936475</v>
      </c>
      <c r="T327" s="18">
        <f t="shared" si="41"/>
        <v>446.99396819314325</v>
      </c>
      <c r="U327" s="18">
        <f t="shared" si="42"/>
        <v>-2776.3063849629848</v>
      </c>
    </row>
    <row r="328" spans="15:21" x14ac:dyDescent="0.25">
      <c r="O328" s="15">
        <v>318</v>
      </c>
      <c r="P328" s="15">
        <f t="shared" si="43"/>
        <v>5.5465698341632855E-2</v>
      </c>
      <c r="Q328" s="15">
        <f t="shared" si="44"/>
        <v>5.5541992286944591E-2</v>
      </c>
      <c r="R328" s="15">
        <f t="shared" si="39"/>
        <v>5.5503845314288723E-2</v>
      </c>
      <c r="S328" s="18">
        <f t="shared" si="40"/>
        <v>-2776.3063849629848</v>
      </c>
      <c r="T328" s="18">
        <f t="shared" si="41"/>
        <v>446.99396819314325</v>
      </c>
      <c r="U328" s="18">
        <f t="shared" si="42"/>
        <v>-1164.1296318378991</v>
      </c>
    </row>
    <row r="329" spans="15:21" x14ac:dyDescent="0.25">
      <c r="O329" s="15">
        <v>319</v>
      </c>
      <c r="P329" s="15">
        <f t="shared" si="43"/>
        <v>5.5503845314288723E-2</v>
      </c>
      <c r="Q329" s="15">
        <f t="shared" si="44"/>
        <v>5.5541992286944591E-2</v>
      </c>
      <c r="R329" s="15">
        <f t="shared" si="39"/>
        <v>5.5522918800616661E-2</v>
      </c>
      <c r="S329" s="18">
        <f t="shared" si="40"/>
        <v>-1164.1296318378991</v>
      </c>
      <c r="T329" s="18">
        <f t="shared" si="41"/>
        <v>446.99396819314325</v>
      </c>
      <c r="U329" s="18">
        <f t="shared" si="42"/>
        <v>-358.43624065257518</v>
      </c>
    </row>
    <row r="330" spans="15:21" x14ac:dyDescent="0.25">
      <c r="O330" s="15">
        <v>320</v>
      </c>
      <c r="P330" s="15">
        <f t="shared" si="43"/>
        <v>5.5522918800616661E-2</v>
      </c>
      <c r="Q330" s="15">
        <f t="shared" si="44"/>
        <v>5.5541992286944591E-2</v>
      </c>
      <c r="R330" s="15">
        <f t="shared" si="39"/>
        <v>5.5532455543780626E-2</v>
      </c>
      <c r="S330" s="18">
        <f t="shared" si="40"/>
        <v>-358.43624065257518</v>
      </c>
      <c r="T330" s="18">
        <f t="shared" si="41"/>
        <v>446.99396819314325</v>
      </c>
      <c r="U330" s="18">
        <f t="shared" si="42"/>
        <v>44.311754848723922</v>
      </c>
    </row>
    <row r="331" spans="15:21" x14ac:dyDescent="0.25">
      <c r="O331" s="15">
        <v>321</v>
      </c>
      <c r="P331" s="15">
        <f t="shared" si="43"/>
        <v>5.5522918800616661E-2</v>
      </c>
      <c r="Q331" s="15">
        <f t="shared" si="44"/>
        <v>5.5532455543780626E-2</v>
      </c>
      <c r="R331" s="15">
        <f t="shared" si="39"/>
        <v>5.5527687172198643E-2</v>
      </c>
      <c r="S331" s="18">
        <f t="shared" si="40"/>
        <v>-358.43624065257518</v>
      </c>
      <c r="T331" s="18">
        <f t="shared" si="41"/>
        <v>44.311754848723922</v>
      </c>
      <c r="U331" s="18">
        <f t="shared" si="42"/>
        <v>-157.05401933347866</v>
      </c>
    </row>
    <row r="332" spans="15:21" x14ac:dyDescent="0.25">
      <c r="O332" s="15">
        <v>322</v>
      </c>
      <c r="P332" s="15">
        <f t="shared" si="43"/>
        <v>5.5527687172198643E-2</v>
      </c>
      <c r="Q332" s="15">
        <f t="shared" si="44"/>
        <v>5.5532455543780626E-2</v>
      </c>
      <c r="R332" s="15">
        <f t="shared" si="39"/>
        <v>5.5530071357989638E-2</v>
      </c>
      <c r="S332" s="18">
        <f t="shared" si="40"/>
        <v>-157.05401933347866</v>
      </c>
      <c r="T332" s="18">
        <f t="shared" si="41"/>
        <v>44.311754848723922</v>
      </c>
      <c r="U332" s="18">
        <f t="shared" si="42"/>
        <v>-56.369076355117159</v>
      </c>
    </row>
    <row r="333" spans="15:21" x14ac:dyDescent="0.25">
      <c r="O333" s="15">
        <v>323</v>
      </c>
      <c r="P333" s="15">
        <f t="shared" si="43"/>
        <v>5.5530071357989638E-2</v>
      </c>
      <c r="Q333" s="15">
        <f t="shared" si="44"/>
        <v>5.5532455543780626E-2</v>
      </c>
      <c r="R333" s="15">
        <f t="shared" si="39"/>
        <v>5.5531263450885132E-2</v>
      </c>
      <c r="S333" s="18">
        <f t="shared" si="40"/>
        <v>-56.369076355117159</v>
      </c>
      <c r="T333" s="18">
        <f t="shared" si="41"/>
        <v>44.311754848723922</v>
      </c>
      <c r="U333" s="18">
        <f t="shared" si="42"/>
        <v>-6.0281466950696085</v>
      </c>
    </row>
    <row r="334" spans="15:21" x14ac:dyDescent="0.25">
      <c r="O334" s="15">
        <v>324</v>
      </c>
      <c r="P334" s="15">
        <f t="shared" si="43"/>
        <v>5.5531263450885132E-2</v>
      </c>
      <c r="Q334" s="15">
        <f t="shared" si="44"/>
        <v>5.5532455543780626E-2</v>
      </c>
      <c r="R334" s="15">
        <f t="shared" si="39"/>
        <v>5.5531859497332879E-2</v>
      </c>
      <c r="S334" s="18">
        <f t="shared" si="40"/>
        <v>-6.0281466950696085</v>
      </c>
      <c r="T334" s="18">
        <f t="shared" si="41"/>
        <v>44.311754848723922</v>
      </c>
      <c r="U334" s="18">
        <f t="shared" si="42"/>
        <v>19.14193263652578</v>
      </c>
    </row>
    <row r="335" spans="15:21" x14ac:dyDescent="0.25">
      <c r="O335" s="15">
        <v>325</v>
      </c>
      <c r="P335" s="15">
        <f t="shared" si="43"/>
        <v>5.5531263450885132E-2</v>
      </c>
      <c r="Q335" s="15">
        <f t="shared" si="44"/>
        <v>5.5531859497332879E-2</v>
      </c>
      <c r="R335" s="15">
        <f t="shared" si="39"/>
        <v>5.5531561474109009E-2</v>
      </c>
      <c r="S335" s="18">
        <f t="shared" si="40"/>
        <v>-6.0281466950696085</v>
      </c>
      <c r="T335" s="18">
        <f t="shared" si="41"/>
        <v>19.14193263652578</v>
      </c>
      <c r="U335" s="18">
        <f t="shared" si="42"/>
        <v>6.5569249377172127</v>
      </c>
    </row>
    <row r="336" spans="15:21" x14ac:dyDescent="0.25">
      <c r="O336" s="15">
        <v>326</v>
      </c>
      <c r="P336" s="15">
        <f t="shared" si="43"/>
        <v>5.5531263450885132E-2</v>
      </c>
      <c r="Q336" s="15">
        <f t="shared" si="44"/>
        <v>5.5531561474109009E-2</v>
      </c>
      <c r="R336" s="15">
        <f t="shared" si="39"/>
        <v>5.5531412462497071E-2</v>
      </c>
      <c r="S336" s="18">
        <f t="shared" si="40"/>
        <v>-6.0281466950696085</v>
      </c>
      <c r="T336" s="18">
        <f t="shared" si="41"/>
        <v>6.5569249377172127</v>
      </c>
      <c r="U336" s="18">
        <f t="shared" si="42"/>
        <v>0.26439706673954788</v>
      </c>
    </row>
    <row r="337" spans="15:21" x14ac:dyDescent="0.25">
      <c r="O337" s="15">
        <v>327</v>
      </c>
      <c r="P337" s="15">
        <f t="shared" si="43"/>
        <v>5.5531263450885132E-2</v>
      </c>
      <c r="Q337" s="15">
        <f t="shared" si="44"/>
        <v>5.5531412462497071E-2</v>
      </c>
      <c r="R337" s="15">
        <f t="shared" si="39"/>
        <v>5.5531337956691101E-2</v>
      </c>
      <c r="S337" s="18">
        <f t="shared" si="40"/>
        <v>-6.0281466950696085</v>
      </c>
      <c r="T337" s="18">
        <f t="shared" si="41"/>
        <v>0.26439706673954788</v>
      </c>
      <c r="U337" s="18">
        <f t="shared" si="42"/>
        <v>-2.881872878510876</v>
      </c>
    </row>
    <row r="338" spans="15:21" x14ac:dyDescent="0.25">
      <c r="O338" s="15">
        <v>328</v>
      </c>
      <c r="P338" s="15">
        <f t="shared" si="43"/>
        <v>5.5531337956691101E-2</v>
      </c>
      <c r="Q338" s="15">
        <f t="shared" si="44"/>
        <v>5.5531412462497071E-2</v>
      </c>
      <c r="R338" s="15">
        <f t="shared" si="39"/>
        <v>5.5531375209594086E-2</v>
      </c>
      <c r="S338" s="18">
        <f t="shared" si="40"/>
        <v>-2.881872878510876</v>
      </c>
      <c r="T338" s="18">
        <f t="shared" si="41"/>
        <v>0.26439706673954788</v>
      </c>
      <c r="U338" s="18">
        <f t="shared" si="42"/>
        <v>-1.3087372517161384</v>
      </c>
    </row>
    <row r="339" spans="15:21" x14ac:dyDescent="0.25">
      <c r="O339" s="15">
        <v>329</v>
      </c>
      <c r="P339" s="15">
        <f t="shared" si="43"/>
        <v>5.5531375209594086E-2</v>
      </c>
      <c r="Q339" s="15">
        <f t="shared" si="44"/>
        <v>5.5531412462497071E-2</v>
      </c>
      <c r="R339" s="15">
        <f t="shared" si="39"/>
        <v>5.5531393836045578E-2</v>
      </c>
      <c r="S339" s="18">
        <f t="shared" si="40"/>
        <v>-1.3087372517161384</v>
      </c>
      <c r="T339" s="18">
        <f t="shared" si="41"/>
        <v>0.26439706673954788</v>
      </c>
      <c r="U339" s="18">
        <f t="shared" si="42"/>
        <v>-0.52216988075042536</v>
      </c>
    </row>
    <row r="340" spans="15:21" x14ac:dyDescent="0.25">
      <c r="O340" s="15">
        <v>330</v>
      </c>
      <c r="P340" s="15">
        <f t="shared" si="43"/>
        <v>5.5531393836045578E-2</v>
      </c>
      <c r="Q340" s="15">
        <f t="shared" si="44"/>
        <v>5.5531412462497071E-2</v>
      </c>
      <c r="R340" s="15">
        <f t="shared" si="39"/>
        <v>5.5531403149271324E-2</v>
      </c>
      <c r="S340" s="18">
        <f t="shared" si="40"/>
        <v>-0.52216988075042536</v>
      </c>
      <c r="T340" s="18">
        <f t="shared" si="41"/>
        <v>0.26439706673954788</v>
      </c>
      <c r="U340" s="18">
        <f t="shared" si="42"/>
        <v>-0.12888637811010994</v>
      </c>
    </row>
    <row r="341" spans="15:21" x14ac:dyDescent="0.25">
      <c r="O341" s="15">
        <v>331</v>
      </c>
      <c r="P341" s="15">
        <f t="shared" si="43"/>
        <v>5.5531403149271324E-2</v>
      </c>
      <c r="Q341" s="15">
        <f t="shared" si="44"/>
        <v>5.5531412462497071E-2</v>
      </c>
      <c r="R341" s="15">
        <f t="shared" si="39"/>
        <v>5.5531407805884198E-2</v>
      </c>
      <c r="S341" s="18">
        <f t="shared" si="40"/>
        <v>-0.12888637811010994</v>
      </c>
      <c r="T341" s="18">
        <f t="shared" si="41"/>
        <v>0.26439706673954788</v>
      </c>
      <c r="U341" s="18">
        <f t="shared" si="42"/>
        <v>6.7755447696981719E-2</v>
      </c>
    </row>
    <row r="342" spans="15:21" x14ac:dyDescent="0.25">
      <c r="O342" s="15">
        <v>332</v>
      </c>
      <c r="P342" s="15">
        <f t="shared" si="43"/>
        <v>5.5531403149271324E-2</v>
      </c>
      <c r="Q342" s="15">
        <f t="shared" si="44"/>
        <v>5.5531407805884198E-2</v>
      </c>
      <c r="R342" s="15">
        <f t="shared" si="39"/>
        <v>5.5531405477577761E-2</v>
      </c>
      <c r="S342" s="18">
        <f t="shared" si="40"/>
        <v>-0.12888637811010994</v>
      </c>
      <c r="T342" s="18">
        <f t="shared" si="41"/>
        <v>6.7755447696981719E-2</v>
      </c>
      <c r="U342" s="18">
        <f t="shared" si="42"/>
        <v>-3.0565462876893434E-2</v>
      </c>
    </row>
    <row r="343" spans="15:21" x14ac:dyDescent="0.25">
      <c r="O343" s="15">
        <v>333</v>
      </c>
      <c r="P343" s="15">
        <f t="shared" si="43"/>
        <v>5.5531405477577761E-2</v>
      </c>
      <c r="Q343" s="15">
        <f t="shared" si="44"/>
        <v>5.5531407805884198E-2</v>
      </c>
      <c r="R343" s="15">
        <f t="shared" si="39"/>
        <v>5.5531406641730979E-2</v>
      </c>
      <c r="S343" s="18">
        <f t="shared" si="40"/>
        <v>-3.0565462876893434E-2</v>
      </c>
      <c r="T343" s="18">
        <f t="shared" si="41"/>
        <v>6.7755447696981719E-2</v>
      </c>
      <c r="U343" s="18">
        <f t="shared" si="42"/>
        <v>1.8594893689623859E-2</v>
      </c>
    </row>
    <row r="344" spans="15:21" x14ac:dyDescent="0.25">
      <c r="O344" s="15">
        <v>334</v>
      </c>
      <c r="P344" s="15">
        <f t="shared" si="43"/>
        <v>5.5531405477577761E-2</v>
      </c>
      <c r="Q344" s="15">
        <f t="shared" si="44"/>
        <v>5.5531406641730979E-2</v>
      </c>
      <c r="R344" s="15">
        <f t="shared" si="39"/>
        <v>5.553140605965437E-2</v>
      </c>
      <c r="S344" s="18">
        <f t="shared" si="40"/>
        <v>-3.0565462876893434E-2</v>
      </c>
      <c r="T344" s="18">
        <f t="shared" si="41"/>
        <v>1.8594893689623859E-2</v>
      </c>
      <c r="U344" s="18">
        <f t="shared" si="42"/>
        <v>-5.9851868049918266E-3</v>
      </c>
    </row>
    <row r="345" spans="15:21" x14ac:dyDescent="0.25">
      <c r="O345" s="15">
        <v>335</v>
      </c>
      <c r="P345" s="15">
        <f t="shared" si="43"/>
        <v>5.553140605965437E-2</v>
      </c>
      <c r="Q345" s="15">
        <f t="shared" si="44"/>
        <v>5.5531406641730979E-2</v>
      </c>
      <c r="R345" s="15">
        <f t="shared" si="39"/>
        <v>5.5531406350692675E-2</v>
      </c>
      <c r="S345" s="18">
        <f t="shared" si="40"/>
        <v>-5.9851868049918266E-3</v>
      </c>
      <c r="T345" s="18">
        <f t="shared" si="41"/>
        <v>1.8594893689623859E-2</v>
      </c>
      <c r="U345" s="18">
        <f t="shared" si="42"/>
        <v>6.3048541405805736E-3</v>
      </c>
    </row>
    <row r="346" spans="15:21" x14ac:dyDescent="0.25">
      <c r="O346" s="15">
        <v>336</v>
      </c>
      <c r="P346" s="15">
        <f t="shared" si="43"/>
        <v>5.553140605965437E-2</v>
      </c>
      <c r="Q346" s="15">
        <f t="shared" si="44"/>
        <v>5.5531406350692675E-2</v>
      </c>
      <c r="R346" s="15">
        <f t="shared" si="39"/>
        <v>5.5531406205173522E-2</v>
      </c>
      <c r="S346" s="18">
        <f t="shared" si="40"/>
        <v>-5.9851868049918266E-3</v>
      </c>
      <c r="T346" s="18">
        <f t="shared" si="41"/>
        <v>6.3048541405805736E-3</v>
      </c>
      <c r="U346" s="18">
        <f t="shared" si="42"/>
        <v>1.5973541303537786E-4</v>
      </c>
    </row>
    <row r="347" spans="15:21" x14ac:dyDescent="0.25">
      <c r="O347" s="15">
        <v>337</v>
      </c>
      <c r="P347" s="15">
        <f t="shared" si="43"/>
        <v>5.553140605965437E-2</v>
      </c>
      <c r="Q347" s="15">
        <f t="shared" si="44"/>
        <v>5.5531406205173522E-2</v>
      </c>
      <c r="R347" s="15">
        <f t="shared" si="39"/>
        <v>5.5531406132413946E-2</v>
      </c>
      <c r="S347" s="18">
        <f t="shared" si="40"/>
        <v>-5.9851868049918266E-3</v>
      </c>
      <c r="T347" s="18">
        <f t="shared" si="41"/>
        <v>1.5973541303537786E-4</v>
      </c>
      <c r="U347" s="18">
        <f t="shared" si="42"/>
        <v>-2.9128244168532547E-3</v>
      </c>
    </row>
    <row r="348" spans="15:21" x14ac:dyDescent="0.25">
      <c r="O348" s="15">
        <v>338</v>
      </c>
      <c r="P348" s="15">
        <f t="shared" si="43"/>
        <v>5.5531406132413946E-2</v>
      </c>
      <c r="Q348" s="15">
        <f t="shared" si="44"/>
        <v>5.5531406205173522E-2</v>
      </c>
      <c r="R348" s="15">
        <f t="shared" si="39"/>
        <v>5.5531406168793734E-2</v>
      </c>
      <c r="S348" s="18">
        <f t="shared" si="40"/>
        <v>-2.9128244168532547E-3</v>
      </c>
      <c r="T348" s="18">
        <f t="shared" si="41"/>
        <v>1.5973541303537786E-4</v>
      </c>
      <c r="U348" s="18">
        <f t="shared" si="42"/>
        <v>-1.3764448494839598E-3</v>
      </c>
    </row>
    <row r="349" spans="15:21" x14ac:dyDescent="0.25">
      <c r="O349" s="15">
        <v>339</v>
      </c>
      <c r="P349" s="15">
        <f t="shared" si="43"/>
        <v>5.5531406168793734E-2</v>
      </c>
      <c r="Q349" s="15">
        <f t="shared" si="44"/>
        <v>5.5531406205173522E-2</v>
      </c>
      <c r="R349" s="15">
        <f t="shared" si="39"/>
        <v>5.5531406186983628E-2</v>
      </c>
      <c r="S349" s="18">
        <f t="shared" si="40"/>
        <v>-1.3764448494839598E-3</v>
      </c>
      <c r="T349" s="18">
        <f t="shared" si="41"/>
        <v>1.5973541303537786E-4</v>
      </c>
      <c r="U349" s="18">
        <f t="shared" si="42"/>
        <v>-6.0825809396192199E-4</v>
      </c>
    </row>
    <row r="350" spans="15:21" x14ac:dyDescent="0.25">
      <c r="O350" s="15">
        <v>340</v>
      </c>
      <c r="P350" s="15">
        <f t="shared" si="43"/>
        <v>5.5531406186983628E-2</v>
      </c>
      <c r="Q350" s="15">
        <f t="shared" si="44"/>
        <v>5.5531406205173522E-2</v>
      </c>
      <c r="R350" s="15">
        <f t="shared" si="39"/>
        <v>5.5531406196078575E-2</v>
      </c>
      <c r="S350" s="18">
        <f t="shared" si="40"/>
        <v>-6.0825809396192199E-4</v>
      </c>
      <c r="T350" s="18">
        <f t="shared" si="41"/>
        <v>1.5973541303537786E-4</v>
      </c>
      <c r="U350" s="18">
        <f t="shared" si="42"/>
        <v>-2.2426110808737576E-4</v>
      </c>
    </row>
    <row r="351" spans="15:21" x14ac:dyDescent="0.25">
      <c r="O351" s="15">
        <v>341</v>
      </c>
      <c r="P351" s="15">
        <f t="shared" si="43"/>
        <v>5.5531406196078575E-2</v>
      </c>
      <c r="Q351" s="15">
        <f t="shared" si="44"/>
        <v>5.5531406205173522E-2</v>
      </c>
      <c r="R351" s="15">
        <f t="shared" si="39"/>
        <v>5.5531406200626049E-2</v>
      </c>
      <c r="S351" s="18">
        <f t="shared" si="40"/>
        <v>-2.2426110808737576E-4</v>
      </c>
      <c r="T351" s="18">
        <f t="shared" si="41"/>
        <v>1.5973541303537786E-4</v>
      </c>
      <c r="U351" s="18">
        <f t="shared" si="42"/>
        <v>-3.2261682008538628E-5</v>
      </c>
    </row>
    <row r="352" spans="15:21" x14ac:dyDescent="0.25">
      <c r="O352" s="15">
        <v>342</v>
      </c>
      <c r="P352" s="15">
        <f t="shared" si="43"/>
        <v>5.5531406200626049E-2</v>
      </c>
      <c r="Q352" s="15">
        <f t="shared" si="44"/>
        <v>5.5531406205173522E-2</v>
      </c>
      <c r="R352" s="15">
        <f t="shared" si="39"/>
        <v>5.5531406202899786E-2</v>
      </c>
      <c r="S352" s="18">
        <f t="shared" si="40"/>
        <v>-3.2261682008538628E-5</v>
      </c>
      <c r="T352" s="18">
        <f t="shared" si="41"/>
        <v>1.5973541303537786E-4</v>
      </c>
      <c r="U352" s="18">
        <f t="shared" si="42"/>
        <v>6.3735001731402008E-5</v>
      </c>
    </row>
    <row r="353" spans="15:21" x14ac:dyDescent="0.25">
      <c r="O353" s="15">
        <v>343</v>
      </c>
      <c r="P353" s="15">
        <f t="shared" si="43"/>
        <v>5.5531406200626049E-2</v>
      </c>
      <c r="Q353" s="15">
        <f t="shared" si="44"/>
        <v>5.5531406202899786E-2</v>
      </c>
      <c r="R353" s="15">
        <f t="shared" si="39"/>
        <v>5.5531406201762917E-2</v>
      </c>
      <c r="S353" s="18">
        <f t="shared" si="40"/>
        <v>-3.2261682008538628E-5</v>
      </c>
      <c r="T353" s="18">
        <f t="shared" si="41"/>
        <v>6.3735001731402008E-5</v>
      </c>
      <c r="U353" s="18">
        <f t="shared" si="42"/>
        <v>1.5737591638753656E-5</v>
      </c>
    </row>
    <row r="354" spans="15:21" x14ac:dyDescent="0.25">
      <c r="O354" s="15">
        <v>344</v>
      </c>
      <c r="P354" s="15">
        <f t="shared" si="43"/>
        <v>5.5531406200626049E-2</v>
      </c>
      <c r="Q354" s="15">
        <f t="shared" si="44"/>
        <v>5.5531406201762917E-2</v>
      </c>
      <c r="R354" s="15">
        <f t="shared" si="39"/>
        <v>5.5531406201194483E-2</v>
      </c>
      <c r="S354" s="18">
        <f t="shared" si="40"/>
        <v>-3.2261682008538628E-5</v>
      </c>
      <c r="T354" s="18">
        <f t="shared" si="41"/>
        <v>1.5737591638753656E-5</v>
      </c>
      <c r="U354" s="18">
        <f t="shared" si="42"/>
        <v>-8.2643750829447526E-6</v>
      </c>
    </row>
    <row r="355" spans="15:21" x14ac:dyDescent="0.25">
      <c r="O355" s="15">
        <v>345</v>
      </c>
      <c r="P355" s="15">
        <f t="shared" si="43"/>
        <v>5.5531406201194483E-2</v>
      </c>
      <c r="Q355" s="15">
        <f t="shared" si="44"/>
        <v>5.5531406201762917E-2</v>
      </c>
      <c r="R355" s="15">
        <f t="shared" si="39"/>
        <v>5.55314062014787E-2</v>
      </c>
      <c r="S355" s="18">
        <f t="shared" si="40"/>
        <v>-8.2643750829447526E-6</v>
      </c>
      <c r="T355" s="18">
        <f t="shared" si="41"/>
        <v>1.5737591638753656E-5</v>
      </c>
      <c r="U355" s="18">
        <f t="shared" si="42"/>
        <v>3.8341636354743969E-6</v>
      </c>
    </row>
    <row r="356" spans="15:21" x14ac:dyDescent="0.25">
      <c r="O356" s="15">
        <v>346</v>
      </c>
      <c r="P356" s="15">
        <f t="shared" si="43"/>
        <v>5.5531406201194483E-2</v>
      </c>
      <c r="Q356" s="15">
        <f t="shared" si="44"/>
        <v>5.55314062014787E-2</v>
      </c>
      <c r="R356" s="15">
        <f t="shared" si="39"/>
        <v>5.5531406201336592E-2</v>
      </c>
      <c r="S356" s="18">
        <f t="shared" si="40"/>
        <v>-8.2643750829447526E-6</v>
      </c>
      <c r="T356" s="18">
        <f t="shared" si="41"/>
        <v>3.8341636354743969E-6</v>
      </c>
      <c r="U356" s="18">
        <f t="shared" si="42"/>
        <v>-2.2141739464132115E-6</v>
      </c>
    </row>
    <row r="357" spans="15:21" x14ac:dyDescent="0.25">
      <c r="O357" s="15">
        <v>347</v>
      </c>
      <c r="P357" s="15">
        <f t="shared" si="43"/>
        <v>5.5531406201336592E-2</v>
      </c>
      <c r="Q357" s="15">
        <f t="shared" si="44"/>
        <v>5.55314062014787E-2</v>
      </c>
      <c r="R357" s="15">
        <f t="shared" si="39"/>
        <v>5.5531406201407646E-2</v>
      </c>
      <c r="S357" s="18">
        <f t="shared" si="40"/>
        <v>-2.2141739464132115E-6</v>
      </c>
      <c r="T357" s="18">
        <f t="shared" si="41"/>
        <v>3.8341636354743969E-6</v>
      </c>
      <c r="U357" s="18">
        <f t="shared" si="42"/>
        <v>7.1383738031727262E-7</v>
      </c>
    </row>
    <row r="358" spans="15:21" x14ac:dyDescent="0.25">
      <c r="O358" s="15">
        <v>348</v>
      </c>
      <c r="P358" s="15">
        <f t="shared" si="43"/>
        <v>5.5531406201336592E-2</v>
      </c>
      <c r="Q358" s="15">
        <f t="shared" si="44"/>
        <v>5.5531406201407646E-2</v>
      </c>
      <c r="R358" s="15">
        <f t="shared" si="39"/>
        <v>5.5531406201372119E-2</v>
      </c>
      <c r="S358" s="18">
        <f t="shared" si="40"/>
        <v>-2.2141739464132115E-6</v>
      </c>
      <c r="T358" s="18">
        <f t="shared" si="41"/>
        <v>7.1383738031727262E-7</v>
      </c>
      <c r="U358" s="18">
        <f t="shared" si="42"/>
        <v>-6.5354470279999077E-7</v>
      </c>
    </row>
    <row r="359" spans="15:21" x14ac:dyDescent="0.25">
      <c r="O359" s="15">
        <v>349</v>
      </c>
      <c r="P359" s="15">
        <f t="shared" si="43"/>
        <v>5.5531406201372119E-2</v>
      </c>
      <c r="Q359" s="15">
        <f t="shared" si="44"/>
        <v>5.5531406201407646E-2</v>
      </c>
      <c r="R359" s="15">
        <f t="shared" si="39"/>
        <v>5.5531406201389882E-2</v>
      </c>
      <c r="S359" s="18">
        <f t="shared" si="40"/>
        <v>-6.5354470279999077E-7</v>
      </c>
      <c r="T359" s="18">
        <f t="shared" si="41"/>
        <v>7.1383738031727262E-7</v>
      </c>
      <c r="U359" s="18">
        <f t="shared" si="42"/>
        <v>3.0612227419624105E-8</v>
      </c>
    </row>
    <row r="360" spans="15:21" x14ac:dyDescent="0.25">
      <c r="O360" s="15">
        <v>350</v>
      </c>
      <c r="P360" s="15">
        <f t="shared" si="43"/>
        <v>5.5531406201372119E-2</v>
      </c>
      <c r="Q360" s="15">
        <f t="shared" si="44"/>
        <v>5.5531406201389882E-2</v>
      </c>
      <c r="R360" s="15">
        <f t="shared" si="39"/>
        <v>5.5531406201381001E-2</v>
      </c>
      <c r="S360" s="18">
        <f t="shared" si="40"/>
        <v>-6.5354470279999077E-7</v>
      </c>
      <c r="T360" s="18">
        <f t="shared" si="41"/>
        <v>3.0612227419624105E-8</v>
      </c>
      <c r="U360" s="18">
        <f t="shared" si="42"/>
        <v>-3.1053423299454153E-7</v>
      </c>
    </row>
    <row r="361" spans="15:21" x14ac:dyDescent="0.25">
      <c r="O361" s="15">
        <v>351</v>
      </c>
      <c r="P361" s="15">
        <f t="shared" si="43"/>
        <v>5.5531406201381001E-2</v>
      </c>
      <c r="Q361" s="15">
        <f t="shared" si="44"/>
        <v>5.5531406201389882E-2</v>
      </c>
      <c r="R361" s="15">
        <f t="shared" si="39"/>
        <v>5.5531406201385441E-2</v>
      </c>
      <c r="S361" s="18">
        <f t="shared" si="40"/>
        <v>-3.1053423299454153E-7</v>
      </c>
      <c r="T361" s="18">
        <f t="shared" si="41"/>
        <v>3.0612227419624105E-8</v>
      </c>
      <c r="U361" s="18">
        <f t="shared" si="42"/>
        <v>-2.3821530703571625E-7</v>
      </c>
    </row>
    <row r="362" spans="15:21" x14ac:dyDescent="0.25">
      <c r="O362" s="15">
        <v>352</v>
      </c>
      <c r="P362" s="15">
        <f t="shared" si="43"/>
        <v>5.5531406201385441E-2</v>
      </c>
      <c r="Q362" s="15">
        <f t="shared" si="44"/>
        <v>5.5531406201389882E-2</v>
      </c>
      <c r="R362" s="15">
        <f t="shared" si="39"/>
        <v>5.5531406201387662E-2</v>
      </c>
      <c r="S362" s="18">
        <f t="shared" si="40"/>
        <v>-2.3821530703571625E-7</v>
      </c>
      <c r="T362" s="18">
        <f t="shared" si="41"/>
        <v>3.0612227419624105E-8</v>
      </c>
      <c r="U362" s="18">
        <f t="shared" si="42"/>
        <v>-1.0403437045169994E-7</v>
      </c>
    </row>
    <row r="363" spans="15:21" x14ac:dyDescent="0.25">
      <c r="O363" s="15">
        <v>353</v>
      </c>
      <c r="P363" s="15">
        <f t="shared" si="43"/>
        <v>5.5531406201387662E-2</v>
      </c>
      <c r="Q363" s="15">
        <f t="shared" si="44"/>
        <v>5.5531406201389882E-2</v>
      </c>
      <c r="R363" s="15">
        <f t="shared" si="39"/>
        <v>5.5531406201388772E-2</v>
      </c>
      <c r="S363" s="18">
        <f t="shared" si="40"/>
        <v>-1.0403437045169994E-7</v>
      </c>
      <c r="T363" s="18">
        <f t="shared" si="41"/>
        <v>3.0612227419624105E-8</v>
      </c>
      <c r="U363" s="18">
        <f t="shared" si="42"/>
        <v>6.1310856835916638E-8</v>
      </c>
    </row>
    <row r="364" spans="15:21" x14ac:dyDescent="0.25">
      <c r="O364" s="15">
        <v>354</v>
      </c>
      <c r="P364" s="15">
        <f t="shared" si="43"/>
        <v>5.5531406201387662E-2</v>
      </c>
      <c r="Q364" s="15">
        <f t="shared" si="44"/>
        <v>5.5531406201388772E-2</v>
      </c>
      <c r="R364" s="15">
        <f t="shared" si="39"/>
        <v>5.5531406201388217E-2</v>
      </c>
      <c r="S364" s="18">
        <f t="shared" si="40"/>
        <v>-1.0403437045169994E-7</v>
      </c>
      <c r="T364" s="18">
        <f t="shared" si="41"/>
        <v>6.1310856835916638E-8</v>
      </c>
      <c r="U364" s="18">
        <f t="shared" si="42"/>
        <v>-1.2310601960052736E-7</v>
      </c>
    </row>
    <row r="365" spans="15:21" x14ac:dyDescent="0.25">
      <c r="O365" s="15">
        <v>355</v>
      </c>
      <c r="P365" s="15">
        <f t="shared" si="43"/>
        <v>5.5531406201388217E-2</v>
      </c>
      <c r="Q365" s="15">
        <f t="shared" si="44"/>
        <v>5.5531406201388772E-2</v>
      </c>
      <c r="R365" s="15">
        <f t="shared" si="39"/>
        <v>5.5531406201388495E-2</v>
      </c>
      <c r="S365" s="18">
        <f t="shared" si="40"/>
        <v>-1.2310601960052736E-7</v>
      </c>
      <c r="T365" s="18">
        <f t="shared" si="41"/>
        <v>6.1310856835916638E-8</v>
      </c>
      <c r="U365" s="18">
        <f t="shared" si="42"/>
        <v>-1.3054977898718789E-7</v>
      </c>
    </row>
    <row r="366" spans="15:21" x14ac:dyDescent="0.25">
      <c r="O366" s="15">
        <v>356</v>
      </c>
      <c r="P366" s="15">
        <f t="shared" si="43"/>
        <v>5.5531406201388495E-2</v>
      </c>
      <c r="Q366" s="15">
        <f t="shared" si="44"/>
        <v>5.5531406201388772E-2</v>
      </c>
      <c r="R366" s="15">
        <f t="shared" si="39"/>
        <v>5.5531406201388633E-2</v>
      </c>
      <c r="S366" s="18">
        <f t="shared" si="40"/>
        <v>-1.3054977898718789E-7</v>
      </c>
      <c r="T366" s="18">
        <f t="shared" si="41"/>
        <v>6.1310856835916638E-8</v>
      </c>
      <c r="U366" s="18">
        <f t="shared" si="42"/>
        <v>6.1310856835916638E-8</v>
      </c>
    </row>
    <row r="367" spans="15:21" x14ac:dyDescent="0.25">
      <c r="O367" s="15">
        <v>357</v>
      </c>
      <c r="P367" s="15">
        <f t="shared" si="43"/>
        <v>5.5531406201388495E-2</v>
      </c>
      <c r="Q367" s="15">
        <f t="shared" si="44"/>
        <v>5.5531406201388633E-2</v>
      </c>
      <c r="R367" s="15">
        <f t="shared" si="39"/>
        <v>5.5531406201388564E-2</v>
      </c>
      <c r="S367" s="18">
        <f t="shared" si="40"/>
        <v>-1.3054977898718789E-7</v>
      </c>
      <c r="T367" s="18">
        <f t="shared" si="41"/>
        <v>6.1310856835916638E-8</v>
      </c>
      <c r="U367" s="18">
        <f t="shared" si="42"/>
        <v>-1.3054977898718789E-7</v>
      </c>
    </row>
    <row r="368" spans="15:21" x14ac:dyDescent="0.25">
      <c r="O368" s="15">
        <v>358</v>
      </c>
      <c r="P368" s="15">
        <f t="shared" si="43"/>
        <v>5.5531406201388564E-2</v>
      </c>
      <c r="Q368" s="15">
        <f t="shared" si="44"/>
        <v>5.5531406201388633E-2</v>
      </c>
      <c r="R368" s="15">
        <f t="shared" si="39"/>
        <v>5.5531406201388599E-2</v>
      </c>
      <c r="S368" s="18">
        <f t="shared" si="40"/>
        <v>-1.3054977898718789E-7</v>
      </c>
      <c r="T368" s="18">
        <f t="shared" si="41"/>
        <v>6.1310856835916638E-8</v>
      </c>
      <c r="U368" s="18">
        <f t="shared" si="42"/>
        <v>-1.3054977898718789E-7</v>
      </c>
    </row>
    <row r="369" spans="15:21" x14ac:dyDescent="0.25">
      <c r="O369" s="15">
        <v>359</v>
      </c>
      <c r="P369" s="15">
        <f t="shared" si="43"/>
        <v>5.5531406201388599E-2</v>
      </c>
      <c r="Q369" s="15">
        <f t="shared" si="44"/>
        <v>5.5531406201388633E-2</v>
      </c>
      <c r="R369" s="15">
        <f t="shared" si="39"/>
        <v>5.5531406201388619E-2</v>
      </c>
      <c r="S369" s="18">
        <f t="shared" si="40"/>
        <v>-1.3054977898718789E-7</v>
      </c>
      <c r="T369" s="18">
        <f t="shared" si="41"/>
        <v>6.1310856835916638E-8</v>
      </c>
      <c r="U369" s="18">
        <f t="shared" si="42"/>
        <v>-1.3054977898718789E-7</v>
      </c>
    </row>
    <row r="370" spans="15:21" x14ac:dyDescent="0.25">
      <c r="O370" s="15">
        <v>360</v>
      </c>
      <c r="P370" s="15">
        <f t="shared" si="43"/>
        <v>5.5531406201388619E-2</v>
      </c>
      <c r="Q370" s="15">
        <f t="shared" si="44"/>
        <v>5.5531406201388633E-2</v>
      </c>
      <c r="R370" s="15">
        <f t="shared" si="39"/>
        <v>5.5531406201388626E-2</v>
      </c>
      <c r="S370" s="18">
        <f t="shared" si="40"/>
        <v>-1.3054977898718789E-7</v>
      </c>
      <c r="T370" s="18">
        <f t="shared" si="41"/>
        <v>6.1310856835916638E-8</v>
      </c>
      <c r="U370" s="18">
        <f t="shared" si="42"/>
        <v>-1.3054977898718789E-7</v>
      </c>
    </row>
    <row r="371" spans="15:21" x14ac:dyDescent="0.25">
      <c r="O371" s="15">
        <v>361</v>
      </c>
      <c r="P371" s="15">
        <f t="shared" si="43"/>
        <v>5.5531406201388626E-2</v>
      </c>
      <c r="Q371" s="15">
        <f t="shared" si="44"/>
        <v>5.5531406201388633E-2</v>
      </c>
      <c r="R371" s="15">
        <f t="shared" si="39"/>
        <v>5.5531406201388633E-2</v>
      </c>
      <c r="S371" s="18">
        <f t="shared" si="40"/>
        <v>-1.3054977898718789E-7</v>
      </c>
      <c r="T371" s="18">
        <f t="shared" si="41"/>
        <v>6.1310856835916638E-8</v>
      </c>
      <c r="U371" s="18">
        <f t="shared" si="42"/>
        <v>6.1310856835916638E-8</v>
      </c>
    </row>
    <row r="372" spans="15:21" x14ac:dyDescent="0.25">
      <c r="O372" s="15">
        <v>362</v>
      </c>
      <c r="P372" s="15">
        <f t="shared" si="43"/>
        <v>5.5531406201388626E-2</v>
      </c>
      <c r="Q372" s="15">
        <f t="shared" si="44"/>
        <v>5.5531406201388633E-2</v>
      </c>
      <c r="R372" s="15">
        <f t="shared" si="39"/>
        <v>5.5531406201388633E-2</v>
      </c>
      <c r="S372" s="18">
        <f t="shared" si="40"/>
        <v>-1.3054977898718789E-7</v>
      </c>
      <c r="T372" s="18">
        <f t="shared" si="41"/>
        <v>6.1310856835916638E-8</v>
      </c>
      <c r="U372" s="18">
        <f t="shared" si="42"/>
        <v>6.1310856835916638E-8</v>
      </c>
    </row>
    <row r="373" spans="15:21" x14ac:dyDescent="0.25">
      <c r="O373" s="15">
        <v>363</v>
      </c>
      <c r="P373" s="15">
        <f t="shared" si="43"/>
        <v>5.5531406201388626E-2</v>
      </c>
      <c r="Q373" s="15">
        <f t="shared" si="44"/>
        <v>5.5531406201388633E-2</v>
      </c>
      <c r="R373" s="15">
        <f t="shared" si="39"/>
        <v>5.5531406201388633E-2</v>
      </c>
      <c r="S373" s="18">
        <f t="shared" si="40"/>
        <v>-1.3054977898718789E-7</v>
      </c>
      <c r="T373" s="18">
        <f t="shared" si="41"/>
        <v>6.1310856835916638E-8</v>
      </c>
      <c r="U373" s="18">
        <f t="shared" si="42"/>
        <v>6.1310856835916638E-8</v>
      </c>
    </row>
    <row r="374" spans="15:21" x14ac:dyDescent="0.25">
      <c r="O374" s="15">
        <v>364</v>
      </c>
      <c r="P374" s="15">
        <f t="shared" si="43"/>
        <v>5.5531406201388626E-2</v>
      </c>
      <c r="Q374" s="15">
        <f t="shared" si="44"/>
        <v>5.5531406201388633E-2</v>
      </c>
      <c r="R374" s="15">
        <f t="shared" si="39"/>
        <v>5.5531406201388633E-2</v>
      </c>
      <c r="S374" s="18">
        <f t="shared" si="40"/>
        <v>-1.3054977898718789E-7</v>
      </c>
      <c r="T374" s="18">
        <f t="shared" si="41"/>
        <v>6.1310856835916638E-8</v>
      </c>
      <c r="U374" s="18">
        <f t="shared" si="42"/>
        <v>6.1310856835916638E-8</v>
      </c>
    </row>
    <row r="375" spans="15:21" x14ac:dyDescent="0.25">
      <c r="O375" s="15">
        <v>365</v>
      </c>
      <c r="P375" s="15">
        <f t="shared" si="43"/>
        <v>5.5531406201388626E-2</v>
      </c>
      <c r="Q375" s="15">
        <f t="shared" si="44"/>
        <v>5.5531406201388633E-2</v>
      </c>
      <c r="R375" s="15">
        <f t="shared" ref="R375:R438" si="45">(P375+Q375)/2</f>
        <v>5.5531406201388633E-2</v>
      </c>
      <c r="S375" s="18">
        <f t="shared" ref="S375:S438" si="46">$E$4-$E$10-$E$11*(1+P375)^(-$E$5/$L$9)-$E$13*(1+P375)^(-$H$13/$L$9)-$E$14*(1+P375)^(-$H$14/$L$9) +$E$24*((1-(1+P375)^(-$E$5/$L$9)))/(1-(1+P375)^(1/$L$9))+$E$17*((1-(1+P375)^(-$J$20/$M$4)))/(1-(1+P375)^(1/$M$4))+$E$18*((1-(1+P375)^(-$J$21/$M$5)))/(1-(1+P375)^(1/$M$5))+$E$19*((1-(1+P375)^(-$J$22/$M$6)))/(1-(1+P375)^(1/$M$6))+$E$20*((1-(1+P375)^(-$J$23/$M$7)))/(1-(1+P375)^(1/$M$7))+$E$21*((1-(1+P375)^(-$J$24/$M$8)))/(1-(1+P375)^(1/$M$8))</f>
        <v>-1.3054977898718789E-7</v>
      </c>
      <c r="T375" s="18">
        <f t="shared" ref="T375:T438" si="47">$E$4-$E$10-$E$11*(1+Q375)^(-$E$5/$L$9)-$E$13*(1+Q375)^(-$H$13/$L$9)-$E$14*(1+Q375)^(-$H$14/$L$9) +$E$24*((1-(1+Q375)^(-$E$5/$L$9)))/(1-(1+Q375)^(1/$L$9))+$E$17*((1-(1+Q375)^(-$J$20/$M$4)))/(1-(1+Q375)^(1/$M$4))+$E$18*((1-(1+Q375)^(-$J$21/$M$5)))/(1-(1+Q375)^(1/$M$5))+$E$19*((1-(1+Q375)^(-$J$22/$M$6)))/(1-(1+Q375)^(1/$M$6))+$E$20*((1-(1+Q375)^(-$J$23/$M$7)))/(1-(1+Q375)^(1/$M$7))+$E$21*((1-(1+Q375)^(-$J$24/$M$8)))/(1-(1+Q375)^(1/$M$8))</f>
        <v>6.1310856835916638E-8</v>
      </c>
      <c r="U375" s="18">
        <f t="shared" ref="U375:U438" si="48">$E$4-$E$10-$E$11*(1+R375)^(-$E$5/$L$9)-$E$13*(1+R375)^(-$H$13/$L$9)-$E$14*(1+R375)^(-$H$14/$L$9) +$E$24*((1-(1+R375)^(-$E$5/$L$9)))/(1-(1+R375)^(1/$L$9))+$E$17*((1-(1+R375)^(-$J$20/$M$4)))/(1-(1+R375)^(1/$M$4))+$E$18*((1-(1+R375)^(-$J$21/$M$5)))/(1-(1+R375)^(1/$M$5))+$E$19*((1-(1+R375)^(-$J$22/$M$6)))/(1-(1+R375)^(1/$M$6))+$E$20*((1-(1+R375)^(-$J$23/$M$7)))/(1-(1+R375)^(1/$M$7))+$E$21*((1-(1+R375)^(-$J$24/$M$8)))/(1-(1+R375)^(1/$M$8))</f>
        <v>6.1310856835916638E-8</v>
      </c>
    </row>
    <row r="376" spans="15:21" x14ac:dyDescent="0.25">
      <c r="O376" s="15">
        <v>366</v>
      </c>
      <c r="P376" s="15">
        <f t="shared" ref="P376:P410" si="49">IF(S375*U375&gt;=0,R375,P375)</f>
        <v>5.5531406201388626E-2</v>
      </c>
      <c r="Q376" s="15">
        <f t="shared" ref="Q376:Q410" si="50">IF(T375*U375&gt;=0,R375,Q375)</f>
        <v>5.5531406201388633E-2</v>
      </c>
      <c r="R376" s="15">
        <f t="shared" si="45"/>
        <v>5.5531406201388633E-2</v>
      </c>
      <c r="S376" s="18">
        <f t="shared" si="46"/>
        <v>-1.3054977898718789E-7</v>
      </c>
      <c r="T376" s="18">
        <f t="shared" si="47"/>
        <v>6.1310856835916638E-8</v>
      </c>
      <c r="U376" s="18">
        <f t="shared" si="48"/>
        <v>6.1310856835916638E-8</v>
      </c>
    </row>
    <row r="377" spans="15:21" x14ac:dyDescent="0.25">
      <c r="O377" s="15">
        <v>367</v>
      </c>
      <c r="P377" s="15">
        <f t="shared" si="49"/>
        <v>5.5531406201388626E-2</v>
      </c>
      <c r="Q377" s="15">
        <f t="shared" si="50"/>
        <v>5.5531406201388633E-2</v>
      </c>
      <c r="R377" s="15">
        <f t="shared" si="45"/>
        <v>5.5531406201388633E-2</v>
      </c>
      <c r="S377" s="18">
        <f t="shared" si="46"/>
        <v>-1.3054977898718789E-7</v>
      </c>
      <c r="T377" s="18">
        <f t="shared" si="47"/>
        <v>6.1310856835916638E-8</v>
      </c>
      <c r="U377" s="18">
        <f t="shared" si="48"/>
        <v>6.1310856835916638E-8</v>
      </c>
    </row>
    <row r="378" spans="15:21" x14ac:dyDescent="0.25">
      <c r="O378" s="15">
        <v>368</v>
      </c>
      <c r="P378" s="15">
        <f t="shared" si="49"/>
        <v>5.5531406201388626E-2</v>
      </c>
      <c r="Q378" s="15">
        <f t="shared" si="50"/>
        <v>5.5531406201388633E-2</v>
      </c>
      <c r="R378" s="15">
        <f t="shared" si="45"/>
        <v>5.5531406201388633E-2</v>
      </c>
      <c r="S378" s="18">
        <f t="shared" si="46"/>
        <v>-1.3054977898718789E-7</v>
      </c>
      <c r="T378" s="18">
        <f t="shared" si="47"/>
        <v>6.1310856835916638E-8</v>
      </c>
      <c r="U378" s="18">
        <f t="shared" si="48"/>
        <v>6.1310856835916638E-8</v>
      </c>
    </row>
    <row r="379" spans="15:21" x14ac:dyDescent="0.25">
      <c r="O379" s="15">
        <v>369</v>
      </c>
      <c r="P379" s="15">
        <f t="shared" si="49"/>
        <v>5.5531406201388626E-2</v>
      </c>
      <c r="Q379" s="15">
        <f t="shared" si="50"/>
        <v>5.5531406201388633E-2</v>
      </c>
      <c r="R379" s="15">
        <f t="shared" si="45"/>
        <v>5.5531406201388633E-2</v>
      </c>
      <c r="S379" s="18">
        <f t="shared" si="46"/>
        <v>-1.3054977898718789E-7</v>
      </c>
      <c r="T379" s="18">
        <f t="shared" si="47"/>
        <v>6.1310856835916638E-8</v>
      </c>
      <c r="U379" s="18">
        <f t="shared" si="48"/>
        <v>6.1310856835916638E-8</v>
      </c>
    </row>
    <row r="380" spans="15:21" x14ac:dyDescent="0.25">
      <c r="O380" s="15">
        <v>370</v>
      </c>
      <c r="P380" s="15">
        <f t="shared" si="49"/>
        <v>5.5531406201388626E-2</v>
      </c>
      <c r="Q380" s="15">
        <f t="shared" si="50"/>
        <v>5.5531406201388633E-2</v>
      </c>
      <c r="R380" s="15">
        <f t="shared" si="45"/>
        <v>5.5531406201388633E-2</v>
      </c>
      <c r="S380" s="18">
        <f t="shared" si="46"/>
        <v>-1.3054977898718789E-7</v>
      </c>
      <c r="T380" s="18">
        <f t="shared" si="47"/>
        <v>6.1310856835916638E-8</v>
      </c>
      <c r="U380" s="18">
        <f t="shared" si="48"/>
        <v>6.1310856835916638E-8</v>
      </c>
    </row>
    <row r="381" spans="15:21" x14ac:dyDescent="0.25">
      <c r="O381" s="15">
        <v>371</v>
      </c>
      <c r="P381" s="15">
        <f t="shared" si="49"/>
        <v>5.5531406201388626E-2</v>
      </c>
      <c r="Q381" s="15">
        <f t="shared" si="50"/>
        <v>5.5531406201388633E-2</v>
      </c>
      <c r="R381" s="15">
        <f t="shared" si="45"/>
        <v>5.5531406201388633E-2</v>
      </c>
      <c r="S381" s="18">
        <f t="shared" si="46"/>
        <v>-1.3054977898718789E-7</v>
      </c>
      <c r="T381" s="18">
        <f t="shared" si="47"/>
        <v>6.1310856835916638E-8</v>
      </c>
      <c r="U381" s="18">
        <f t="shared" si="48"/>
        <v>6.1310856835916638E-8</v>
      </c>
    </row>
    <row r="382" spans="15:21" x14ac:dyDescent="0.25">
      <c r="O382" s="15">
        <v>372</v>
      </c>
      <c r="P382" s="15">
        <f t="shared" si="49"/>
        <v>5.5531406201388626E-2</v>
      </c>
      <c r="Q382" s="15">
        <f t="shared" si="50"/>
        <v>5.5531406201388633E-2</v>
      </c>
      <c r="R382" s="15">
        <f t="shared" si="45"/>
        <v>5.5531406201388633E-2</v>
      </c>
      <c r="S382" s="18">
        <f t="shared" si="46"/>
        <v>-1.3054977898718789E-7</v>
      </c>
      <c r="T382" s="18">
        <f t="shared" si="47"/>
        <v>6.1310856835916638E-8</v>
      </c>
      <c r="U382" s="18">
        <f t="shared" si="48"/>
        <v>6.1310856835916638E-8</v>
      </c>
    </row>
    <row r="383" spans="15:21" x14ac:dyDescent="0.25">
      <c r="O383" s="15">
        <v>373</v>
      </c>
      <c r="P383" s="15">
        <f t="shared" si="49"/>
        <v>5.5531406201388626E-2</v>
      </c>
      <c r="Q383" s="15">
        <f t="shared" si="50"/>
        <v>5.5531406201388633E-2</v>
      </c>
      <c r="R383" s="15">
        <f t="shared" si="45"/>
        <v>5.5531406201388633E-2</v>
      </c>
      <c r="S383" s="18">
        <f t="shared" si="46"/>
        <v>-1.3054977898718789E-7</v>
      </c>
      <c r="T383" s="18">
        <f t="shared" si="47"/>
        <v>6.1310856835916638E-8</v>
      </c>
      <c r="U383" s="18">
        <f t="shared" si="48"/>
        <v>6.1310856835916638E-8</v>
      </c>
    </row>
    <row r="384" spans="15:21" x14ac:dyDescent="0.25">
      <c r="O384" s="15">
        <v>374</v>
      </c>
      <c r="P384" s="15">
        <f t="shared" si="49"/>
        <v>5.5531406201388626E-2</v>
      </c>
      <c r="Q384" s="15">
        <f t="shared" si="50"/>
        <v>5.5531406201388633E-2</v>
      </c>
      <c r="R384" s="15">
        <f t="shared" si="45"/>
        <v>5.5531406201388633E-2</v>
      </c>
      <c r="S384" s="18">
        <f t="shared" si="46"/>
        <v>-1.3054977898718789E-7</v>
      </c>
      <c r="T384" s="18">
        <f t="shared" si="47"/>
        <v>6.1310856835916638E-8</v>
      </c>
      <c r="U384" s="18">
        <f t="shared" si="48"/>
        <v>6.1310856835916638E-8</v>
      </c>
    </row>
    <row r="385" spans="15:21" x14ac:dyDescent="0.25">
      <c r="O385" s="15">
        <v>375</v>
      </c>
      <c r="P385" s="15">
        <f t="shared" si="49"/>
        <v>5.5531406201388626E-2</v>
      </c>
      <c r="Q385" s="15">
        <f t="shared" si="50"/>
        <v>5.5531406201388633E-2</v>
      </c>
      <c r="R385" s="15">
        <f t="shared" si="45"/>
        <v>5.5531406201388633E-2</v>
      </c>
      <c r="S385" s="18">
        <f t="shared" si="46"/>
        <v>-1.3054977898718789E-7</v>
      </c>
      <c r="T385" s="18">
        <f t="shared" si="47"/>
        <v>6.1310856835916638E-8</v>
      </c>
      <c r="U385" s="18">
        <f t="shared" si="48"/>
        <v>6.1310856835916638E-8</v>
      </c>
    </row>
    <row r="386" spans="15:21" x14ac:dyDescent="0.25">
      <c r="O386" s="15">
        <v>376</v>
      </c>
      <c r="P386" s="15">
        <f t="shared" si="49"/>
        <v>5.5531406201388626E-2</v>
      </c>
      <c r="Q386" s="15">
        <f t="shared" si="50"/>
        <v>5.5531406201388633E-2</v>
      </c>
      <c r="R386" s="15">
        <f t="shared" si="45"/>
        <v>5.5531406201388633E-2</v>
      </c>
      <c r="S386" s="18">
        <f t="shared" si="46"/>
        <v>-1.3054977898718789E-7</v>
      </c>
      <c r="T386" s="18">
        <f t="shared" si="47"/>
        <v>6.1310856835916638E-8</v>
      </c>
      <c r="U386" s="18">
        <f t="shared" si="48"/>
        <v>6.1310856835916638E-8</v>
      </c>
    </row>
    <row r="387" spans="15:21" x14ac:dyDescent="0.25">
      <c r="O387" s="15">
        <v>377</v>
      </c>
      <c r="P387" s="15">
        <f t="shared" si="49"/>
        <v>5.5531406201388626E-2</v>
      </c>
      <c r="Q387" s="15">
        <f t="shared" si="50"/>
        <v>5.5531406201388633E-2</v>
      </c>
      <c r="R387" s="15">
        <f t="shared" si="45"/>
        <v>5.5531406201388633E-2</v>
      </c>
      <c r="S387" s="18">
        <f t="shared" si="46"/>
        <v>-1.3054977898718789E-7</v>
      </c>
      <c r="T387" s="18">
        <f t="shared" si="47"/>
        <v>6.1310856835916638E-8</v>
      </c>
      <c r="U387" s="18">
        <f t="shared" si="48"/>
        <v>6.1310856835916638E-8</v>
      </c>
    </row>
    <row r="388" spans="15:21" x14ac:dyDescent="0.25">
      <c r="O388" s="15">
        <v>378</v>
      </c>
      <c r="P388" s="15">
        <f t="shared" si="49"/>
        <v>5.5531406201388626E-2</v>
      </c>
      <c r="Q388" s="15">
        <f t="shared" si="50"/>
        <v>5.5531406201388633E-2</v>
      </c>
      <c r="R388" s="15">
        <f t="shared" si="45"/>
        <v>5.5531406201388633E-2</v>
      </c>
      <c r="S388" s="18">
        <f t="shared" si="46"/>
        <v>-1.3054977898718789E-7</v>
      </c>
      <c r="T388" s="18">
        <f t="shared" si="47"/>
        <v>6.1310856835916638E-8</v>
      </c>
      <c r="U388" s="18">
        <f t="shared" si="48"/>
        <v>6.1310856835916638E-8</v>
      </c>
    </row>
    <row r="389" spans="15:21" x14ac:dyDescent="0.25">
      <c r="O389" s="15">
        <v>379</v>
      </c>
      <c r="P389" s="15">
        <f t="shared" si="49"/>
        <v>5.5531406201388626E-2</v>
      </c>
      <c r="Q389" s="15">
        <f t="shared" si="50"/>
        <v>5.5531406201388633E-2</v>
      </c>
      <c r="R389" s="15">
        <f t="shared" si="45"/>
        <v>5.5531406201388633E-2</v>
      </c>
      <c r="S389" s="18">
        <f t="shared" si="46"/>
        <v>-1.3054977898718789E-7</v>
      </c>
      <c r="T389" s="18">
        <f t="shared" si="47"/>
        <v>6.1310856835916638E-8</v>
      </c>
      <c r="U389" s="18">
        <f t="shared" si="48"/>
        <v>6.1310856835916638E-8</v>
      </c>
    </row>
    <row r="390" spans="15:21" x14ac:dyDescent="0.25">
      <c r="O390" s="15">
        <v>380</v>
      </c>
      <c r="P390" s="15">
        <f t="shared" si="49"/>
        <v>5.5531406201388626E-2</v>
      </c>
      <c r="Q390" s="15">
        <f t="shared" si="50"/>
        <v>5.5531406201388633E-2</v>
      </c>
      <c r="R390" s="15">
        <f t="shared" si="45"/>
        <v>5.5531406201388633E-2</v>
      </c>
      <c r="S390" s="18">
        <f t="shared" si="46"/>
        <v>-1.3054977898718789E-7</v>
      </c>
      <c r="T390" s="18">
        <f t="shared" si="47"/>
        <v>6.1310856835916638E-8</v>
      </c>
      <c r="U390" s="18">
        <f t="shared" si="48"/>
        <v>6.1310856835916638E-8</v>
      </c>
    </row>
    <row r="391" spans="15:21" x14ac:dyDescent="0.25">
      <c r="O391" s="15">
        <v>381</v>
      </c>
      <c r="P391" s="15">
        <f t="shared" si="49"/>
        <v>5.5531406201388626E-2</v>
      </c>
      <c r="Q391" s="15">
        <f t="shared" si="50"/>
        <v>5.5531406201388633E-2</v>
      </c>
      <c r="R391" s="15">
        <f t="shared" si="45"/>
        <v>5.5531406201388633E-2</v>
      </c>
      <c r="S391" s="18">
        <f t="shared" si="46"/>
        <v>-1.3054977898718789E-7</v>
      </c>
      <c r="T391" s="18">
        <f t="shared" si="47"/>
        <v>6.1310856835916638E-8</v>
      </c>
      <c r="U391" s="18">
        <f t="shared" si="48"/>
        <v>6.1310856835916638E-8</v>
      </c>
    </row>
    <row r="392" spans="15:21" x14ac:dyDescent="0.25">
      <c r="O392" s="15">
        <v>382</v>
      </c>
      <c r="P392" s="15">
        <f t="shared" si="49"/>
        <v>5.5531406201388626E-2</v>
      </c>
      <c r="Q392" s="15">
        <f t="shared" si="50"/>
        <v>5.5531406201388633E-2</v>
      </c>
      <c r="R392" s="15">
        <f t="shared" si="45"/>
        <v>5.5531406201388633E-2</v>
      </c>
      <c r="S392" s="18">
        <f t="shared" si="46"/>
        <v>-1.3054977898718789E-7</v>
      </c>
      <c r="T392" s="18">
        <f t="shared" si="47"/>
        <v>6.1310856835916638E-8</v>
      </c>
      <c r="U392" s="18">
        <f t="shared" si="48"/>
        <v>6.1310856835916638E-8</v>
      </c>
    </row>
    <row r="393" spans="15:21" x14ac:dyDescent="0.25">
      <c r="O393" s="15">
        <v>383</v>
      </c>
      <c r="P393" s="15">
        <f t="shared" si="49"/>
        <v>5.5531406201388626E-2</v>
      </c>
      <c r="Q393" s="15">
        <f t="shared" si="50"/>
        <v>5.5531406201388633E-2</v>
      </c>
      <c r="R393" s="15">
        <f t="shared" si="45"/>
        <v>5.5531406201388633E-2</v>
      </c>
      <c r="S393" s="18">
        <f t="shared" si="46"/>
        <v>-1.3054977898718789E-7</v>
      </c>
      <c r="T393" s="18">
        <f t="shared" si="47"/>
        <v>6.1310856835916638E-8</v>
      </c>
      <c r="U393" s="18">
        <f t="shared" si="48"/>
        <v>6.1310856835916638E-8</v>
      </c>
    </row>
    <row r="394" spans="15:21" x14ac:dyDescent="0.25">
      <c r="O394" s="15">
        <v>384</v>
      </c>
      <c r="P394" s="15">
        <f t="shared" si="49"/>
        <v>5.5531406201388626E-2</v>
      </c>
      <c r="Q394" s="15">
        <f t="shared" si="50"/>
        <v>5.5531406201388633E-2</v>
      </c>
      <c r="R394" s="15">
        <f t="shared" si="45"/>
        <v>5.5531406201388633E-2</v>
      </c>
      <c r="S394" s="18">
        <f t="shared" si="46"/>
        <v>-1.3054977898718789E-7</v>
      </c>
      <c r="T394" s="18">
        <f t="shared" si="47"/>
        <v>6.1310856835916638E-8</v>
      </c>
      <c r="U394" s="18">
        <f t="shared" si="48"/>
        <v>6.1310856835916638E-8</v>
      </c>
    </row>
    <row r="395" spans="15:21" x14ac:dyDescent="0.25">
      <c r="O395" s="15">
        <v>385</v>
      </c>
      <c r="P395" s="15">
        <f t="shared" si="49"/>
        <v>5.5531406201388626E-2</v>
      </c>
      <c r="Q395" s="15">
        <f t="shared" si="50"/>
        <v>5.5531406201388633E-2</v>
      </c>
      <c r="R395" s="15">
        <f t="shared" si="45"/>
        <v>5.5531406201388633E-2</v>
      </c>
      <c r="S395" s="18">
        <f t="shared" si="46"/>
        <v>-1.3054977898718789E-7</v>
      </c>
      <c r="T395" s="18">
        <f t="shared" si="47"/>
        <v>6.1310856835916638E-8</v>
      </c>
      <c r="U395" s="18">
        <f t="shared" si="48"/>
        <v>6.1310856835916638E-8</v>
      </c>
    </row>
    <row r="396" spans="15:21" x14ac:dyDescent="0.25">
      <c r="O396" s="15">
        <v>386</v>
      </c>
      <c r="P396" s="15">
        <f t="shared" si="49"/>
        <v>5.5531406201388626E-2</v>
      </c>
      <c r="Q396" s="15">
        <f t="shared" si="50"/>
        <v>5.5531406201388633E-2</v>
      </c>
      <c r="R396" s="15">
        <f t="shared" si="45"/>
        <v>5.5531406201388633E-2</v>
      </c>
      <c r="S396" s="18">
        <f t="shared" si="46"/>
        <v>-1.3054977898718789E-7</v>
      </c>
      <c r="T396" s="18">
        <f t="shared" si="47"/>
        <v>6.1310856835916638E-8</v>
      </c>
      <c r="U396" s="18">
        <f t="shared" si="48"/>
        <v>6.1310856835916638E-8</v>
      </c>
    </row>
    <row r="397" spans="15:21" x14ac:dyDescent="0.25">
      <c r="O397" s="15">
        <v>387</v>
      </c>
      <c r="P397" s="15">
        <f t="shared" si="49"/>
        <v>5.5531406201388626E-2</v>
      </c>
      <c r="Q397" s="15">
        <f t="shared" si="50"/>
        <v>5.5531406201388633E-2</v>
      </c>
      <c r="R397" s="15">
        <f t="shared" si="45"/>
        <v>5.5531406201388633E-2</v>
      </c>
      <c r="S397" s="18">
        <f t="shared" si="46"/>
        <v>-1.3054977898718789E-7</v>
      </c>
      <c r="T397" s="18">
        <f t="shared" si="47"/>
        <v>6.1310856835916638E-8</v>
      </c>
      <c r="U397" s="18">
        <f t="shared" si="48"/>
        <v>6.1310856835916638E-8</v>
      </c>
    </row>
    <row r="398" spans="15:21" x14ac:dyDescent="0.25">
      <c r="O398" s="15">
        <v>388</v>
      </c>
      <c r="P398" s="15">
        <f t="shared" si="49"/>
        <v>5.5531406201388626E-2</v>
      </c>
      <c r="Q398" s="15">
        <f t="shared" si="50"/>
        <v>5.5531406201388633E-2</v>
      </c>
      <c r="R398" s="15">
        <f t="shared" si="45"/>
        <v>5.5531406201388633E-2</v>
      </c>
      <c r="S398" s="18">
        <f t="shared" si="46"/>
        <v>-1.3054977898718789E-7</v>
      </c>
      <c r="T398" s="18">
        <f t="shared" si="47"/>
        <v>6.1310856835916638E-8</v>
      </c>
      <c r="U398" s="18">
        <f t="shared" si="48"/>
        <v>6.1310856835916638E-8</v>
      </c>
    </row>
    <row r="399" spans="15:21" x14ac:dyDescent="0.25">
      <c r="O399" s="15">
        <v>389</v>
      </c>
      <c r="P399" s="15">
        <f t="shared" si="49"/>
        <v>5.5531406201388626E-2</v>
      </c>
      <c r="Q399" s="15">
        <f t="shared" si="50"/>
        <v>5.5531406201388633E-2</v>
      </c>
      <c r="R399" s="15">
        <f t="shared" si="45"/>
        <v>5.5531406201388633E-2</v>
      </c>
      <c r="S399" s="18">
        <f t="shared" si="46"/>
        <v>-1.3054977898718789E-7</v>
      </c>
      <c r="T399" s="18">
        <f t="shared" si="47"/>
        <v>6.1310856835916638E-8</v>
      </c>
      <c r="U399" s="18">
        <f t="shared" si="48"/>
        <v>6.1310856835916638E-8</v>
      </c>
    </row>
    <row r="400" spans="15:21" x14ac:dyDescent="0.25">
      <c r="O400" s="15">
        <v>390</v>
      </c>
      <c r="P400" s="15">
        <f t="shared" si="49"/>
        <v>5.5531406201388626E-2</v>
      </c>
      <c r="Q400" s="15">
        <f t="shared" si="50"/>
        <v>5.5531406201388633E-2</v>
      </c>
      <c r="R400" s="15">
        <f t="shared" si="45"/>
        <v>5.5531406201388633E-2</v>
      </c>
      <c r="S400" s="18">
        <f t="shared" si="46"/>
        <v>-1.3054977898718789E-7</v>
      </c>
      <c r="T400" s="18">
        <f t="shared" si="47"/>
        <v>6.1310856835916638E-8</v>
      </c>
      <c r="U400" s="18">
        <f t="shared" si="48"/>
        <v>6.1310856835916638E-8</v>
      </c>
    </row>
    <row r="401" spans="15:21" x14ac:dyDescent="0.25">
      <c r="O401" s="15">
        <v>391</v>
      </c>
      <c r="P401" s="15">
        <f t="shared" si="49"/>
        <v>5.5531406201388626E-2</v>
      </c>
      <c r="Q401" s="15">
        <f t="shared" si="50"/>
        <v>5.5531406201388633E-2</v>
      </c>
      <c r="R401" s="15">
        <f t="shared" si="45"/>
        <v>5.5531406201388633E-2</v>
      </c>
      <c r="S401" s="18">
        <f t="shared" si="46"/>
        <v>-1.3054977898718789E-7</v>
      </c>
      <c r="T401" s="18">
        <f t="shared" si="47"/>
        <v>6.1310856835916638E-8</v>
      </c>
      <c r="U401" s="18">
        <f t="shared" si="48"/>
        <v>6.1310856835916638E-8</v>
      </c>
    </row>
    <row r="402" spans="15:21" x14ac:dyDescent="0.25">
      <c r="O402" s="15">
        <v>392</v>
      </c>
      <c r="P402" s="15">
        <f t="shared" si="49"/>
        <v>5.5531406201388626E-2</v>
      </c>
      <c r="Q402" s="15">
        <f t="shared" si="50"/>
        <v>5.5531406201388633E-2</v>
      </c>
      <c r="R402" s="15">
        <f t="shared" si="45"/>
        <v>5.5531406201388633E-2</v>
      </c>
      <c r="S402" s="18">
        <f t="shared" si="46"/>
        <v>-1.3054977898718789E-7</v>
      </c>
      <c r="T402" s="18">
        <f t="shared" si="47"/>
        <v>6.1310856835916638E-8</v>
      </c>
      <c r="U402" s="18">
        <f t="shared" si="48"/>
        <v>6.1310856835916638E-8</v>
      </c>
    </row>
    <row r="403" spans="15:21" x14ac:dyDescent="0.25">
      <c r="O403" s="15">
        <v>393</v>
      </c>
      <c r="P403" s="15">
        <f t="shared" si="49"/>
        <v>5.5531406201388626E-2</v>
      </c>
      <c r="Q403" s="15">
        <f t="shared" si="50"/>
        <v>5.5531406201388633E-2</v>
      </c>
      <c r="R403" s="15">
        <f t="shared" si="45"/>
        <v>5.5531406201388633E-2</v>
      </c>
      <c r="S403" s="18">
        <f t="shared" si="46"/>
        <v>-1.3054977898718789E-7</v>
      </c>
      <c r="T403" s="18">
        <f t="shared" si="47"/>
        <v>6.1310856835916638E-8</v>
      </c>
      <c r="U403" s="18">
        <f t="shared" si="48"/>
        <v>6.1310856835916638E-8</v>
      </c>
    </row>
    <row r="404" spans="15:21" x14ac:dyDescent="0.25">
      <c r="O404" s="15">
        <v>394</v>
      </c>
      <c r="P404" s="15">
        <f t="shared" si="49"/>
        <v>5.5531406201388626E-2</v>
      </c>
      <c r="Q404" s="15">
        <f t="shared" si="50"/>
        <v>5.5531406201388633E-2</v>
      </c>
      <c r="R404" s="15">
        <f t="shared" si="45"/>
        <v>5.5531406201388633E-2</v>
      </c>
      <c r="S404" s="18">
        <f t="shared" si="46"/>
        <v>-1.3054977898718789E-7</v>
      </c>
      <c r="T404" s="18">
        <f t="shared" si="47"/>
        <v>6.1310856835916638E-8</v>
      </c>
      <c r="U404" s="18">
        <f t="shared" si="48"/>
        <v>6.1310856835916638E-8</v>
      </c>
    </row>
    <row r="405" spans="15:21" x14ac:dyDescent="0.25">
      <c r="O405" s="15">
        <v>395</v>
      </c>
      <c r="P405" s="15">
        <f t="shared" si="49"/>
        <v>5.5531406201388626E-2</v>
      </c>
      <c r="Q405" s="15">
        <f t="shared" si="50"/>
        <v>5.5531406201388633E-2</v>
      </c>
      <c r="R405" s="15">
        <f t="shared" si="45"/>
        <v>5.5531406201388633E-2</v>
      </c>
      <c r="S405" s="18">
        <f t="shared" si="46"/>
        <v>-1.3054977898718789E-7</v>
      </c>
      <c r="T405" s="18">
        <f t="shared" si="47"/>
        <v>6.1310856835916638E-8</v>
      </c>
      <c r="U405" s="18">
        <f t="shared" si="48"/>
        <v>6.1310856835916638E-8</v>
      </c>
    </row>
    <row r="406" spans="15:21" x14ac:dyDescent="0.25">
      <c r="O406" s="15">
        <v>396</v>
      </c>
      <c r="P406" s="15">
        <f t="shared" si="49"/>
        <v>5.5531406201388626E-2</v>
      </c>
      <c r="Q406" s="15">
        <f t="shared" si="50"/>
        <v>5.5531406201388633E-2</v>
      </c>
      <c r="R406" s="15">
        <f t="shared" si="45"/>
        <v>5.5531406201388633E-2</v>
      </c>
      <c r="S406" s="18">
        <f t="shared" si="46"/>
        <v>-1.3054977898718789E-7</v>
      </c>
      <c r="T406" s="18">
        <f t="shared" si="47"/>
        <v>6.1310856835916638E-8</v>
      </c>
      <c r="U406" s="18">
        <f t="shared" si="48"/>
        <v>6.1310856835916638E-8</v>
      </c>
    </row>
    <row r="407" spans="15:21" x14ac:dyDescent="0.25">
      <c r="O407" s="15">
        <v>397</v>
      </c>
      <c r="P407" s="15">
        <f t="shared" si="49"/>
        <v>5.5531406201388626E-2</v>
      </c>
      <c r="Q407" s="15">
        <f t="shared" si="50"/>
        <v>5.5531406201388633E-2</v>
      </c>
      <c r="R407" s="15">
        <f t="shared" si="45"/>
        <v>5.5531406201388633E-2</v>
      </c>
      <c r="S407" s="18">
        <f t="shared" si="46"/>
        <v>-1.3054977898718789E-7</v>
      </c>
      <c r="T407" s="18">
        <f t="shared" si="47"/>
        <v>6.1310856835916638E-8</v>
      </c>
      <c r="U407" s="18">
        <f t="shared" si="48"/>
        <v>6.1310856835916638E-8</v>
      </c>
    </row>
    <row r="408" spans="15:21" x14ac:dyDescent="0.25">
      <c r="O408" s="15">
        <v>398</v>
      </c>
      <c r="P408" s="15">
        <f t="shared" si="49"/>
        <v>5.5531406201388626E-2</v>
      </c>
      <c r="Q408" s="15">
        <f t="shared" si="50"/>
        <v>5.5531406201388633E-2</v>
      </c>
      <c r="R408" s="15">
        <f t="shared" si="45"/>
        <v>5.5531406201388633E-2</v>
      </c>
      <c r="S408" s="18">
        <f t="shared" si="46"/>
        <v>-1.3054977898718789E-7</v>
      </c>
      <c r="T408" s="18">
        <f t="shared" si="47"/>
        <v>6.1310856835916638E-8</v>
      </c>
      <c r="U408" s="18">
        <f t="shared" si="48"/>
        <v>6.1310856835916638E-8</v>
      </c>
    </row>
    <row r="409" spans="15:21" x14ac:dyDescent="0.25">
      <c r="O409" s="15">
        <v>399</v>
      </c>
      <c r="P409" s="15">
        <f t="shared" si="49"/>
        <v>5.5531406201388626E-2</v>
      </c>
      <c r="Q409" s="15">
        <f t="shared" si="50"/>
        <v>5.5531406201388633E-2</v>
      </c>
      <c r="R409" s="15">
        <f t="shared" si="45"/>
        <v>5.5531406201388633E-2</v>
      </c>
      <c r="S409" s="18">
        <f t="shared" si="46"/>
        <v>-1.3054977898718789E-7</v>
      </c>
      <c r="T409" s="18">
        <f t="shared" si="47"/>
        <v>6.1310856835916638E-8</v>
      </c>
      <c r="U409" s="18">
        <f t="shared" si="48"/>
        <v>6.1310856835916638E-8</v>
      </c>
    </row>
    <row r="410" spans="15:21" x14ac:dyDescent="0.25">
      <c r="O410" s="15">
        <v>400</v>
      </c>
      <c r="P410" s="15">
        <f t="shared" si="49"/>
        <v>5.5531406201388626E-2</v>
      </c>
      <c r="Q410" s="15">
        <f t="shared" si="50"/>
        <v>5.5531406201388633E-2</v>
      </c>
      <c r="R410" s="15">
        <f t="shared" si="45"/>
        <v>5.5531406201388633E-2</v>
      </c>
      <c r="S410" s="18">
        <f t="shared" si="46"/>
        <v>-1.3054977898718789E-7</v>
      </c>
      <c r="T410" s="18">
        <f t="shared" si="47"/>
        <v>6.1310856835916638E-8</v>
      </c>
      <c r="U410" s="18">
        <f t="shared" si="48"/>
        <v>6.1310856835916638E-8</v>
      </c>
    </row>
    <row r="411" spans="15:21" x14ac:dyDescent="0.25">
      <c r="P411" s="15" t="s">
        <v>8</v>
      </c>
    </row>
    <row r="412" spans="15:21" x14ac:dyDescent="0.25">
      <c r="P412" s="15" t="s">
        <v>1</v>
      </c>
      <c r="Q412" s="15" t="s">
        <v>2</v>
      </c>
      <c r="R412" s="15" t="s">
        <v>3</v>
      </c>
      <c r="S412" s="15" t="s">
        <v>4</v>
      </c>
      <c r="T412" s="15" t="s">
        <v>5</v>
      </c>
      <c r="U412" s="15" t="s">
        <v>6</v>
      </c>
    </row>
    <row r="413" spans="15:21" x14ac:dyDescent="0.25">
      <c r="O413" s="15">
        <v>401</v>
      </c>
      <c r="P413" s="15">
        <v>1E-10</v>
      </c>
      <c r="Q413" s="15">
        <v>10</v>
      </c>
      <c r="R413" s="15">
        <f t="shared" ref="R413:R476" si="51">(P413+Q413)/2</f>
        <v>5.00000000005</v>
      </c>
      <c r="S413" s="18">
        <f t="shared" ref="S413:S476" si="52">$E$4-$E$10-$E$11*(1+P413)^(-$E$5/$L$9)-$E$13*(1+P413)^(-$H$13/$L$9)-$E$14*(1+P413)^(-$H$14/$L$9) +$E$24*((1-(1+P413)^(-$E$5/$L$9)))/(1-(1+P413)^(1/$L$9))+$E$17*((1-(1+P413)^(-$J$20/$M$4)))/(1-(1+P413)^(1/$M$4))+$E$18*((1-(1+P413)^(-$J$21/$M$5)))/(1-(1+P413)^(1/$M$5))+$E$19*((1-(1+P413)^(-$J$22/$M$6)))/(1-(1+P413)^(1/$M$6))+$E$20*((1-(1+P413)^(-$J$23/$M$7)))/(1-(1+P413)^(1/$M$7))+$E$21*((1-(1+P413)^(-$J$24/$M$8)))/(1-(1+P413)^(1/$M$8))</f>
        <v>-4096543.402922513</v>
      </c>
      <c r="T413" s="18">
        <f t="shared" ref="T413:T476" si="53">$E$4-$E$10-$E$11*(1+Q413)^(-$E$5/$L$9)-$E$13*(1+Q413)^(-$H$13/$L$9)-$E$14*(1+Q413)^(-$H$14/$L$9) +$E$24*((1-(1+Q413)^(-$E$5/$L$9)))/(1-(1+Q413)^(1/$L$9))+$E$17*((1-(1+Q413)^(-$J$20/$M$4)))/(1-(1+Q413)^(1/$M$4))+$E$18*((1-(1+Q413)^(-$J$21/$M$5)))/(1-(1+Q413)^(1/$M$5))+$E$19*((1-(1+Q413)^(-$J$22/$M$6)))/(1-(1+Q413)^(1/$M$6))+$E$20*((1-(1+Q413)^(-$J$23/$M$7)))/(1-(1+Q413)^(1/$M$7))+$E$21*((1-(1+Q413)^(-$J$24/$M$8)))/(1-(1+Q413)^(1/$M$8))</f>
        <v>3894207.2828773954</v>
      </c>
      <c r="U413" s="18">
        <f t="shared" ref="U413:U476" si="54">$E$4-$E$10-$E$11*(1+R413)^(-$E$5/$L$9)-$E$13*(1+R413)^(-$H$13/$L$9)-$E$14*(1+R413)^(-$H$14/$L$9) +$E$24*((1-(1+R413)^(-$E$5/$L$9)))/(1-(1+R413)^(1/$L$9))+$E$17*((1-(1+R413)^(-$J$20/$M$4)))/(1-(1+R413)^(1/$M$4))+$E$18*((1-(1+R413)^(-$J$21/$M$5)))/(1-(1+R413)^(1/$M$5))+$E$19*((1-(1+R413)^(-$J$22/$M$6)))/(1-(1+R413)^(1/$M$6))+$E$20*((1-(1+R413)^(-$J$23/$M$7)))/(1-(1+R413)^(1/$M$7))+$E$21*((1-(1+R413)^(-$J$24/$M$8)))/(1-(1+R413)^(1/$M$8))</f>
        <v>3856205.8539974457</v>
      </c>
    </row>
    <row r="414" spans="15:21" x14ac:dyDescent="0.25">
      <c r="O414" s="15">
        <v>402</v>
      </c>
      <c r="P414" s="15">
        <f t="shared" ref="P414:P477" si="55">IF(S413*U413&gt;=0,R413,P413)</f>
        <v>1E-10</v>
      </c>
      <c r="Q414" s="15">
        <f t="shared" ref="Q414:Q477" si="56">IF(T413*U413&gt;=0,R413,Q413)</f>
        <v>5.00000000005</v>
      </c>
      <c r="R414" s="15">
        <f t="shared" si="51"/>
        <v>2.500000000075</v>
      </c>
      <c r="S414" s="18">
        <f t="shared" si="52"/>
        <v>-4096543.402922513</v>
      </c>
      <c r="T414" s="18">
        <f t="shared" si="53"/>
        <v>3856205.8539974457</v>
      </c>
      <c r="U414" s="18">
        <f t="shared" si="54"/>
        <v>3791473.6705574365</v>
      </c>
    </row>
    <row r="415" spans="15:21" x14ac:dyDescent="0.25">
      <c r="O415" s="15">
        <v>403</v>
      </c>
      <c r="P415" s="15">
        <f t="shared" si="55"/>
        <v>1E-10</v>
      </c>
      <c r="Q415" s="15">
        <f t="shared" si="56"/>
        <v>2.500000000075</v>
      </c>
      <c r="R415" s="15">
        <f t="shared" si="51"/>
        <v>1.2500000000875</v>
      </c>
      <c r="S415" s="18">
        <f t="shared" si="52"/>
        <v>-4096543.402922513</v>
      </c>
      <c r="T415" s="18">
        <f t="shared" si="53"/>
        <v>3791473.6705574365</v>
      </c>
      <c r="U415" s="18">
        <f t="shared" si="54"/>
        <v>3674185.2838576422</v>
      </c>
    </row>
    <row r="416" spans="15:21" x14ac:dyDescent="0.25">
      <c r="O416" s="15">
        <v>404</v>
      </c>
      <c r="P416" s="15">
        <f t="shared" si="55"/>
        <v>1E-10</v>
      </c>
      <c r="Q416" s="15">
        <f t="shared" si="56"/>
        <v>1.2500000000875</v>
      </c>
      <c r="R416" s="15">
        <f t="shared" si="51"/>
        <v>0.62500000009375001</v>
      </c>
      <c r="S416" s="18">
        <f t="shared" si="52"/>
        <v>-4096543.402922513</v>
      </c>
      <c r="T416" s="18">
        <f t="shared" si="53"/>
        <v>3674185.2838576422</v>
      </c>
      <c r="U416" s="18">
        <f t="shared" si="54"/>
        <v>3451249.3171429066</v>
      </c>
    </row>
    <row r="417" spans="15:21" x14ac:dyDescent="0.25">
      <c r="O417" s="15">
        <v>405</v>
      </c>
      <c r="P417" s="15">
        <f t="shared" si="55"/>
        <v>1E-10</v>
      </c>
      <c r="Q417" s="15">
        <f t="shared" si="56"/>
        <v>0.62500000009375001</v>
      </c>
      <c r="R417" s="15">
        <f t="shared" si="51"/>
        <v>0.31250000009687501</v>
      </c>
      <c r="S417" s="18">
        <f t="shared" si="52"/>
        <v>-4096543.402922513</v>
      </c>
      <c r="T417" s="18">
        <f t="shared" si="53"/>
        <v>3451249.3171429066</v>
      </c>
      <c r="U417" s="18">
        <f t="shared" si="54"/>
        <v>3015194.1773318858</v>
      </c>
    </row>
    <row r="418" spans="15:21" x14ac:dyDescent="0.25">
      <c r="O418" s="15">
        <v>406</v>
      </c>
      <c r="P418" s="15">
        <f t="shared" si="55"/>
        <v>1E-10</v>
      </c>
      <c r="Q418" s="15">
        <f t="shared" si="56"/>
        <v>0.31250000009687501</v>
      </c>
      <c r="R418" s="15">
        <f t="shared" si="51"/>
        <v>0.15625000009843751</v>
      </c>
      <c r="S418" s="18">
        <f t="shared" si="52"/>
        <v>-4096543.402922513</v>
      </c>
      <c r="T418" s="18">
        <f t="shared" si="53"/>
        <v>3015194.1773318858</v>
      </c>
      <c r="U418" s="18">
        <f t="shared" si="54"/>
        <v>2172625.3949700431</v>
      </c>
    </row>
    <row r="419" spans="15:21" x14ac:dyDescent="0.25">
      <c r="O419" s="15">
        <v>407</v>
      </c>
      <c r="P419" s="15">
        <f t="shared" si="55"/>
        <v>1E-10</v>
      </c>
      <c r="Q419" s="15">
        <f t="shared" si="56"/>
        <v>0.15625000009843751</v>
      </c>
      <c r="R419" s="15">
        <f t="shared" si="51"/>
        <v>7.8125000099218758E-2</v>
      </c>
      <c r="S419" s="18">
        <f t="shared" si="52"/>
        <v>-4096543.402922513</v>
      </c>
      <c r="T419" s="18">
        <f t="shared" si="53"/>
        <v>2172625.3949700431</v>
      </c>
      <c r="U419" s="18">
        <f t="shared" si="54"/>
        <v>795277.15576752613</v>
      </c>
    </row>
    <row r="420" spans="15:21" x14ac:dyDescent="0.25">
      <c r="O420" s="15">
        <v>408</v>
      </c>
      <c r="P420" s="15">
        <f t="shared" si="55"/>
        <v>1E-10</v>
      </c>
      <c r="Q420" s="15">
        <f t="shared" si="56"/>
        <v>7.8125000099218758E-2</v>
      </c>
      <c r="R420" s="15">
        <f t="shared" si="51"/>
        <v>3.9062500099609376E-2</v>
      </c>
      <c r="S420" s="18">
        <f t="shared" si="52"/>
        <v>-4096543.402922513</v>
      </c>
      <c r="T420" s="18">
        <f t="shared" si="53"/>
        <v>795277.15576752613</v>
      </c>
      <c r="U420" s="18">
        <f t="shared" si="54"/>
        <v>-806130.79722869582</v>
      </c>
    </row>
    <row r="421" spans="15:21" x14ac:dyDescent="0.25">
      <c r="O421" s="15">
        <v>409</v>
      </c>
      <c r="P421" s="15">
        <f t="shared" si="55"/>
        <v>3.9062500099609376E-2</v>
      </c>
      <c r="Q421" s="15">
        <f t="shared" si="56"/>
        <v>7.8125000099218758E-2</v>
      </c>
      <c r="R421" s="15">
        <f t="shared" si="51"/>
        <v>5.8593750099414067E-2</v>
      </c>
      <c r="S421" s="18">
        <f t="shared" si="52"/>
        <v>-806130.79722869582</v>
      </c>
      <c r="T421" s="18">
        <f t="shared" si="53"/>
        <v>795277.15576752613</v>
      </c>
      <c r="U421" s="18">
        <f t="shared" si="54"/>
        <v>125998.37751938807</v>
      </c>
    </row>
    <row r="422" spans="15:21" x14ac:dyDescent="0.25">
      <c r="O422" s="15">
        <v>410</v>
      </c>
      <c r="P422" s="15">
        <f t="shared" si="55"/>
        <v>3.9062500099609376E-2</v>
      </c>
      <c r="Q422" s="15">
        <f t="shared" si="56"/>
        <v>5.8593750099414067E-2</v>
      </c>
      <c r="R422" s="15">
        <f t="shared" si="51"/>
        <v>4.8828125099511718E-2</v>
      </c>
      <c r="S422" s="18">
        <f t="shared" si="52"/>
        <v>-806130.79722869582</v>
      </c>
      <c r="T422" s="18">
        <f t="shared" si="53"/>
        <v>125998.37751938807</v>
      </c>
      <c r="U422" s="18">
        <f t="shared" si="54"/>
        <v>-300117.85427544912</v>
      </c>
    </row>
    <row r="423" spans="15:21" x14ac:dyDescent="0.25">
      <c r="O423" s="15">
        <v>411</v>
      </c>
      <c r="P423" s="15">
        <f t="shared" si="55"/>
        <v>4.8828125099511718E-2</v>
      </c>
      <c r="Q423" s="15">
        <f t="shared" si="56"/>
        <v>5.8593750099414067E-2</v>
      </c>
      <c r="R423" s="15">
        <f t="shared" si="51"/>
        <v>5.3710937599462896E-2</v>
      </c>
      <c r="S423" s="18">
        <f t="shared" si="52"/>
        <v>-300117.85427544912</v>
      </c>
      <c r="T423" s="18">
        <f t="shared" si="53"/>
        <v>125998.37751938807</v>
      </c>
      <c r="U423" s="18">
        <f t="shared" si="54"/>
        <v>-78089.717054340348</v>
      </c>
    </row>
    <row r="424" spans="15:21" x14ac:dyDescent="0.25">
      <c r="O424" s="15">
        <v>412</v>
      </c>
      <c r="P424" s="15">
        <f t="shared" si="55"/>
        <v>5.3710937599462896E-2</v>
      </c>
      <c r="Q424" s="15">
        <f t="shared" si="56"/>
        <v>5.8593750099414067E-2</v>
      </c>
      <c r="R424" s="15">
        <f t="shared" si="51"/>
        <v>5.6152343849438485E-2</v>
      </c>
      <c r="S424" s="18">
        <f t="shared" si="52"/>
        <v>-78089.717054340348</v>
      </c>
      <c r="T424" s="18">
        <f t="shared" si="53"/>
        <v>125998.37751938807</v>
      </c>
      <c r="U424" s="18">
        <f t="shared" si="54"/>
        <v>26082.431833555249</v>
      </c>
    </row>
    <row r="425" spans="15:21" x14ac:dyDescent="0.25">
      <c r="O425" s="15">
        <v>413</v>
      </c>
      <c r="P425" s="15">
        <f t="shared" si="55"/>
        <v>5.3710937599462896E-2</v>
      </c>
      <c r="Q425" s="15">
        <f t="shared" si="56"/>
        <v>5.6152343849438485E-2</v>
      </c>
      <c r="R425" s="15">
        <f t="shared" si="51"/>
        <v>5.4931640724450691E-2</v>
      </c>
      <c r="S425" s="18">
        <f t="shared" si="52"/>
        <v>-78089.717054340348</v>
      </c>
      <c r="T425" s="18">
        <f t="shared" si="53"/>
        <v>26082.431833555249</v>
      </c>
      <c r="U425" s="18">
        <f t="shared" si="54"/>
        <v>-25457.838380042806</v>
      </c>
    </row>
    <row r="426" spans="15:21" x14ac:dyDescent="0.25">
      <c r="O426" s="15">
        <v>414</v>
      </c>
      <c r="P426" s="15">
        <f t="shared" si="55"/>
        <v>5.4931640724450691E-2</v>
      </c>
      <c r="Q426" s="15">
        <f t="shared" si="56"/>
        <v>5.6152343849438485E-2</v>
      </c>
      <c r="R426" s="15">
        <f t="shared" si="51"/>
        <v>5.5541992286944591E-2</v>
      </c>
      <c r="S426" s="18">
        <f t="shared" si="52"/>
        <v>-25457.838380042806</v>
      </c>
      <c r="T426" s="18">
        <f t="shared" si="53"/>
        <v>26082.431833555249</v>
      </c>
      <c r="U426" s="18">
        <f t="shared" si="54"/>
        <v>446.99396819314325</v>
      </c>
    </row>
    <row r="427" spans="15:21" x14ac:dyDescent="0.25">
      <c r="O427" s="15">
        <v>415</v>
      </c>
      <c r="P427" s="15">
        <f t="shared" si="55"/>
        <v>5.4931640724450691E-2</v>
      </c>
      <c r="Q427" s="15">
        <f t="shared" si="56"/>
        <v>5.5541992286944591E-2</v>
      </c>
      <c r="R427" s="15">
        <f t="shared" si="51"/>
        <v>5.5236816505697645E-2</v>
      </c>
      <c r="S427" s="18">
        <f t="shared" si="52"/>
        <v>-25457.838380042806</v>
      </c>
      <c r="T427" s="18">
        <f t="shared" si="53"/>
        <v>446.99396819314325</v>
      </c>
      <c r="U427" s="18">
        <f t="shared" si="54"/>
        <v>-12471.530669613465</v>
      </c>
    </row>
    <row r="428" spans="15:21" x14ac:dyDescent="0.25">
      <c r="O428" s="15">
        <v>416</v>
      </c>
      <c r="P428" s="15">
        <f t="shared" si="55"/>
        <v>5.5236816505697645E-2</v>
      </c>
      <c r="Q428" s="15">
        <f t="shared" si="56"/>
        <v>5.5541992286944591E-2</v>
      </c>
      <c r="R428" s="15">
        <f t="shared" si="51"/>
        <v>5.5389404396321118E-2</v>
      </c>
      <c r="S428" s="18">
        <f t="shared" si="52"/>
        <v>-12471.530669613465</v>
      </c>
      <c r="T428" s="18">
        <f t="shared" si="53"/>
        <v>446.99396819314325</v>
      </c>
      <c r="U428" s="18">
        <f t="shared" si="54"/>
        <v>-6003.8227437936475</v>
      </c>
    </row>
    <row r="429" spans="15:21" x14ac:dyDescent="0.25">
      <c r="O429" s="15">
        <v>417</v>
      </c>
      <c r="P429" s="15">
        <f t="shared" si="55"/>
        <v>5.5389404396321118E-2</v>
      </c>
      <c r="Q429" s="15">
        <f t="shared" si="56"/>
        <v>5.5541992286944591E-2</v>
      </c>
      <c r="R429" s="15">
        <f t="shared" si="51"/>
        <v>5.5465698341632855E-2</v>
      </c>
      <c r="S429" s="18">
        <f t="shared" si="52"/>
        <v>-6003.8227437936475</v>
      </c>
      <c r="T429" s="18">
        <f t="shared" si="53"/>
        <v>446.99396819314325</v>
      </c>
      <c r="U429" s="18">
        <f t="shared" si="54"/>
        <v>-2776.3063849629848</v>
      </c>
    </row>
    <row r="430" spans="15:21" x14ac:dyDescent="0.25">
      <c r="O430" s="15">
        <v>418</v>
      </c>
      <c r="P430" s="15">
        <f t="shared" si="55"/>
        <v>5.5465698341632855E-2</v>
      </c>
      <c r="Q430" s="15">
        <f t="shared" si="56"/>
        <v>5.5541992286944591E-2</v>
      </c>
      <c r="R430" s="15">
        <f t="shared" si="51"/>
        <v>5.5503845314288723E-2</v>
      </c>
      <c r="S430" s="18">
        <f t="shared" si="52"/>
        <v>-2776.3063849629848</v>
      </c>
      <c r="T430" s="18">
        <f t="shared" si="53"/>
        <v>446.99396819314325</v>
      </c>
      <c r="U430" s="18">
        <f t="shared" si="54"/>
        <v>-1164.1296318378991</v>
      </c>
    </row>
    <row r="431" spans="15:21" x14ac:dyDescent="0.25">
      <c r="O431" s="15">
        <v>419</v>
      </c>
      <c r="P431" s="15">
        <f t="shared" si="55"/>
        <v>5.5503845314288723E-2</v>
      </c>
      <c r="Q431" s="15">
        <f t="shared" si="56"/>
        <v>5.5541992286944591E-2</v>
      </c>
      <c r="R431" s="15">
        <f t="shared" si="51"/>
        <v>5.5522918800616661E-2</v>
      </c>
      <c r="S431" s="18">
        <f t="shared" si="52"/>
        <v>-1164.1296318378991</v>
      </c>
      <c r="T431" s="18">
        <f t="shared" si="53"/>
        <v>446.99396819314325</v>
      </c>
      <c r="U431" s="18">
        <f t="shared" si="54"/>
        <v>-358.43624065257518</v>
      </c>
    </row>
    <row r="432" spans="15:21" x14ac:dyDescent="0.25">
      <c r="O432" s="15">
        <v>420</v>
      </c>
      <c r="P432" s="15">
        <f t="shared" si="55"/>
        <v>5.5522918800616661E-2</v>
      </c>
      <c r="Q432" s="15">
        <f t="shared" si="56"/>
        <v>5.5541992286944591E-2</v>
      </c>
      <c r="R432" s="15">
        <f t="shared" si="51"/>
        <v>5.5532455543780626E-2</v>
      </c>
      <c r="S432" s="18">
        <f t="shared" si="52"/>
        <v>-358.43624065257518</v>
      </c>
      <c r="T432" s="18">
        <f t="shared" si="53"/>
        <v>446.99396819314325</v>
      </c>
      <c r="U432" s="18">
        <f t="shared" si="54"/>
        <v>44.311754848723922</v>
      </c>
    </row>
    <row r="433" spans="15:21" x14ac:dyDescent="0.25">
      <c r="O433" s="15">
        <v>421</v>
      </c>
      <c r="P433" s="15">
        <f t="shared" si="55"/>
        <v>5.5522918800616661E-2</v>
      </c>
      <c r="Q433" s="15">
        <f t="shared" si="56"/>
        <v>5.5532455543780626E-2</v>
      </c>
      <c r="R433" s="15">
        <f t="shared" si="51"/>
        <v>5.5527687172198643E-2</v>
      </c>
      <c r="S433" s="18">
        <f t="shared" si="52"/>
        <v>-358.43624065257518</v>
      </c>
      <c r="T433" s="18">
        <f t="shared" si="53"/>
        <v>44.311754848723922</v>
      </c>
      <c r="U433" s="18">
        <f t="shared" si="54"/>
        <v>-157.05401933347866</v>
      </c>
    </row>
    <row r="434" spans="15:21" x14ac:dyDescent="0.25">
      <c r="O434" s="15">
        <v>422</v>
      </c>
      <c r="P434" s="15">
        <f t="shared" si="55"/>
        <v>5.5527687172198643E-2</v>
      </c>
      <c r="Q434" s="15">
        <f t="shared" si="56"/>
        <v>5.5532455543780626E-2</v>
      </c>
      <c r="R434" s="15">
        <f t="shared" si="51"/>
        <v>5.5530071357989638E-2</v>
      </c>
      <c r="S434" s="18">
        <f t="shared" si="52"/>
        <v>-157.05401933347866</v>
      </c>
      <c r="T434" s="18">
        <f t="shared" si="53"/>
        <v>44.311754848723922</v>
      </c>
      <c r="U434" s="18">
        <f t="shared" si="54"/>
        <v>-56.369076355117159</v>
      </c>
    </row>
    <row r="435" spans="15:21" x14ac:dyDescent="0.25">
      <c r="O435" s="15">
        <v>423</v>
      </c>
      <c r="P435" s="15">
        <f t="shared" si="55"/>
        <v>5.5530071357989638E-2</v>
      </c>
      <c r="Q435" s="15">
        <f t="shared" si="56"/>
        <v>5.5532455543780626E-2</v>
      </c>
      <c r="R435" s="15">
        <f t="shared" si="51"/>
        <v>5.5531263450885132E-2</v>
      </c>
      <c r="S435" s="18">
        <f t="shared" si="52"/>
        <v>-56.369076355117159</v>
      </c>
      <c r="T435" s="18">
        <f t="shared" si="53"/>
        <v>44.311754848723922</v>
      </c>
      <c r="U435" s="18">
        <f t="shared" si="54"/>
        <v>-6.0281466950696085</v>
      </c>
    </row>
    <row r="436" spans="15:21" x14ac:dyDescent="0.25">
      <c r="O436" s="15">
        <v>424</v>
      </c>
      <c r="P436" s="15">
        <f t="shared" si="55"/>
        <v>5.5531263450885132E-2</v>
      </c>
      <c r="Q436" s="15">
        <f t="shared" si="56"/>
        <v>5.5532455543780626E-2</v>
      </c>
      <c r="R436" s="15">
        <f t="shared" si="51"/>
        <v>5.5531859497332879E-2</v>
      </c>
      <c r="S436" s="18">
        <f t="shared" si="52"/>
        <v>-6.0281466950696085</v>
      </c>
      <c r="T436" s="18">
        <f t="shared" si="53"/>
        <v>44.311754848723922</v>
      </c>
      <c r="U436" s="18">
        <f t="shared" si="54"/>
        <v>19.14193263652578</v>
      </c>
    </row>
    <row r="437" spans="15:21" x14ac:dyDescent="0.25">
      <c r="O437" s="15">
        <v>425</v>
      </c>
      <c r="P437" s="15">
        <f t="shared" si="55"/>
        <v>5.5531263450885132E-2</v>
      </c>
      <c r="Q437" s="15">
        <f t="shared" si="56"/>
        <v>5.5531859497332879E-2</v>
      </c>
      <c r="R437" s="15">
        <f t="shared" si="51"/>
        <v>5.5531561474109009E-2</v>
      </c>
      <c r="S437" s="18">
        <f t="shared" si="52"/>
        <v>-6.0281466950696085</v>
      </c>
      <c r="T437" s="18">
        <f t="shared" si="53"/>
        <v>19.14193263652578</v>
      </c>
      <c r="U437" s="18">
        <f t="shared" si="54"/>
        <v>6.5569249377172127</v>
      </c>
    </row>
    <row r="438" spans="15:21" x14ac:dyDescent="0.25">
      <c r="O438" s="15">
        <v>426</v>
      </c>
      <c r="P438" s="15">
        <f t="shared" si="55"/>
        <v>5.5531263450885132E-2</v>
      </c>
      <c r="Q438" s="15">
        <f t="shared" si="56"/>
        <v>5.5531561474109009E-2</v>
      </c>
      <c r="R438" s="15">
        <f t="shared" si="51"/>
        <v>5.5531412462497071E-2</v>
      </c>
      <c r="S438" s="18">
        <f t="shared" si="52"/>
        <v>-6.0281466950696085</v>
      </c>
      <c r="T438" s="18">
        <f t="shared" si="53"/>
        <v>6.5569249377172127</v>
      </c>
      <c r="U438" s="18">
        <f t="shared" si="54"/>
        <v>0.26439706673954788</v>
      </c>
    </row>
    <row r="439" spans="15:21" x14ac:dyDescent="0.25">
      <c r="O439" s="15">
        <v>427</v>
      </c>
      <c r="P439" s="15">
        <f t="shared" si="55"/>
        <v>5.5531263450885132E-2</v>
      </c>
      <c r="Q439" s="15">
        <f t="shared" si="56"/>
        <v>5.5531412462497071E-2</v>
      </c>
      <c r="R439" s="15">
        <f t="shared" si="51"/>
        <v>5.5531337956691101E-2</v>
      </c>
      <c r="S439" s="18">
        <f t="shared" si="52"/>
        <v>-6.0281466950696085</v>
      </c>
      <c r="T439" s="18">
        <f t="shared" si="53"/>
        <v>0.26439706673954788</v>
      </c>
      <c r="U439" s="18">
        <f t="shared" si="54"/>
        <v>-2.881872878510876</v>
      </c>
    </row>
    <row r="440" spans="15:21" x14ac:dyDescent="0.25">
      <c r="O440" s="15">
        <v>428</v>
      </c>
      <c r="P440" s="15">
        <f t="shared" si="55"/>
        <v>5.5531337956691101E-2</v>
      </c>
      <c r="Q440" s="15">
        <f t="shared" si="56"/>
        <v>5.5531412462497071E-2</v>
      </c>
      <c r="R440" s="15">
        <f t="shared" si="51"/>
        <v>5.5531375209594086E-2</v>
      </c>
      <c r="S440" s="18">
        <f t="shared" si="52"/>
        <v>-2.881872878510876</v>
      </c>
      <c r="T440" s="18">
        <f t="shared" si="53"/>
        <v>0.26439706673954788</v>
      </c>
      <c r="U440" s="18">
        <f t="shared" si="54"/>
        <v>-1.3087372517161384</v>
      </c>
    </row>
    <row r="441" spans="15:21" x14ac:dyDescent="0.25">
      <c r="O441" s="15">
        <v>429</v>
      </c>
      <c r="P441" s="15">
        <f t="shared" si="55"/>
        <v>5.5531375209594086E-2</v>
      </c>
      <c r="Q441" s="15">
        <f t="shared" si="56"/>
        <v>5.5531412462497071E-2</v>
      </c>
      <c r="R441" s="15">
        <f t="shared" si="51"/>
        <v>5.5531393836045578E-2</v>
      </c>
      <c r="S441" s="18">
        <f t="shared" si="52"/>
        <v>-1.3087372517161384</v>
      </c>
      <c r="T441" s="18">
        <f t="shared" si="53"/>
        <v>0.26439706673954788</v>
      </c>
      <c r="U441" s="18">
        <f t="shared" si="54"/>
        <v>-0.52216988075042536</v>
      </c>
    </row>
    <row r="442" spans="15:21" x14ac:dyDescent="0.25">
      <c r="O442" s="15">
        <v>430</v>
      </c>
      <c r="P442" s="15">
        <f t="shared" si="55"/>
        <v>5.5531393836045578E-2</v>
      </c>
      <c r="Q442" s="15">
        <f t="shared" si="56"/>
        <v>5.5531412462497071E-2</v>
      </c>
      <c r="R442" s="15">
        <f t="shared" si="51"/>
        <v>5.5531403149271324E-2</v>
      </c>
      <c r="S442" s="18">
        <f t="shared" si="52"/>
        <v>-0.52216988075042536</v>
      </c>
      <c r="T442" s="18">
        <f t="shared" si="53"/>
        <v>0.26439706673954788</v>
      </c>
      <c r="U442" s="18">
        <f t="shared" si="54"/>
        <v>-0.12888637811010994</v>
      </c>
    </row>
    <row r="443" spans="15:21" x14ac:dyDescent="0.25">
      <c r="O443" s="15">
        <v>431</v>
      </c>
      <c r="P443" s="15">
        <f t="shared" si="55"/>
        <v>5.5531403149271324E-2</v>
      </c>
      <c r="Q443" s="15">
        <f t="shared" si="56"/>
        <v>5.5531412462497071E-2</v>
      </c>
      <c r="R443" s="15">
        <f t="shared" si="51"/>
        <v>5.5531407805884198E-2</v>
      </c>
      <c r="S443" s="18">
        <f t="shared" si="52"/>
        <v>-0.12888637811010994</v>
      </c>
      <c r="T443" s="18">
        <f t="shared" si="53"/>
        <v>0.26439706673954788</v>
      </c>
      <c r="U443" s="18">
        <f t="shared" si="54"/>
        <v>6.7755447696981719E-2</v>
      </c>
    </row>
    <row r="444" spans="15:21" x14ac:dyDescent="0.25">
      <c r="O444" s="15">
        <v>432</v>
      </c>
      <c r="P444" s="15">
        <f t="shared" si="55"/>
        <v>5.5531403149271324E-2</v>
      </c>
      <c r="Q444" s="15">
        <f t="shared" si="56"/>
        <v>5.5531407805884198E-2</v>
      </c>
      <c r="R444" s="15">
        <f t="shared" si="51"/>
        <v>5.5531405477577761E-2</v>
      </c>
      <c r="S444" s="18">
        <f t="shared" si="52"/>
        <v>-0.12888637811010994</v>
      </c>
      <c r="T444" s="18">
        <f t="shared" si="53"/>
        <v>6.7755447696981719E-2</v>
      </c>
      <c r="U444" s="18">
        <f t="shared" si="54"/>
        <v>-3.0565462876893434E-2</v>
      </c>
    </row>
    <row r="445" spans="15:21" x14ac:dyDescent="0.25">
      <c r="O445" s="15">
        <v>433</v>
      </c>
      <c r="P445" s="15">
        <f t="shared" si="55"/>
        <v>5.5531405477577761E-2</v>
      </c>
      <c r="Q445" s="15">
        <f t="shared" si="56"/>
        <v>5.5531407805884198E-2</v>
      </c>
      <c r="R445" s="15">
        <f t="shared" si="51"/>
        <v>5.5531406641730979E-2</v>
      </c>
      <c r="S445" s="18">
        <f t="shared" si="52"/>
        <v>-3.0565462876893434E-2</v>
      </c>
      <c r="T445" s="18">
        <f t="shared" si="53"/>
        <v>6.7755447696981719E-2</v>
      </c>
      <c r="U445" s="18">
        <f t="shared" si="54"/>
        <v>1.8594893689623859E-2</v>
      </c>
    </row>
    <row r="446" spans="15:21" x14ac:dyDescent="0.25">
      <c r="O446" s="15">
        <v>434</v>
      </c>
      <c r="P446" s="15">
        <f t="shared" si="55"/>
        <v>5.5531405477577761E-2</v>
      </c>
      <c r="Q446" s="15">
        <f t="shared" si="56"/>
        <v>5.5531406641730979E-2</v>
      </c>
      <c r="R446" s="15">
        <f t="shared" si="51"/>
        <v>5.553140605965437E-2</v>
      </c>
      <c r="S446" s="18">
        <f t="shared" si="52"/>
        <v>-3.0565462876893434E-2</v>
      </c>
      <c r="T446" s="18">
        <f t="shared" si="53"/>
        <v>1.8594893689623859E-2</v>
      </c>
      <c r="U446" s="18">
        <f t="shared" si="54"/>
        <v>-5.9851868049918266E-3</v>
      </c>
    </row>
    <row r="447" spans="15:21" x14ac:dyDescent="0.25">
      <c r="O447" s="15">
        <v>435</v>
      </c>
      <c r="P447" s="15">
        <f t="shared" si="55"/>
        <v>5.553140605965437E-2</v>
      </c>
      <c r="Q447" s="15">
        <f t="shared" si="56"/>
        <v>5.5531406641730979E-2</v>
      </c>
      <c r="R447" s="15">
        <f t="shared" si="51"/>
        <v>5.5531406350692675E-2</v>
      </c>
      <c r="S447" s="18">
        <f t="shared" si="52"/>
        <v>-5.9851868049918266E-3</v>
      </c>
      <c r="T447" s="18">
        <f t="shared" si="53"/>
        <v>1.8594893689623859E-2</v>
      </c>
      <c r="U447" s="18">
        <f t="shared" si="54"/>
        <v>6.3048541405805736E-3</v>
      </c>
    </row>
    <row r="448" spans="15:21" x14ac:dyDescent="0.25">
      <c r="O448" s="15">
        <v>436</v>
      </c>
      <c r="P448" s="15">
        <f t="shared" si="55"/>
        <v>5.553140605965437E-2</v>
      </c>
      <c r="Q448" s="15">
        <f t="shared" si="56"/>
        <v>5.5531406350692675E-2</v>
      </c>
      <c r="R448" s="15">
        <f t="shared" si="51"/>
        <v>5.5531406205173522E-2</v>
      </c>
      <c r="S448" s="18">
        <f t="shared" si="52"/>
        <v>-5.9851868049918266E-3</v>
      </c>
      <c r="T448" s="18">
        <f t="shared" si="53"/>
        <v>6.3048541405805736E-3</v>
      </c>
      <c r="U448" s="18">
        <f t="shared" si="54"/>
        <v>1.5973541303537786E-4</v>
      </c>
    </row>
    <row r="449" spans="15:21" x14ac:dyDescent="0.25">
      <c r="O449" s="15">
        <v>437</v>
      </c>
      <c r="P449" s="15">
        <f t="shared" si="55"/>
        <v>5.553140605965437E-2</v>
      </c>
      <c r="Q449" s="15">
        <f t="shared" si="56"/>
        <v>5.5531406205173522E-2</v>
      </c>
      <c r="R449" s="15">
        <f t="shared" si="51"/>
        <v>5.5531406132413946E-2</v>
      </c>
      <c r="S449" s="18">
        <f t="shared" si="52"/>
        <v>-5.9851868049918266E-3</v>
      </c>
      <c r="T449" s="18">
        <f t="shared" si="53"/>
        <v>1.5973541303537786E-4</v>
      </c>
      <c r="U449" s="18">
        <f t="shared" si="54"/>
        <v>-2.9128244168532547E-3</v>
      </c>
    </row>
    <row r="450" spans="15:21" x14ac:dyDescent="0.25">
      <c r="O450" s="15">
        <v>438</v>
      </c>
      <c r="P450" s="15">
        <f t="shared" si="55"/>
        <v>5.5531406132413946E-2</v>
      </c>
      <c r="Q450" s="15">
        <f t="shared" si="56"/>
        <v>5.5531406205173522E-2</v>
      </c>
      <c r="R450" s="15">
        <f t="shared" si="51"/>
        <v>5.5531406168793734E-2</v>
      </c>
      <c r="S450" s="18">
        <f t="shared" si="52"/>
        <v>-2.9128244168532547E-3</v>
      </c>
      <c r="T450" s="18">
        <f t="shared" si="53"/>
        <v>1.5973541303537786E-4</v>
      </c>
      <c r="U450" s="18">
        <f t="shared" si="54"/>
        <v>-1.3764448494839598E-3</v>
      </c>
    </row>
    <row r="451" spans="15:21" x14ac:dyDescent="0.25">
      <c r="O451" s="15">
        <v>439</v>
      </c>
      <c r="P451" s="15">
        <f t="shared" si="55"/>
        <v>5.5531406168793734E-2</v>
      </c>
      <c r="Q451" s="15">
        <f t="shared" si="56"/>
        <v>5.5531406205173522E-2</v>
      </c>
      <c r="R451" s="15">
        <f t="shared" si="51"/>
        <v>5.5531406186983628E-2</v>
      </c>
      <c r="S451" s="18">
        <f t="shared" si="52"/>
        <v>-1.3764448494839598E-3</v>
      </c>
      <c r="T451" s="18">
        <f t="shared" si="53"/>
        <v>1.5973541303537786E-4</v>
      </c>
      <c r="U451" s="18">
        <f t="shared" si="54"/>
        <v>-6.0825809396192199E-4</v>
      </c>
    </row>
    <row r="452" spans="15:21" x14ac:dyDescent="0.25">
      <c r="O452" s="15">
        <v>440</v>
      </c>
      <c r="P452" s="15">
        <f t="shared" si="55"/>
        <v>5.5531406186983628E-2</v>
      </c>
      <c r="Q452" s="15">
        <f t="shared" si="56"/>
        <v>5.5531406205173522E-2</v>
      </c>
      <c r="R452" s="15">
        <f t="shared" si="51"/>
        <v>5.5531406196078575E-2</v>
      </c>
      <c r="S452" s="18">
        <f t="shared" si="52"/>
        <v>-6.0825809396192199E-4</v>
      </c>
      <c r="T452" s="18">
        <f t="shared" si="53"/>
        <v>1.5973541303537786E-4</v>
      </c>
      <c r="U452" s="18">
        <f t="shared" si="54"/>
        <v>-2.2426110808737576E-4</v>
      </c>
    </row>
    <row r="453" spans="15:21" x14ac:dyDescent="0.25">
      <c r="O453" s="15">
        <v>441</v>
      </c>
      <c r="P453" s="15">
        <f t="shared" si="55"/>
        <v>5.5531406196078575E-2</v>
      </c>
      <c r="Q453" s="15">
        <f t="shared" si="56"/>
        <v>5.5531406205173522E-2</v>
      </c>
      <c r="R453" s="15">
        <f t="shared" si="51"/>
        <v>5.5531406200626049E-2</v>
      </c>
      <c r="S453" s="18">
        <f t="shared" si="52"/>
        <v>-2.2426110808737576E-4</v>
      </c>
      <c r="T453" s="18">
        <f t="shared" si="53"/>
        <v>1.5973541303537786E-4</v>
      </c>
      <c r="U453" s="18">
        <f t="shared" si="54"/>
        <v>-3.2261682008538628E-5</v>
      </c>
    </row>
    <row r="454" spans="15:21" x14ac:dyDescent="0.25">
      <c r="O454" s="15">
        <v>442</v>
      </c>
      <c r="P454" s="15">
        <f t="shared" si="55"/>
        <v>5.5531406200626049E-2</v>
      </c>
      <c r="Q454" s="15">
        <f t="shared" si="56"/>
        <v>5.5531406205173522E-2</v>
      </c>
      <c r="R454" s="15">
        <f t="shared" si="51"/>
        <v>5.5531406202899786E-2</v>
      </c>
      <c r="S454" s="18">
        <f t="shared" si="52"/>
        <v>-3.2261682008538628E-5</v>
      </c>
      <c r="T454" s="18">
        <f t="shared" si="53"/>
        <v>1.5973541303537786E-4</v>
      </c>
      <c r="U454" s="18">
        <f t="shared" si="54"/>
        <v>6.3735001731402008E-5</v>
      </c>
    </row>
    <row r="455" spans="15:21" x14ac:dyDescent="0.25">
      <c r="O455" s="15">
        <v>443</v>
      </c>
      <c r="P455" s="15">
        <f t="shared" si="55"/>
        <v>5.5531406200626049E-2</v>
      </c>
      <c r="Q455" s="15">
        <f t="shared" si="56"/>
        <v>5.5531406202899786E-2</v>
      </c>
      <c r="R455" s="15">
        <f t="shared" si="51"/>
        <v>5.5531406201762917E-2</v>
      </c>
      <c r="S455" s="18">
        <f t="shared" si="52"/>
        <v>-3.2261682008538628E-5</v>
      </c>
      <c r="T455" s="18">
        <f t="shared" si="53"/>
        <v>6.3735001731402008E-5</v>
      </c>
      <c r="U455" s="18">
        <f t="shared" si="54"/>
        <v>1.5737591638753656E-5</v>
      </c>
    </row>
    <row r="456" spans="15:21" x14ac:dyDescent="0.25">
      <c r="O456" s="15">
        <v>444</v>
      </c>
      <c r="P456" s="15">
        <f t="shared" si="55"/>
        <v>5.5531406200626049E-2</v>
      </c>
      <c r="Q456" s="15">
        <f t="shared" si="56"/>
        <v>5.5531406201762917E-2</v>
      </c>
      <c r="R456" s="15">
        <f t="shared" si="51"/>
        <v>5.5531406201194483E-2</v>
      </c>
      <c r="S456" s="18">
        <f t="shared" si="52"/>
        <v>-3.2261682008538628E-5</v>
      </c>
      <c r="T456" s="18">
        <f t="shared" si="53"/>
        <v>1.5737591638753656E-5</v>
      </c>
      <c r="U456" s="18">
        <f t="shared" si="54"/>
        <v>-8.2643750829447526E-6</v>
      </c>
    </row>
    <row r="457" spans="15:21" x14ac:dyDescent="0.25">
      <c r="O457" s="15">
        <v>445</v>
      </c>
      <c r="P457" s="15">
        <f t="shared" si="55"/>
        <v>5.5531406201194483E-2</v>
      </c>
      <c r="Q457" s="15">
        <f t="shared" si="56"/>
        <v>5.5531406201762917E-2</v>
      </c>
      <c r="R457" s="15">
        <f t="shared" si="51"/>
        <v>5.55314062014787E-2</v>
      </c>
      <c r="S457" s="18">
        <f t="shared" si="52"/>
        <v>-8.2643750829447526E-6</v>
      </c>
      <c r="T457" s="18">
        <f t="shared" si="53"/>
        <v>1.5737591638753656E-5</v>
      </c>
      <c r="U457" s="18">
        <f t="shared" si="54"/>
        <v>3.8341636354743969E-6</v>
      </c>
    </row>
    <row r="458" spans="15:21" x14ac:dyDescent="0.25">
      <c r="O458" s="15">
        <v>446</v>
      </c>
      <c r="P458" s="15">
        <f t="shared" si="55"/>
        <v>5.5531406201194483E-2</v>
      </c>
      <c r="Q458" s="15">
        <f t="shared" si="56"/>
        <v>5.55314062014787E-2</v>
      </c>
      <c r="R458" s="15">
        <f t="shared" si="51"/>
        <v>5.5531406201336592E-2</v>
      </c>
      <c r="S458" s="18">
        <f t="shared" si="52"/>
        <v>-8.2643750829447526E-6</v>
      </c>
      <c r="T458" s="18">
        <f t="shared" si="53"/>
        <v>3.8341636354743969E-6</v>
      </c>
      <c r="U458" s="18">
        <f t="shared" si="54"/>
        <v>-2.2141739464132115E-6</v>
      </c>
    </row>
    <row r="459" spans="15:21" x14ac:dyDescent="0.25">
      <c r="O459" s="15">
        <v>447</v>
      </c>
      <c r="P459" s="15">
        <f t="shared" si="55"/>
        <v>5.5531406201336592E-2</v>
      </c>
      <c r="Q459" s="15">
        <f t="shared" si="56"/>
        <v>5.55314062014787E-2</v>
      </c>
      <c r="R459" s="15">
        <f t="shared" si="51"/>
        <v>5.5531406201407646E-2</v>
      </c>
      <c r="S459" s="18">
        <f t="shared" si="52"/>
        <v>-2.2141739464132115E-6</v>
      </c>
      <c r="T459" s="18">
        <f t="shared" si="53"/>
        <v>3.8341636354743969E-6</v>
      </c>
      <c r="U459" s="18">
        <f t="shared" si="54"/>
        <v>7.1383738031727262E-7</v>
      </c>
    </row>
    <row r="460" spans="15:21" x14ac:dyDescent="0.25">
      <c r="O460" s="15">
        <v>448</v>
      </c>
      <c r="P460" s="15">
        <f t="shared" si="55"/>
        <v>5.5531406201336592E-2</v>
      </c>
      <c r="Q460" s="15">
        <f t="shared" si="56"/>
        <v>5.5531406201407646E-2</v>
      </c>
      <c r="R460" s="15">
        <f t="shared" si="51"/>
        <v>5.5531406201372119E-2</v>
      </c>
      <c r="S460" s="18">
        <f t="shared" si="52"/>
        <v>-2.2141739464132115E-6</v>
      </c>
      <c r="T460" s="18">
        <f t="shared" si="53"/>
        <v>7.1383738031727262E-7</v>
      </c>
      <c r="U460" s="18">
        <f t="shared" si="54"/>
        <v>-6.5354470279999077E-7</v>
      </c>
    </row>
    <row r="461" spans="15:21" x14ac:dyDescent="0.25">
      <c r="O461" s="15">
        <v>449</v>
      </c>
      <c r="P461" s="15">
        <f t="shared" si="55"/>
        <v>5.5531406201372119E-2</v>
      </c>
      <c r="Q461" s="15">
        <f t="shared" si="56"/>
        <v>5.5531406201407646E-2</v>
      </c>
      <c r="R461" s="15">
        <f t="shared" si="51"/>
        <v>5.5531406201389882E-2</v>
      </c>
      <c r="S461" s="18">
        <f t="shared" si="52"/>
        <v>-6.5354470279999077E-7</v>
      </c>
      <c r="T461" s="18">
        <f t="shared" si="53"/>
        <v>7.1383738031727262E-7</v>
      </c>
      <c r="U461" s="18">
        <f t="shared" si="54"/>
        <v>3.0612227419624105E-8</v>
      </c>
    </row>
    <row r="462" spans="15:21" x14ac:dyDescent="0.25">
      <c r="O462" s="15">
        <v>450</v>
      </c>
      <c r="P462" s="15">
        <f t="shared" si="55"/>
        <v>5.5531406201372119E-2</v>
      </c>
      <c r="Q462" s="15">
        <f t="shared" si="56"/>
        <v>5.5531406201389882E-2</v>
      </c>
      <c r="R462" s="15">
        <f t="shared" si="51"/>
        <v>5.5531406201381001E-2</v>
      </c>
      <c r="S462" s="18">
        <f t="shared" si="52"/>
        <v>-6.5354470279999077E-7</v>
      </c>
      <c r="T462" s="18">
        <f t="shared" si="53"/>
        <v>3.0612227419624105E-8</v>
      </c>
      <c r="U462" s="18">
        <f t="shared" si="54"/>
        <v>-3.1053423299454153E-7</v>
      </c>
    </row>
    <row r="463" spans="15:21" x14ac:dyDescent="0.25">
      <c r="O463" s="15">
        <v>451</v>
      </c>
      <c r="P463" s="15">
        <f t="shared" si="55"/>
        <v>5.5531406201381001E-2</v>
      </c>
      <c r="Q463" s="15">
        <f t="shared" si="56"/>
        <v>5.5531406201389882E-2</v>
      </c>
      <c r="R463" s="15">
        <f t="shared" si="51"/>
        <v>5.5531406201385441E-2</v>
      </c>
      <c r="S463" s="18">
        <f t="shared" si="52"/>
        <v>-3.1053423299454153E-7</v>
      </c>
      <c r="T463" s="18">
        <f t="shared" si="53"/>
        <v>3.0612227419624105E-8</v>
      </c>
      <c r="U463" s="18">
        <f t="shared" si="54"/>
        <v>-2.3821530703571625E-7</v>
      </c>
    </row>
    <row r="464" spans="15:21" x14ac:dyDescent="0.25">
      <c r="O464" s="15">
        <v>452</v>
      </c>
      <c r="P464" s="15">
        <f t="shared" si="55"/>
        <v>5.5531406201385441E-2</v>
      </c>
      <c r="Q464" s="15">
        <f t="shared" si="56"/>
        <v>5.5531406201389882E-2</v>
      </c>
      <c r="R464" s="15">
        <f t="shared" si="51"/>
        <v>5.5531406201387662E-2</v>
      </c>
      <c r="S464" s="18">
        <f t="shared" si="52"/>
        <v>-2.3821530703571625E-7</v>
      </c>
      <c r="T464" s="18">
        <f t="shared" si="53"/>
        <v>3.0612227419624105E-8</v>
      </c>
      <c r="U464" s="18">
        <f t="shared" si="54"/>
        <v>-1.0403437045169994E-7</v>
      </c>
    </row>
    <row r="465" spans="15:21" x14ac:dyDescent="0.25">
      <c r="O465" s="15">
        <v>453</v>
      </c>
      <c r="P465" s="15">
        <f t="shared" si="55"/>
        <v>5.5531406201387662E-2</v>
      </c>
      <c r="Q465" s="15">
        <f t="shared" si="56"/>
        <v>5.5531406201389882E-2</v>
      </c>
      <c r="R465" s="15">
        <f t="shared" si="51"/>
        <v>5.5531406201388772E-2</v>
      </c>
      <c r="S465" s="18">
        <f t="shared" si="52"/>
        <v>-1.0403437045169994E-7</v>
      </c>
      <c r="T465" s="18">
        <f t="shared" si="53"/>
        <v>3.0612227419624105E-8</v>
      </c>
      <c r="U465" s="18">
        <f t="shared" si="54"/>
        <v>6.1310856835916638E-8</v>
      </c>
    </row>
    <row r="466" spans="15:21" x14ac:dyDescent="0.25">
      <c r="O466" s="15">
        <v>454</v>
      </c>
      <c r="P466" s="15">
        <f t="shared" si="55"/>
        <v>5.5531406201387662E-2</v>
      </c>
      <c r="Q466" s="15">
        <f t="shared" si="56"/>
        <v>5.5531406201388772E-2</v>
      </c>
      <c r="R466" s="15">
        <f t="shared" si="51"/>
        <v>5.5531406201388217E-2</v>
      </c>
      <c r="S466" s="18">
        <f t="shared" si="52"/>
        <v>-1.0403437045169994E-7</v>
      </c>
      <c r="T466" s="18">
        <f t="shared" si="53"/>
        <v>6.1310856835916638E-8</v>
      </c>
      <c r="U466" s="18">
        <f t="shared" si="54"/>
        <v>-1.2310601960052736E-7</v>
      </c>
    </row>
    <row r="467" spans="15:21" x14ac:dyDescent="0.25">
      <c r="O467" s="15">
        <v>455</v>
      </c>
      <c r="P467" s="15">
        <f t="shared" si="55"/>
        <v>5.5531406201388217E-2</v>
      </c>
      <c r="Q467" s="15">
        <f t="shared" si="56"/>
        <v>5.5531406201388772E-2</v>
      </c>
      <c r="R467" s="15">
        <f t="shared" si="51"/>
        <v>5.5531406201388495E-2</v>
      </c>
      <c r="S467" s="18">
        <f t="shared" si="52"/>
        <v>-1.2310601960052736E-7</v>
      </c>
      <c r="T467" s="18">
        <f t="shared" si="53"/>
        <v>6.1310856835916638E-8</v>
      </c>
      <c r="U467" s="18">
        <f t="shared" si="54"/>
        <v>-1.3054977898718789E-7</v>
      </c>
    </row>
    <row r="468" spans="15:21" x14ac:dyDescent="0.25">
      <c r="O468" s="15">
        <v>456</v>
      </c>
      <c r="P468" s="15">
        <f t="shared" si="55"/>
        <v>5.5531406201388495E-2</v>
      </c>
      <c r="Q468" s="15">
        <f t="shared" si="56"/>
        <v>5.5531406201388772E-2</v>
      </c>
      <c r="R468" s="15">
        <f t="shared" si="51"/>
        <v>5.5531406201388633E-2</v>
      </c>
      <c r="S468" s="18">
        <f t="shared" si="52"/>
        <v>-1.3054977898718789E-7</v>
      </c>
      <c r="T468" s="18">
        <f t="shared" si="53"/>
        <v>6.1310856835916638E-8</v>
      </c>
      <c r="U468" s="18">
        <f t="shared" si="54"/>
        <v>6.1310856835916638E-8</v>
      </c>
    </row>
    <row r="469" spans="15:21" x14ac:dyDescent="0.25">
      <c r="O469" s="15">
        <v>457</v>
      </c>
      <c r="P469" s="15">
        <f t="shared" si="55"/>
        <v>5.5531406201388495E-2</v>
      </c>
      <c r="Q469" s="15">
        <f t="shared" si="56"/>
        <v>5.5531406201388633E-2</v>
      </c>
      <c r="R469" s="15">
        <f t="shared" si="51"/>
        <v>5.5531406201388564E-2</v>
      </c>
      <c r="S469" s="18">
        <f t="shared" si="52"/>
        <v>-1.3054977898718789E-7</v>
      </c>
      <c r="T469" s="18">
        <f t="shared" si="53"/>
        <v>6.1310856835916638E-8</v>
      </c>
      <c r="U469" s="18">
        <f t="shared" si="54"/>
        <v>-1.3054977898718789E-7</v>
      </c>
    </row>
    <row r="470" spans="15:21" x14ac:dyDescent="0.25">
      <c r="O470" s="15">
        <v>458</v>
      </c>
      <c r="P470" s="15">
        <f t="shared" si="55"/>
        <v>5.5531406201388564E-2</v>
      </c>
      <c r="Q470" s="15">
        <f t="shared" si="56"/>
        <v>5.5531406201388633E-2</v>
      </c>
      <c r="R470" s="15">
        <f t="shared" si="51"/>
        <v>5.5531406201388599E-2</v>
      </c>
      <c r="S470" s="18">
        <f t="shared" si="52"/>
        <v>-1.3054977898718789E-7</v>
      </c>
      <c r="T470" s="18">
        <f t="shared" si="53"/>
        <v>6.1310856835916638E-8</v>
      </c>
      <c r="U470" s="18">
        <f t="shared" si="54"/>
        <v>-1.3054977898718789E-7</v>
      </c>
    </row>
    <row r="471" spans="15:21" x14ac:dyDescent="0.25">
      <c r="O471" s="15">
        <v>459</v>
      </c>
      <c r="P471" s="15">
        <f t="shared" si="55"/>
        <v>5.5531406201388599E-2</v>
      </c>
      <c r="Q471" s="15">
        <f t="shared" si="56"/>
        <v>5.5531406201388633E-2</v>
      </c>
      <c r="R471" s="15">
        <f t="shared" si="51"/>
        <v>5.5531406201388619E-2</v>
      </c>
      <c r="S471" s="18">
        <f t="shared" si="52"/>
        <v>-1.3054977898718789E-7</v>
      </c>
      <c r="T471" s="18">
        <f t="shared" si="53"/>
        <v>6.1310856835916638E-8</v>
      </c>
      <c r="U471" s="18">
        <f t="shared" si="54"/>
        <v>-1.3054977898718789E-7</v>
      </c>
    </row>
    <row r="472" spans="15:21" x14ac:dyDescent="0.25">
      <c r="O472" s="15">
        <v>460</v>
      </c>
      <c r="P472" s="15">
        <f t="shared" si="55"/>
        <v>5.5531406201388619E-2</v>
      </c>
      <c r="Q472" s="15">
        <f t="shared" si="56"/>
        <v>5.5531406201388633E-2</v>
      </c>
      <c r="R472" s="15">
        <f t="shared" si="51"/>
        <v>5.5531406201388626E-2</v>
      </c>
      <c r="S472" s="18">
        <f t="shared" si="52"/>
        <v>-1.3054977898718789E-7</v>
      </c>
      <c r="T472" s="18">
        <f t="shared" si="53"/>
        <v>6.1310856835916638E-8</v>
      </c>
      <c r="U472" s="18">
        <f t="shared" si="54"/>
        <v>-1.3054977898718789E-7</v>
      </c>
    </row>
    <row r="473" spans="15:21" x14ac:dyDescent="0.25">
      <c r="O473" s="15">
        <v>461</v>
      </c>
      <c r="P473" s="15">
        <f t="shared" si="55"/>
        <v>5.5531406201388626E-2</v>
      </c>
      <c r="Q473" s="15">
        <f t="shared" si="56"/>
        <v>5.5531406201388633E-2</v>
      </c>
      <c r="R473" s="15">
        <f t="shared" si="51"/>
        <v>5.5531406201388633E-2</v>
      </c>
      <c r="S473" s="18">
        <f t="shared" si="52"/>
        <v>-1.3054977898718789E-7</v>
      </c>
      <c r="T473" s="18">
        <f t="shared" si="53"/>
        <v>6.1310856835916638E-8</v>
      </c>
      <c r="U473" s="18">
        <f t="shared" si="54"/>
        <v>6.1310856835916638E-8</v>
      </c>
    </row>
    <row r="474" spans="15:21" x14ac:dyDescent="0.25">
      <c r="O474" s="15">
        <v>462</v>
      </c>
      <c r="P474" s="15">
        <f t="shared" si="55"/>
        <v>5.5531406201388626E-2</v>
      </c>
      <c r="Q474" s="15">
        <f t="shared" si="56"/>
        <v>5.5531406201388633E-2</v>
      </c>
      <c r="R474" s="15">
        <f t="shared" si="51"/>
        <v>5.5531406201388633E-2</v>
      </c>
      <c r="S474" s="18">
        <f t="shared" si="52"/>
        <v>-1.3054977898718789E-7</v>
      </c>
      <c r="T474" s="18">
        <f t="shared" si="53"/>
        <v>6.1310856835916638E-8</v>
      </c>
      <c r="U474" s="18">
        <f t="shared" si="54"/>
        <v>6.1310856835916638E-8</v>
      </c>
    </row>
    <row r="475" spans="15:21" x14ac:dyDescent="0.25">
      <c r="O475" s="15">
        <v>463</v>
      </c>
      <c r="P475" s="15">
        <f t="shared" si="55"/>
        <v>5.5531406201388626E-2</v>
      </c>
      <c r="Q475" s="15">
        <f t="shared" si="56"/>
        <v>5.5531406201388633E-2</v>
      </c>
      <c r="R475" s="15">
        <f t="shared" si="51"/>
        <v>5.5531406201388633E-2</v>
      </c>
      <c r="S475" s="18">
        <f t="shared" si="52"/>
        <v>-1.3054977898718789E-7</v>
      </c>
      <c r="T475" s="18">
        <f t="shared" si="53"/>
        <v>6.1310856835916638E-8</v>
      </c>
      <c r="U475" s="18">
        <f t="shared" si="54"/>
        <v>6.1310856835916638E-8</v>
      </c>
    </row>
    <row r="476" spans="15:21" x14ac:dyDescent="0.25">
      <c r="O476" s="15">
        <v>464</v>
      </c>
      <c r="P476" s="15">
        <f t="shared" si="55"/>
        <v>5.5531406201388626E-2</v>
      </c>
      <c r="Q476" s="15">
        <f t="shared" si="56"/>
        <v>5.5531406201388633E-2</v>
      </c>
      <c r="R476" s="15">
        <f t="shared" si="51"/>
        <v>5.5531406201388633E-2</v>
      </c>
      <c r="S476" s="18">
        <f t="shared" si="52"/>
        <v>-1.3054977898718789E-7</v>
      </c>
      <c r="T476" s="18">
        <f t="shared" si="53"/>
        <v>6.1310856835916638E-8</v>
      </c>
      <c r="U476" s="18">
        <f t="shared" si="54"/>
        <v>6.1310856835916638E-8</v>
      </c>
    </row>
    <row r="477" spans="15:21" x14ac:dyDescent="0.25">
      <c r="O477" s="15">
        <v>465</v>
      </c>
      <c r="P477" s="15">
        <f t="shared" si="55"/>
        <v>5.5531406201388626E-2</v>
      </c>
      <c r="Q477" s="15">
        <f t="shared" si="56"/>
        <v>5.5531406201388633E-2</v>
      </c>
      <c r="R477" s="15">
        <f t="shared" ref="R477:R540" si="57">(P477+Q477)/2</f>
        <v>5.5531406201388633E-2</v>
      </c>
      <c r="S477" s="18">
        <f t="shared" ref="S477:S540" si="58">$E$4-$E$10-$E$11*(1+P477)^(-$E$5/$L$9)-$E$13*(1+P477)^(-$H$13/$L$9)-$E$14*(1+P477)^(-$H$14/$L$9) +$E$24*((1-(1+P477)^(-$E$5/$L$9)))/(1-(1+P477)^(1/$L$9))+$E$17*((1-(1+P477)^(-$J$20/$M$4)))/(1-(1+P477)^(1/$M$4))+$E$18*((1-(1+P477)^(-$J$21/$M$5)))/(1-(1+P477)^(1/$M$5))+$E$19*((1-(1+P477)^(-$J$22/$M$6)))/(1-(1+P477)^(1/$M$6))+$E$20*((1-(1+P477)^(-$J$23/$M$7)))/(1-(1+P477)^(1/$M$7))+$E$21*((1-(1+P477)^(-$J$24/$M$8)))/(1-(1+P477)^(1/$M$8))</f>
        <v>-1.3054977898718789E-7</v>
      </c>
      <c r="T477" s="18">
        <f t="shared" ref="T477:T540" si="59">$E$4-$E$10-$E$11*(1+Q477)^(-$E$5/$L$9)-$E$13*(1+Q477)^(-$H$13/$L$9)-$E$14*(1+Q477)^(-$H$14/$L$9) +$E$24*((1-(1+Q477)^(-$E$5/$L$9)))/(1-(1+Q477)^(1/$L$9))+$E$17*((1-(1+Q477)^(-$J$20/$M$4)))/(1-(1+Q477)^(1/$M$4))+$E$18*((1-(1+Q477)^(-$J$21/$M$5)))/(1-(1+Q477)^(1/$M$5))+$E$19*((1-(1+Q477)^(-$J$22/$M$6)))/(1-(1+Q477)^(1/$M$6))+$E$20*((1-(1+Q477)^(-$J$23/$M$7)))/(1-(1+Q477)^(1/$M$7))+$E$21*((1-(1+Q477)^(-$J$24/$M$8)))/(1-(1+Q477)^(1/$M$8))</f>
        <v>6.1310856835916638E-8</v>
      </c>
      <c r="U477" s="18">
        <f t="shared" ref="U477:U540" si="60">$E$4-$E$10-$E$11*(1+R477)^(-$E$5/$L$9)-$E$13*(1+R477)^(-$H$13/$L$9)-$E$14*(1+R477)^(-$H$14/$L$9) +$E$24*((1-(1+R477)^(-$E$5/$L$9)))/(1-(1+R477)^(1/$L$9))+$E$17*((1-(1+R477)^(-$J$20/$M$4)))/(1-(1+R477)^(1/$M$4))+$E$18*((1-(1+R477)^(-$J$21/$M$5)))/(1-(1+R477)^(1/$M$5))+$E$19*((1-(1+R477)^(-$J$22/$M$6)))/(1-(1+R477)^(1/$M$6))+$E$20*((1-(1+R477)^(-$J$23/$M$7)))/(1-(1+R477)^(1/$M$7))+$E$21*((1-(1+R477)^(-$J$24/$M$8)))/(1-(1+R477)^(1/$M$8))</f>
        <v>6.1310856835916638E-8</v>
      </c>
    </row>
    <row r="478" spans="15:21" x14ac:dyDescent="0.25">
      <c r="O478" s="15">
        <v>466</v>
      </c>
      <c r="P478" s="15">
        <f t="shared" ref="P478:P512" si="61">IF(S477*U477&gt;=0,R477,P477)</f>
        <v>5.5531406201388626E-2</v>
      </c>
      <c r="Q478" s="15">
        <f t="shared" ref="Q478:Q512" si="62">IF(T477*U477&gt;=0,R477,Q477)</f>
        <v>5.5531406201388633E-2</v>
      </c>
      <c r="R478" s="15">
        <f t="shared" si="57"/>
        <v>5.5531406201388633E-2</v>
      </c>
      <c r="S478" s="18">
        <f t="shared" si="58"/>
        <v>-1.3054977898718789E-7</v>
      </c>
      <c r="T478" s="18">
        <f t="shared" si="59"/>
        <v>6.1310856835916638E-8</v>
      </c>
      <c r="U478" s="18">
        <f t="shared" si="60"/>
        <v>6.1310856835916638E-8</v>
      </c>
    </row>
    <row r="479" spans="15:21" x14ac:dyDescent="0.25">
      <c r="O479" s="15">
        <v>467</v>
      </c>
      <c r="P479" s="15">
        <f t="shared" si="61"/>
        <v>5.5531406201388626E-2</v>
      </c>
      <c r="Q479" s="15">
        <f t="shared" si="62"/>
        <v>5.5531406201388633E-2</v>
      </c>
      <c r="R479" s="15">
        <f t="shared" si="57"/>
        <v>5.5531406201388633E-2</v>
      </c>
      <c r="S479" s="18">
        <f t="shared" si="58"/>
        <v>-1.3054977898718789E-7</v>
      </c>
      <c r="T479" s="18">
        <f t="shared" si="59"/>
        <v>6.1310856835916638E-8</v>
      </c>
      <c r="U479" s="18">
        <f t="shared" si="60"/>
        <v>6.1310856835916638E-8</v>
      </c>
    </row>
    <row r="480" spans="15:21" x14ac:dyDescent="0.25">
      <c r="O480" s="15">
        <v>468</v>
      </c>
      <c r="P480" s="15">
        <f t="shared" si="61"/>
        <v>5.5531406201388626E-2</v>
      </c>
      <c r="Q480" s="15">
        <f t="shared" si="62"/>
        <v>5.5531406201388633E-2</v>
      </c>
      <c r="R480" s="15">
        <f t="shared" si="57"/>
        <v>5.5531406201388633E-2</v>
      </c>
      <c r="S480" s="18">
        <f t="shared" si="58"/>
        <v>-1.3054977898718789E-7</v>
      </c>
      <c r="T480" s="18">
        <f t="shared" si="59"/>
        <v>6.1310856835916638E-8</v>
      </c>
      <c r="U480" s="18">
        <f t="shared" si="60"/>
        <v>6.1310856835916638E-8</v>
      </c>
    </row>
    <row r="481" spans="15:21" x14ac:dyDescent="0.25">
      <c r="O481" s="15">
        <v>469</v>
      </c>
      <c r="P481" s="15">
        <f t="shared" si="61"/>
        <v>5.5531406201388626E-2</v>
      </c>
      <c r="Q481" s="15">
        <f t="shared" si="62"/>
        <v>5.5531406201388633E-2</v>
      </c>
      <c r="R481" s="15">
        <f t="shared" si="57"/>
        <v>5.5531406201388633E-2</v>
      </c>
      <c r="S481" s="18">
        <f t="shared" si="58"/>
        <v>-1.3054977898718789E-7</v>
      </c>
      <c r="T481" s="18">
        <f t="shared" si="59"/>
        <v>6.1310856835916638E-8</v>
      </c>
      <c r="U481" s="18">
        <f t="shared" si="60"/>
        <v>6.1310856835916638E-8</v>
      </c>
    </row>
    <row r="482" spans="15:21" x14ac:dyDescent="0.25">
      <c r="O482" s="15">
        <v>470</v>
      </c>
      <c r="P482" s="15">
        <f t="shared" si="61"/>
        <v>5.5531406201388626E-2</v>
      </c>
      <c r="Q482" s="15">
        <f t="shared" si="62"/>
        <v>5.5531406201388633E-2</v>
      </c>
      <c r="R482" s="15">
        <f t="shared" si="57"/>
        <v>5.5531406201388633E-2</v>
      </c>
      <c r="S482" s="18">
        <f t="shared" si="58"/>
        <v>-1.3054977898718789E-7</v>
      </c>
      <c r="T482" s="18">
        <f t="shared" si="59"/>
        <v>6.1310856835916638E-8</v>
      </c>
      <c r="U482" s="18">
        <f t="shared" si="60"/>
        <v>6.1310856835916638E-8</v>
      </c>
    </row>
    <row r="483" spans="15:21" x14ac:dyDescent="0.25">
      <c r="O483" s="15">
        <v>471</v>
      </c>
      <c r="P483" s="15">
        <f t="shared" si="61"/>
        <v>5.5531406201388626E-2</v>
      </c>
      <c r="Q483" s="15">
        <f t="shared" si="62"/>
        <v>5.5531406201388633E-2</v>
      </c>
      <c r="R483" s="15">
        <f t="shared" si="57"/>
        <v>5.5531406201388633E-2</v>
      </c>
      <c r="S483" s="18">
        <f t="shared" si="58"/>
        <v>-1.3054977898718789E-7</v>
      </c>
      <c r="T483" s="18">
        <f t="shared" si="59"/>
        <v>6.1310856835916638E-8</v>
      </c>
      <c r="U483" s="18">
        <f t="shared" si="60"/>
        <v>6.1310856835916638E-8</v>
      </c>
    </row>
    <row r="484" spans="15:21" x14ac:dyDescent="0.25">
      <c r="O484" s="15">
        <v>472</v>
      </c>
      <c r="P484" s="15">
        <f t="shared" si="61"/>
        <v>5.5531406201388626E-2</v>
      </c>
      <c r="Q484" s="15">
        <f t="shared" si="62"/>
        <v>5.5531406201388633E-2</v>
      </c>
      <c r="R484" s="15">
        <f t="shared" si="57"/>
        <v>5.5531406201388633E-2</v>
      </c>
      <c r="S484" s="18">
        <f t="shared" si="58"/>
        <v>-1.3054977898718789E-7</v>
      </c>
      <c r="T484" s="18">
        <f t="shared" si="59"/>
        <v>6.1310856835916638E-8</v>
      </c>
      <c r="U484" s="18">
        <f t="shared" si="60"/>
        <v>6.1310856835916638E-8</v>
      </c>
    </row>
    <row r="485" spans="15:21" x14ac:dyDescent="0.25">
      <c r="O485" s="15">
        <v>473</v>
      </c>
      <c r="P485" s="15">
        <f t="shared" si="61"/>
        <v>5.5531406201388626E-2</v>
      </c>
      <c r="Q485" s="15">
        <f t="shared" si="62"/>
        <v>5.5531406201388633E-2</v>
      </c>
      <c r="R485" s="15">
        <f t="shared" si="57"/>
        <v>5.5531406201388633E-2</v>
      </c>
      <c r="S485" s="18">
        <f t="shared" si="58"/>
        <v>-1.3054977898718789E-7</v>
      </c>
      <c r="T485" s="18">
        <f t="shared" si="59"/>
        <v>6.1310856835916638E-8</v>
      </c>
      <c r="U485" s="18">
        <f t="shared" si="60"/>
        <v>6.1310856835916638E-8</v>
      </c>
    </row>
    <row r="486" spans="15:21" x14ac:dyDescent="0.25">
      <c r="O486" s="15">
        <v>474</v>
      </c>
      <c r="P486" s="15">
        <f t="shared" si="61"/>
        <v>5.5531406201388626E-2</v>
      </c>
      <c r="Q486" s="15">
        <f t="shared" si="62"/>
        <v>5.5531406201388633E-2</v>
      </c>
      <c r="R486" s="15">
        <f t="shared" si="57"/>
        <v>5.5531406201388633E-2</v>
      </c>
      <c r="S486" s="18">
        <f t="shared" si="58"/>
        <v>-1.3054977898718789E-7</v>
      </c>
      <c r="T486" s="18">
        <f t="shared" si="59"/>
        <v>6.1310856835916638E-8</v>
      </c>
      <c r="U486" s="18">
        <f t="shared" si="60"/>
        <v>6.1310856835916638E-8</v>
      </c>
    </row>
    <row r="487" spans="15:21" x14ac:dyDescent="0.25">
      <c r="O487" s="15">
        <v>475</v>
      </c>
      <c r="P487" s="15">
        <f t="shared" si="61"/>
        <v>5.5531406201388626E-2</v>
      </c>
      <c r="Q487" s="15">
        <f t="shared" si="62"/>
        <v>5.5531406201388633E-2</v>
      </c>
      <c r="R487" s="15">
        <f t="shared" si="57"/>
        <v>5.5531406201388633E-2</v>
      </c>
      <c r="S487" s="18">
        <f t="shared" si="58"/>
        <v>-1.3054977898718789E-7</v>
      </c>
      <c r="T487" s="18">
        <f t="shared" si="59"/>
        <v>6.1310856835916638E-8</v>
      </c>
      <c r="U487" s="18">
        <f t="shared" si="60"/>
        <v>6.1310856835916638E-8</v>
      </c>
    </row>
    <row r="488" spans="15:21" x14ac:dyDescent="0.25">
      <c r="O488" s="15">
        <v>476</v>
      </c>
      <c r="P488" s="15">
        <f t="shared" si="61"/>
        <v>5.5531406201388626E-2</v>
      </c>
      <c r="Q488" s="15">
        <f t="shared" si="62"/>
        <v>5.5531406201388633E-2</v>
      </c>
      <c r="R488" s="15">
        <f t="shared" si="57"/>
        <v>5.5531406201388633E-2</v>
      </c>
      <c r="S488" s="18">
        <f t="shared" si="58"/>
        <v>-1.3054977898718789E-7</v>
      </c>
      <c r="T488" s="18">
        <f t="shared" si="59"/>
        <v>6.1310856835916638E-8</v>
      </c>
      <c r="U488" s="18">
        <f t="shared" si="60"/>
        <v>6.1310856835916638E-8</v>
      </c>
    </row>
    <row r="489" spans="15:21" x14ac:dyDescent="0.25">
      <c r="O489" s="15">
        <v>477</v>
      </c>
      <c r="P489" s="15">
        <f t="shared" si="61"/>
        <v>5.5531406201388626E-2</v>
      </c>
      <c r="Q489" s="15">
        <f t="shared" si="62"/>
        <v>5.5531406201388633E-2</v>
      </c>
      <c r="R489" s="15">
        <f t="shared" si="57"/>
        <v>5.5531406201388633E-2</v>
      </c>
      <c r="S489" s="18">
        <f t="shared" si="58"/>
        <v>-1.3054977898718789E-7</v>
      </c>
      <c r="T489" s="18">
        <f t="shared" si="59"/>
        <v>6.1310856835916638E-8</v>
      </c>
      <c r="U489" s="18">
        <f t="shared" si="60"/>
        <v>6.1310856835916638E-8</v>
      </c>
    </row>
    <row r="490" spans="15:21" x14ac:dyDescent="0.25">
      <c r="O490" s="15">
        <v>478</v>
      </c>
      <c r="P490" s="15">
        <f t="shared" si="61"/>
        <v>5.5531406201388626E-2</v>
      </c>
      <c r="Q490" s="15">
        <f t="shared" si="62"/>
        <v>5.5531406201388633E-2</v>
      </c>
      <c r="R490" s="15">
        <f t="shared" si="57"/>
        <v>5.5531406201388633E-2</v>
      </c>
      <c r="S490" s="18">
        <f t="shared" si="58"/>
        <v>-1.3054977898718789E-7</v>
      </c>
      <c r="T490" s="18">
        <f t="shared" si="59"/>
        <v>6.1310856835916638E-8</v>
      </c>
      <c r="U490" s="18">
        <f t="shared" si="60"/>
        <v>6.1310856835916638E-8</v>
      </c>
    </row>
    <row r="491" spans="15:21" x14ac:dyDescent="0.25">
      <c r="O491" s="15">
        <v>479</v>
      </c>
      <c r="P491" s="15">
        <f t="shared" si="61"/>
        <v>5.5531406201388626E-2</v>
      </c>
      <c r="Q491" s="15">
        <f t="shared" si="62"/>
        <v>5.5531406201388633E-2</v>
      </c>
      <c r="R491" s="15">
        <f t="shared" si="57"/>
        <v>5.5531406201388633E-2</v>
      </c>
      <c r="S491" s="18">
        <f t="shared" si="58"/>
        <v>-1.3054977898718789E-7</v>
      </c>
      <c r="T491" s="18">
        <f t="shared" si="59"/>
        <v>6.1310856835916638E-8</v>
      </c>
      <c r="U491" s="18">
        <f t="shared" si="60"/>
        <v>6.1310856835916638E-8</v>
      </c>
    </row>
    <row r="492" spans="15:21" x14ac:dyDescent="0.25">
      <c r="O492" s="15">
        <v>480</v>
      </c>
      <c r="P492" s="15">
        <f t="shared" si="61"/>
        <v>5.5531406201388626E-2</v>
      </c>
      <c r="Q492" s="15">
        <f t="shared" si="62"/>
        <v>5.5531406201388633E-2</v>
      </c>
      <c r="R492" s="15">
        <f t="shared" si="57"/>
        <v>5.5531406201388633E-2</v>
      </c>
      <c r="S492" s="18">
        <f t="shared" si="58"/>
        <v>-1.3054977898718789E-7</v>
      </c>
      <c r="T492" s="18">
        <f t="shared" si="59"/>
        <v>6.1310856835916638E-8</v>
      </c>
      <c r="U492" s="18">
        <f t="shared" si="60"/>
        <v>6.1310856835916638E-8</v>
      </c>
    </row>
    <row r="493" spans="15:21" x14ac:dyDescent="0.25">
      <c r="O493" s="15">
        <v>481</v>
      </c>
      <c r="P493" s="15">
        <f t="shared" si="61"/>
        <v>5.5531406201388626E-2</v>
      </c>
      <c r="Q493" s="15">
        <f t="shared" si="62"/>
        <v>5.5531406201388633E-2</v>
      </c>
      <c r="R493" s="15">
        <f t="shared" si="57"/>
        <v>5.5531406201388633E-2</v>
      </c>
      <c r="S493" s="18">
        <f t="shared" si="58"/>
        <v>-1.3054977898718789E-7</v>
      </c>
      <c r="T493" s="18">
        <f t="shared" si="59"/>
        <v>6.1310856835916638E-8</v>
      </c>
      <c r="U493" s="18">
        <f t="shared" si="60"/>
        <v>6.1310856835916638E-8</v>
      </c>
    </row>
    <row r="494" spans="15:21" x14ac:dyDescent="0.25">
      <c r="O494" s="15">
        <v>482</v>
      </c>
      <c r="P494" s="15">
        <f t="shared" si="61"/>
        <v>5.5531406201388626E-2</v>
      </c>
      <c r="Q494" s="15">
        <f t="shared" si="62"/>
        <v>5.5531406201388633E-2</v>
      </c>
      <c r="R494" s="15">
        <f t="shared" si="57"/>
        <v>5.5531406201388633E-2</v>
      </c>
      <c r="S494" s="18">
        <f t="shared" si="58"/>
        <v>-1.3054977898718789E-7</v>
      </c>
      <c r="T494" s="18">
        <f t="shared" si="59"/>
        <v>6.1310856835916638E-8</v>
      </c>
      <c r="U494" s="18">
        <f t="shared" si="60"/>
        <v>6.1310856835916638E-8</v>
      </c>
    </row>
    <row r="495" spans="15:21" x14ac:dyDescent="0.25">
      <c r="O495" s="15">
        <v>483</v>
      </c>
      <c r="P495" s="15">
        <f t="shared" si="61"/>
        <v>5.5531406201388626E-2</v>
      </c>
      <c r="Q495" s="15">
        <f t="shared" si="62"/>
        <v>5.5531406201388633E-2</v>
      </c>
      <c r="R495" s="15">
        <f t="shared" si="57"/>
        <v>5.5531406201388633E-2</v>
      </c>
      <c r="S495" s="18">
        <f t="shared" si="58"/>
        <v>-1.3054977898718789E-7</v>
      </c>
      <c r="T495" s="18">
        <f t="shared" si="59"/>
        <v>6.1310856835916638E-8</v>
      </c>
      <c r="U495" s="18">
        <f t="shared" si="60"/>
        <v>6.1310856835916638E-8</v>
      </c>
    </row>
    <row r="496" spans="15:21" x14ac:dyDescent="0.25">
      <c r="O496" s="15">
        <v>484</v>
      </c>
      <c r="P496" s="15">
        <f t="shared" si="61"/>
        <v>5.5531406201388626E-2</v>
      </c>
      <c r="Q496" s="15">
        <f t="shared" si="62"/>
        <v>5.5531406201388633E-2</v>
      </c>
      <c r="R496" s="15">
        <f t="shared" si="57"/>
        <v>5.5531406201388633E-2</v>
      </c>
      <c r="S496" s="18">
        <f t="shared" si="58"/>
        <v>-1.3054977898718789E-7</v>
      </c>
      <c r="T496" s="18">
        <f t="shared" si="59"/>
        <v>6.1310856835916638E-8</v>
      </c>
      <c r="U496" s="18">
        <f t="shared" si="60"/>
        <v>6.1310856835916638E-8</v>
      </c>
    </row>
    <row r="497" spans="15:21" x14ac:dyDescent="0.25">
      <c r="O497" s="15">
        <v>485</v>
      </c>
      <c r="P497" s="15">
        <f t="shared" si="61"/>
        <v>5.5531406201388626E-2</v>
      </c>
      <c r="Q497" s="15">
        <f t="shared" si="62"/>
        <v>5.5531406201388633E-2</v>
      </c>
      <c r="R497" s="15">
        <f t="shared" si="57"/>
        <v>5.5531406201388633E-2</v>
      </c>
      <c r="S497" s="18">
        <f t="shared" si="58"/>
        <v>-1.3054977898718789E-7</v>
      </c>
      <c r="T497" s="18">
        <f t="shared" si="59"/>
        <v>6.1310856835916638E-8</v>
      </c>
      <c r="U497" s="18">
        <f t="shared" si="60"/>
        <v>6.1310856835916638E-8</v>
      </c>
    </row>
    <row r="498" spans="15:21" x14ac:dyDescent="0.25">
      <c r="O498" s="15">
        <v>486</v>
      </c>
      <c r="P498" s="15">
        <f t="shared" si="61"/>
        <v>5.5531406201388626E-2</v>
      </c>
      <c r="Q498" s="15">
        <f t="shared" si="62"/>
        <v>5.5531406201388633E-2</v>
      </c>
      <c r="R498" s="15">
        <f t="shared" si="57"/>
        <v>5.5531406201388633E-2</v>
      </c>
      <c r="S498" s="18">
        <f t="shared" si="58"/>
        <v>-1.3054977898718789E-7</v>
      </c>
      <c r="T498" s="18">
        <f t="shared" si="59"/>
        <v>6.1310856835916638E-8</v>
      </c>
      <c r="U498" s="18">
        <f t="shared" si="60"/>
        <v>6.1310856835916638E-8</v>
      </c>
    </row>
    <row r="499" spans="15:21" x14ac:dyDescent="0.25">
      <c r="O499" s="15">
        <v>487</v>
      </c>
      <c r="P499" s="15">
        <f t="shared" si="61"/>
        <v>5.5531406201388626E-2</v>
      </c>
      <c r="Q499" s="15">
        <f t="shared" si="62"/>
        <v>5.5531406201388633E-2</v>
      </c>
      <c r="R499" s="15">
        <f t="shared" si="57"/>
        <v>5.5531406201388633E-2</v>
      </c>
      <c r="S499" s="18">
        <f t="shared" si="58"/>
        <v>-1.3054977898718789E-7</v>
      </c>
      <c r="T499" s="18">
        <f t="shared" si="59"/>
        <v>6.1310856835916638E-8</v>
      </c>
      <c r="U499" s="18">
        <f t="shared" si="60"/>
        <v>6.1310856835916638E-8</v>
      </c>
    </row>
    <row r="500" spans="15:21" x14ac:dyDescent="0.25">
      <c r="O500" s="15">
        <v>488</v>
      </c>
      <c r="P500" s="15">
        <f t="shared" si="61"/>
        <v>5.5531406201388626E-2</v>
      </c>
      <c r="Q500" s="15">
        <f t="shared" si="62"/>
        <v>5.5531406201388633E-2</v>
      </c>
      <c r="R500" s="15">
        <f t="shared" si="57"/>
        <v>5.5531406201388633E-2</v>
      </c>
      <c r="S500" s="18">
        <f t="shared" si="58"/>
        <v>-1.3054977898718789E-7</v>
      </c>
      <c r="T500" s="18">
        <f t="shared" si="59"/>
        <v>6.1310856835916638E-8</v>
      </c>
      <c r="U500" s="18">
        <f t="shared" si="60"/>
        <v>6.1310856835916638E-8</v>
      </c>
    </row>
    <row r="501" spans="15:21" x14ac:dyDescent="0.25">
      <c r="O501" s="15">
        <v>489</v>
      </c>
      <c r="P501" s="15">
        <f t="shared" si="61"/>
        <v>5.5531406201388626E-2</v>
      </c>
      <c r="Q501" s="15">
        <f t="shared" si="62"/>
        <v>5.5531406201388633E-2</v>
      </c>
      <c r="R501" s="15">
        <f t="shared" si="57"/>
        <v>5.5531406201388633E-2</v>
      </c>
      <c r="S501" s="18">
        <f t="shared" si="58"/>
        <v>-1.3054977898718789E-7</v>
      </c>
      <c r="T501" s="18">
        <f t="shared" si="59"/>
        <v>6.1310856835916638E-8</v>
      </c>
      <c r="U501" s="18">
        <f t="shared" si="60"/>
        <v>6.1310856835916638E-8</v>
      </c>
    </row>
    <row r="502" spans="15:21" x14ac:dyDescent="0.25">
      <c r="O502" s="15">
        <v>490</v>
      </c>
      <c r="P502" s="15">
        <f t="shared" si="61"/>
        <v>5.5531406201388626E-2</v>
      </c>
      <c r="Q502" s="15">
        <f t="shared" si="62"/>
        <v>5.5531406201388633E-2</v>
      </c>
      <c r="R502" s="15">
        <f t="shared" si="57"/>
        <v>5.5531406201388633E-2</v>
      </c>
      <c r="S502" s="18">
        <f t="shared" si="58"/>
        <v>-1.3054977898718789E-7</v>
      </c>
      <c r="T502" s="18">
        <f t="shared" si="59"/>
        <v>6.1310856835916638E-8</v>
      </c>
      <c r="U502" s="18">
        <f t="shared" si="60"/>
        <v>6.1310856835916638E-8</v>
      </c>
    </row>
    <row r="503" spans="15:21" x14ac:dyDescent="0.25">
      <c r="O503" s="15">
        <v>491</v>
      </c>
      <c r="P503" s="15">
        <f t="shared" si="61"/>
        <v>5.5531406201388626E-2</v>
      </c>
      <c r="Q503" s="15">
        <f t="shared" si="62"/>
        <v>5.5531406201388633E-2</v>
      </c>
      <c r="R503" s="15">
        <f t="shared" si="57"/>
        <v>5.5531406201388633E-2</v>
      </c>
      <c r="S503" s="18">
        <f t="shared" si="58"/>
        <v>-1.3054977898718789E-7</v>
      </c>
      <c r="T503" s="18">
        <f t="shared" si="59"/>
        <v>6.1310856835916638E-8</v>
      </c>
      <c r="U503" s="18">
        <f t="shared" si="60"/>
        <v>6.1310856835916638E-8</v>
      </c>
    </row>
    <row r="504" spans="15:21" x14ac:dyDescent="0.25">
      <c r="O504" s="15">
        <v>492</v>
      </c>
      <c r="P504" s="15">
        <f t="shared" si="61"/>
        <v>5.5531406201388626E-2</v>
      </c>
      <c r="Q504" s="15">
        <f t="shared" si="62"/>
        <v>5.5531406201388633E-2</v>
      </c>
      <c r="R504" s="15">
        <f t="shared" si="57"/>
        <v>5.5531406201388633E-2</v>
      </c>
      <c r="S504" s="18">
        <f t="shared" si="58"/>
        <v>-1.3054977898718789E-7</v>
      </c>
      <c r="T504" s="18">
        <f t="shared" si="59"/>
        <v>6.1310856835916638E-8</v>
      </c>
      <c r="U504" s="18">
        <f t="shared" si="60"/>
        <v>6.1310856835916638E-8</v>
      </c>
    </row>
    <row r="505" spans="15:21" x14ac:dyDescent="0.25">
      <c r="O505" s="15">
        <v>493</v>
      </c>
      <c r="P505" s="15">
        <f t="shared" si="61"/>
        <v>5.5531406201388626E-2</v>
      </c>
      <c r="Q505" s="15">
        <f t="shared" si="62"/>
        <v>5.5531406201388633E-2</v>
      </c>
      <c r="R505" s="15">
        <f t="shared" si="57"/>
        <v>5.5531406201388633E-2</v>
      </c>
      <c r="S505" s="18">
        <f t="shared" si="58"/>
        <v>-1.3054977898718789E-7</v>
      </c>
      <c r="T505" s="18">
        <f t="shared" si="59"/>
        <v>6.1310856835916638E-8</v>
      </c>
      <c r="U505" s="18">
        <f t="shared" si="60"/>
        <v>6.1310856835916638E-8</v>
      </c>
    </row>
    <row r="506" spans="15:21" x14ac:dyDescent="0.25">
      <c r="O506" s="15">
        <v>494</v>
      </c>
      <c r="P506" s="15">
        <f t="shared" si="61"/>
        <v>5.5531406201388626E-2</v>
      </c>
      <c r="Q506" s="15">
        <f t="shared" si="62"/>
        <v>5.5531406201388633E-2</v>
      </c>
      <c r="R506" s="15">
        <f t="shared" si="57"/>
        <v>5.5531406201388633E-2</v>
      </c>
      <c r="S506" s="18">
        <f t="shared" si="58"/>
        <v>-1.3054977898718789E-7</v>
      </c>
      <c r="T506" s="18">
        <f t="shared" si="59"/>
        <v>6.1310856835916638E-8</v>
      </c>
      <c r="U506" s="18">
        <f t="shared" si="60"/>
        <v>6.1310856835916638E-8</v>
      </c>
    </row>
    <row r="507" spans="15:21" x14ac:dyDescent="0.25">
      <c r="O507" s="15">
        <v>495</v>
      </c>
      <c r="P507" s="15">
        <f t="shared" si="61"/>
        <v>5.5531406201388626E-2</v>
      </c>
      <c r="Q507" s="15">
        <f t="shared" si="62"/>
        <v>5.5531406201388633E-2</v>
      </c>
      <c r="R507" s="15">
        <f t="shared" si="57"/>
        <v>5.5531406201388633E-2</v>
      </c>
      <c r="S507" s="18">
        <f t="shared" si="58"/>
        <v>-1.3054977898718789E-7</v>
      </c>
      <c r="T507" s="18">
        <f t="shared" si="59"/>
        <v>6.1310856835916638E-8</v>
      </c>
      <c r="U507" s="18">
        <f t="shared" si="60"/>
        <v>6.1310856835916638E-8</v>
      </c>
    </row>
    <row r="508" spans="15:21" x14ac:dyDescent="0.25">
      <c r="O508" s="15">
        <v>496</v>
      </c>
      <c r="P508" s="15">
        <f t="shared" si="61"/>
        <v>5.5531406201388626E-2</v>
      </c>
      <c r="Q508" s="15">
        <f t="shared" si="62"/>
        <v>5.5531406201388633E-2</v>
      </c>
      <c r="R508" s="15">
        <f t="shared" si="57"/>
        <v>5.5531406201388633E-2</v>
      </c>
      <c r="S508" s="18">
        <f t="shared" si="58"/>
        <v>-1.3054977898718789E-7</v>
      </c>
      <c r="T508" s="18">
        <f t="shared" si="59"/>
        <v>6.1310856835916638E-8</v>
      </c>
      <c r="U508" s="18">
        <f t="shared" si="60"/>
        <v>6.1310856835916638E-8</v>
      </c>
    </row>
    <row r="509" spans="15:21" x14ac:dyDescent="0.25">
      <c r="O509" s="15">
        <v>497</v>
      </c>
      <c r="P509" s="15">
        <f t="shared" si="61"/>
        <v>5.5531406201388626E-2</v>
      </c>
      <c r="Q509" s="15">
        <f t="shared" si="62"/>
        <v>5.5531406201388633E-2</v>
      </c>
      <c r="R509" s="15">
        <f t="shared" si="57"/>
        <v>5.5531406201388633E-2</v>
      </c>
      <c r="S509" s="18">
        <f t="shared" si="58"/>
        <v>-1.3054977898718789E-7</v>
      </c>
      <c r="T509" s="18">
        <f t="shared" si="59"/>
        <v>6.1310856835916638E-8</v>
      </c>
      <c r="U509" s="18">
        <f t="shared" si="60"/>
        <v>6.1310856835916638E-8</v>
      </c>
    </row>
    <row r="510" spans="15:21" x14ac:dyDescent="0.25">
      <c r="O510" s="15">
        <v>498</v>
      </c>
      <c r="P510" s="15">
        <f t="shared" si="61"/>
        <v>5.5531406201388626E-2</v>
      </c>
      <c r="Q510" s="15">
        <f t="shared" si="62"/>
        <v>5.5531406201388633E-2</v>
      </c>
      <c r="R510" s="15">
        <f t="shared" si="57"/>
        <v>5.5531406201388633E-2</v>
      </c>
      <c r="S510" s="18">
        <f t="shared" si="58"/>
        <v>-1.3054977898718789E-7</v>
      </c>
      <c r="T510" s="18">
        <f t="shared" si="59"/>
        <v>6.1310856835916638E-8</v>
      </c>
      <c r="U510" s="18">
        <f t="shared" si="60"/>
        <v>6.1310856835916638E-8</v>
      </c>
    </row>
    <row r="511" spans="15:21" x14ac:dyDescent="0.25">
      <c r="O511" s="15">
        <v>499</v>
      </c>
      <c r="P511" s="15">
        <f t="shared" si="61"/>
        <v>5.5531406201388626E-2</v>
      </c>
      <c r="Q511" s="15">
        <f t="shared" si="62"/>
        <v>5.5531406201388633E-2</v>
      </c>
      <c r="R511" s="15">
        <f t="shared" si="57"/>
        <v>5.5531406201388633E-2</v>
      </c>
      <c r="S511" s="18">
        <f t="shared" si="58"/>
        <v>-1.3054977898718789E-7</v>
      </c>
      <c r="T511" s="18">
        <f t="shared" si="59"/>
        <v>6.1310856835916638E-8</v>
      </c>
      <c r="U511" s="18">
        <f t="shared" si="60"/>
        <v>6.1310856835916638E-8</v>
      </c>
    </row>
    <row r="512" spans="15:21" x14ac:dyDescent="0.25">
      <c r="O512" s="15">
        <v>500</v>
      </c>
      <c r="P512" s="15">
        <f t="shared" si="61"/>
        <v>5.5531406201388626E-2</v>
      </c>
      <c r="Q512" s="15">
        <f t="shared" si="62"/>
        <v>5.5531406201388633E-2</v>
      </c>
      <c r="R512" s="15">
        <f t="shared" si="57"/>
        <v>5.5531406201388633E-2</v>
      </c>
      <c r="S512" s="18">
        <f t="shared" si="58"/>
        <v>-1.3054977898718789E-7</v>
      </c>
      <c r="T512" s="18">
        <f t="shared" si="59"/>
        <v>6.1310856835916638E-8</v>
      </c>
      <c r="U512" s="18">
        <f t="shared" si="60"/>
        <v>6.1310856835916638E-8</v>
      </c>
    </row>
    <row r="513" spans="15:21" x14ac:dyDescent="0.25">
      <c r="P513" s="15" t="s">
        <v>8</v>
      </c>
    </row>
    <row r="514" spans="15:21" x14ac:dyDescent="0.25">
      <c r="P514" s="15" t="s">
        <v>1</v>
      </c>
      <c r="Q514" s="15" t="s">
        <v>2</v>
      </c>
      <c r="R514" s="15" t="s">
        <v>3</v>
      </c>
      <c r="S514" s="15" t="s">
        <v>4</v>
      </c>
      <c r="T514" s="15" t="s">
        <v>5</v>
      </c>
      <c r="U514" s="15" t="s">
        <v>6</v>
      </c>
    </row>
    <row r="515" spans="15:21" x14ac:dyDescent="0.25">
      <c r="O515" s="15">
        <v>501</v>
      </c>
      <c r="P515" s="15">
        <v>1E-10</v>
      </c>
      <c r="Q515" s="15">
        <v>10</v>
      </c>
      <c r="R515" s="15">
        <f t="shared" ref="R515:R578" si="63">(P515+Q515)/2</f>
        <v>5.00000000005</v>
      </c>
      <c r="S515" s="18">
        <f t="shared" ref="S515:S578" si="64">$E$4-$E$10-$E$11*(1+P515)^(-$E$5/$L$9)-$E$13*(1+P515)^(-$H$13/$L$9)-$E$14*(1+P515)^(-$H$14/$L$9) +$E$24*((1-(1+P515)^(-$E$5/$L$9)))/(1-(1+P515)^(1/$L$9))+$E$17*((1-(1+P515)^(-$J$20/$M$4)))/(1-(1+P515)^(1/$M$4))+$E$18*((1-(1+P515)^(-$J$21/$M$5)))/(1-(1+P515)^(1/$M$5))+$E$19*((1-(1+P515)^(-$J$22/$M$6)))/(1-(1+P515)^(1/$M$6))+$E$20*((1-(1+P515)^(-$J$23/$M$7)))/(1-(1+P515)^(1/$M$7))+$E$21*((1-(1+P515)^(-$J$24/$M$8)))/(1-(1+P515)^(1/$M$8))</f>
        <v>-4096543.402922513</v>
      </c>
      <c r="T515" s="18">
        <f t="shared" ref="T515:T578" si="65">$E$4-$E$10-$E$11*(1+Q515)^(-$E$5/$L$9)-$E$13*(1+Q515)^(-$H$13/$L$9)-$E$14*(1+Q515)^(-$H$14/$L$9) +$E$24*((1-(1+Q515)^(-$E$5/$L$9)))/(1-(1+Q515)^(1/$L$9))+$E$17*((1-(1+Q515)^(-$J$20/$M$4)))/(1-(1+Q515)^(1/$M$4))+$E$18*((1-(1+Q515)^(-$J$21/$M$5)))/(1-(1+Q515)^(1/$M$5))+$E$19*((1-(1+Q515)^(-$J$22/$M$6)))/(1-(1+Q515)^(1/$M$6))+$E$20*((1-(1+Q515)^(-$J$23/$M$7)))/(1-(1+Q515)^(1/$M$7))+$E$21*((1-(1+Q515)^(-$J$24/$M$8)))/(1-(1+Q515)^(1/$M$8))</f>
        <v>3894207.2828773954</v>
      </c>
      <c r="U515" s="18">
        <f t="shared" ref="U515:U578" si="66">$E$4-$E$10-$E$11*(1+R515)^(-$E$5/$L$9)-$E$13*(1+R515)^(-$H$13/$L$9)-$E$14*(1+R515)^(-$H$14/$L$9) +$E$24*((1-(1+R515)^(-$E$5/$L$9)))/(1-(1+R515)^(1/$L$9))+$E$17*((1-(1+R515)^(-$J$20/$M$4)))/(1-(1+R515)^(1/$M$4))+$E$18*((1-(1+R515)^(-$J$21/$M$5)))/(1-(1+R515)^(1/$M$5))+$E$19*((1-(1+R515)^(-$J$22/$M$6)))/(1-(1+R515)^(1/$M$6))+$E$20*((1-(1+R515)^(-$J$23/$M$7)))/(1-(1+R515)^(1/$M$7))+$E$21*((1-(1+R515)^(-$J$24/$M$8)))/(1-(1+R515)^(1/$M$8))</f>
        <v>3856205.8539974457</v>
      </c>
    </row>
    <row r="516" spans="15:21" x14ac:dyDescent="0.25">
      <c r="O516" s="15">
        <v>502</v>
      </c>
      <c r="P516" s="15">
        <f t="shared" ref="P516:P579" si="67">IF(S515*U515&gt;=0,R515,P515)</f>
        <v>1E-10</v>
      </c>
      <c r="Q516" s="15">
        <f t="shared" ref="Q516:Q579" si="68">IF(T515*U515&gt;=0,R515,Q515)</f>
        <v>5.00000000005</v>
      </c>
      <c r="R516" s="15">
        <f t="shared" si="63"/>
        <v>2.500000000075</v>
      </c>
      <c r="S516" s="18">
        <f t="shared" si="64"/>
        <v>-4096543.402922513</v>
      </c>
      <c r="T516" s="18">
        <f t="shared" si="65"/>
        <v>3856205.8539974457</v>
      </c>
      <c r="U516" s="18">
        <f t="shared" si="66"/>
        <v>3791473.6705574365</v>
      </c>
    </row>
    <row r="517" spans="15:21" x14ac:dyDescent="0.25">
      <c r="O517" s="15">
        <v>503</v>
      </c>
      <c r="P517" s="15">
        <f t="shared" si="67"/>
        <v>1E-10</v>
      </c>
      <c r="Q517" s="15">
        <f t="shared" si="68"/>
        <v>2.500000000075</v>
      </c>
      <c r="R517" s="15">
        <f t="shared" si="63"/>
        <v>1.2500000000875</v>
      </c>
      <c r="S517" s="18">
        <f t="shared" si="64"/>
        <v>-4096543.402922513</v>
      </c>
      <c r="T517" s="18">
        <f t="shared" si="65"/>
        <v>3791473.6705574365</v>
      </c>
      <c r="U517" s="18">
        <f t="shared" si="66"/>
        <v>3674185.2838576422</v>
      </c>
    </row>
    <row r="518" spans="15:21" x14ac:dyDescent="0.25">
      <c r="O518" s="15">
        <v>504</v>
      </c>
      <c r="P518" s="15">
        <f t="shared" si="67"/>
        <v>1E-10</v>
      </c>
      <c r="Q518" s="15">
        <f t="shared" si="68"/>
        <v>1.2500000000875</v>
      </c>
      <c r="R518" s="15">
        <f t="shared" si="63"/>
        <v>0.62500000009375001</v>
      </c>
      <c r="S518" s="18">
        <f t="shared" si="64"/>
        <v>-4096543.402922513</v>
      </c>
      <c r="T518" s="18">
        <f t="shared" si="65"/>
        <v>3674185.2838576422</v>
      </c>
      <c r="U518" s="18">
        <f t="shared" si="66"/>
        <v>3451249.3171429066</v>
      </c>
    </row>
    <row r="519" spans="15:21" x14ac:dyDescent="0.25">
      <c r="O519" s="15">
        <v>505</v>
      </c>
      <c r="P519" s="15">
        <f t="shared" si="67"/>
        <v>1E-10</v>
      </c>
      <c r="Q519" s="15">
        <f t="shared" si="68"/>
        <v>0.62500000009375001</v>
      </c>
      <c r="R519" s="15">
        <f t="shared" si="63"/>
        <v>0.31250000009687501</v>
      </c>
      <c r="S519" s="18">
        <f t="shared" si="64"/>
        <v>-4096543.402922513</v>
      </c>
      <c r="T519" s="18">
        <f t="shared" si="65"/>
        <v>3451249.3171429066</v>
      </c>
      <c r="U519" s="18">
        <f t="shared" si="66"/>
        <v>3015194.1773318858</v>
      </c>
    </row>
    <row r="520" spans="15:21" x14ac:dyDescent="0.25">
      <c r="O520" s="15">
        <v>506</v>
      </c>
      <c r="P520" s="15">
        <f t="shared" si="67"/>
        <v>1E-10</v>
      </c>
      <c r="Q520" s="15">
        <f t="shared" si="68"/>
        <v>0.31250000009687501</v>
      </c>
      <c r="R520" s="15">
        <f t="shared" si="63"/>
        <v>0.15625000009843751</v>
      </c>
      <c r="S520" s="18">
        <f t="shared" si="64"/>
        <v>-4096543.402922513</v>
      </c>
      <c r="T520" s="18">
        <f t="shared" si="65"/>
        <v>3015194.1773318858</v>
      </c>
      <c r="U520" s="18">
        <f t="shared" si="66"/>
        <v>2172625.3949700431</v>
      </c>
    </row>
    <row r="521" spans="15:21" x14ac:dyDescent="0.25">
      <c r="O521" s="15">
        <v>507</v>
      </c>
      <c r="P521" s="15">
        <f t="shared" si="67"/>
        <v>1E-10</v>
      </c>
      <c r="Q521" s="15">
        <f t="shared" si="68"/>
        <v>0.15625000009843751</v>
      </c>
      <c r="R521" s="15">
        <f t="shared" si="63"/>
        <v>7.8125000099218758E-2</v>
      </c>
      <c r="S521" s="18">
        <f t="shared" si="64"/>
        <v>-4096543.402922513</v>
      </c>
      <c r="T521" s="18">
        <f t="shared" si="65"/>
        <v>2172625.3949700431</v>
      </c>
      <c r="U521" s="18">
        <f t="shared" si="66"/>
        <v>795277.15576752613</v>
      </c>
    </row>
    <row r="522" spans="15:21" x14ac:dyDescent="0.25">
      <c r="O522" s="15">
        <v>508</v>
      </c>
      <c r="P522" s="15">
        <f t="shared" si="67"/>
        <v>1E-10</v>
      </c>
      <c r="Q522" s="15">
        <f t="shared" si="68"/>
        <v>7.8125000099218758E-2</v>
      </c>
      <c r="R522" s="15">
        <f t="shared" si="63"/>
        <v>3.9062500099609376E-2</v>
      </c>
      <c r="S522" s="18">
        <f t="shared" si="64"/>
        <v>-4096543.402922513</v>
      </c>
      <c r="T522" s="18">
        <f t="shared" si="65"/>
        <v>795277.15576752613</v>
      </c>
      <c r="U522" s="18">
        <f t="shared" si="66"/>
        <v>-806130.79722869582</v>
      </c>
    </row>
    <row r="523" spans="15:21" x14ac:dyDescent="0.25">
      <c r="O523" s="15">
        <v>509</v>
      </c>
      <c r="P523" s="15">
        <f t="shared" si="67"/>
        <v>3.9062500099609376E-2</v>
      </c>
      <c r="Q523" s="15">
        <f t="shared" si="68"/>
        <v>7.8125000099218758E-2</v>
      </c>
      <c r="R523" s="15">
        <f t="shared" si="63"/>
        <v>5.8593750099414067E-2</v>
      </c>
      <c r="S523" s="18">
        <f t="shared" si="64"/>
        <v>-806130.79722869582</v>
      </c>
      <c r="T523" s="18">
        <f t="shared" si="65"/>
        <v>795277.15576752613</v>
      </c>
      <c r="U523" s="18">
        <f t="shared" si="66"/>
        <v>125998.37751938807</v>
      </c>
    </row>
    <row r="524" spans="15:21" x14ac:dyDescent="0.25">
      <c r="O524" s="15">
        <v>510</v>
      </c>
      <c r="P524" s="15">
        <f t="shared" si="67"/>
        <v>3.9062500099609376E-2</v>
      </c>
      <c r="Q524" s="15">
        <f t="shared" si="68"/>
        <v>5.8593750099414067E-2</v>
      </c>
      <c r="R524" s="15">
        <f t="shared" si="63"/>
        <v>4.8828125099511718E-2</v>
      </c>
      <c r="S524" s="18">
        <f t="shared" si="64"/>
        <v>-806130.79722869582</v>
      </c>
      <c r="T524" s="18">
        <f t="shared" si="65"/>
        <v>125998.37751938807</v>
      </c>
      <c r="U524" s="18">
        <f t="shared" si="66"/>
        <v>-300117.85427544912</v>
      </c>
    </row>
    <row r="525" spans="15:21" x14ac:dyDescent="0.25">
      <c r="O525" s="15">
        <v>511</v>
      </c>
      <c r="P525" s="15">
        <f t="shared" si="67"/>
        <v>4.8828125099511718E-2</v>
      </c>
      <c r="Q525" s="15">
        <f t="shared" si="68"/>
        <v>5.8593750099414067E-2</v>
      </c>
      <c r="R525" s="15">
        <f t="shared" si="63"/>
        <v>5.3710937599462896E-2</v>
      </c>
      <c r="S525" s="18">
        <f t="shared" si="64"/>
        <v>-300117.85427544912</v>
      </c>
      <c r="T525" s="18">
        <f t="shared" si="65"/>
        <v>125998.37751938807</v>
      </c>
      <c r="U525" s="18">
        <f t="shared" si="66"/>
        <v>-78089.717054340348</v>
      </c>
    </row>
    <row r="526" spans="15:21" x14ac:dyDescent="0.25">
      <c r="O526" s="15">
        <v>512</v>
      </c>
      <c r="P526" s="15">
        <f t="shared" si="67"/>
        <v>5.3710937599462896E-2</v>
      </c>
      <c r="Q526" s="15">
        <f t="shared" si="68"/>
        <v>5.8593750099414067E-2</v>
      </c>
      <c r="R526" s="15">
        <f t="shared" si="63"/>
        <v>5.6152343849438485E-2</v>
      </c>
      <c r="S526" s="18">
        <f t="shared" si="64"/>
        <v>-78089.717054340348</v>
      </c>
      <c r="T526" s="18">
        <f t="shared" si="65"/>
        <v>125998.37751938807</v>
      </c>
      <c r="U526" s="18">
        <f t="shared" si="66"/>
        <v>26082.431833555249</v>
      </c>
    </row>
    <row r="527" spans="15:21" x14ac:dyDescent="0.25">
      <c r="O527" s="15">
        <v>513</v>
      </c>
      <c r="P527" s="15">
        <f t="shared" si="67"/>
        <v>5.3710937599462896E-2</v>
      </c>
      <c r="Q527" s="15">
        <f t="shared" si="68"/>
        <v>5.6152343849438485E-2</v>
      </c>
      <c r="R527" s="15">
        <f t="shared" si="63"/>
        <v>5.4931640724450691E-2</v>
      </c>
      <c r="S527" s="18">
        <f t="shared" si="64"/>
        <v>-78089.717054340348</v>
      </c>
      <c r="T527" s="18">
        <f t="shared" si="65"/>
        <v>26082.431833555249</v>
      </c>
      <c r="U527" s="18">
        <f t="shared" si="66"/>
        <v>-25457.838380042806</v>
      </c>
    </row>
    <row r="528" spans="15:21" x14ac:dyDescent="0.25">
      <c r="O528" s="15">
        <v>514</v>
      </c>
      <c r="P528" s="15">
        <f t="shared" si="67"/>
        <v>5.4931640724450691E-2</v>
      </c>
      <c r="Q528" s="15">
        <f t="shared" si="68"/>
        <v>5.6152343849438485E-2</v>
      </c>
      <c r="R528" s="15">
        <f t="shared" si="63"/>
        <v>5.5541992286944591E-2</v>
      </c>
      <c r="S528" s="18">
        <f t="shared" si="64"/>
        <v>-25457.838380042806</v>
      </c>
      <c r="T528" s="18">
        <f t="shared" si="65"/>
        <v>26082.431833555249</v>
      </c>
      <c r="U528" s="18">
        <f t="shared" si="66"/>
        <v>446.99396819314325</v>
      </c>
    </row>
    <row r="529" spans="15:21" x14ac:dyDescent="0.25">
      <c r="O529" s="15">
        <v>515</v>
      </c>
      <c r="P529" s="15">
        <f t="shared" si="67"/>
        <v>5.4931640724450691E-2</v>
      </c>
      <c r="Q529" s="15">
        <f t="shared" si="68"/>
        <v>5.5541992286944591E-2</v>
      </c>
      <c r="R529" s="15">
        <f t="shared" si="63"/>
        <v>5.5236816505697645E-2</v>
      </c>
      <c r="S529" s="18">
        <f t="shared" si="64"/>
        <v>-25457.838380042806</v>
      </c>
      <c r="T529" s="18">
        <f t="shared" si="65"/>
        <v>446.99396819314325</v>
      </c>
      <c r="U529" s="18">
        <f t="shared" si="66"/>
        <v>-12471.530669613465</v>
      </c>
    </row>
    <row r="530" spans="15:21" x14ac:dyDescent="0.25">
      <c r="O530" s="15">
        <v>516</v>
      </c>
      <c r="P530" s="15">
        <f t="shared" si="67"/>
        <v>5.5236816505697645E-2</v>
      </c>
      <c r="Q530" s="15">
        <f t="shared" si="68"/>
        <v>5.5541992286944591E-2</v>
      </c>
      <c r="R530" s="15">
        <f t="shared" si="63"/>
        <v>5.5389404396321118E-2</v>
      </c>
      <c r="S530" s="18">
        <f t="shared" si="64"/>
        <v>-12471.530669613465</v>
      </c>
      <c r="T530" s="18">
        <f t="shared" si="65"/>
        <v>446.99396819314325</v>
      </c>
      <c r="U530" s="18">
        <f t="shared" si="66"/>
        <v>-6003.8227437936475</v>
      </c>
    </row>
    <row r="531" spans="15:21" x14ac:dyDescent="0.25">
      <c r="O531" s="15">
        <v>517</v>
      </c>
      <c r="P531" s="15">
        <f t="shared" si="67"/>
        <v>5.5389404396321118E-2</v>
      </c>
      <c r="Q531" s="15">
        <f t="shared" si="68"/>
        <v>5.5541992286944591E-2</v>
      </c>
      <c r="R531" s="15">
        <f t="shared" si="63"/>
        <v>5.5465698341632855E-2</v>
      </c>
      <c r="S531" s="18">
        <f t="shared" si="64"/>
        <v>-6003.8227437936475</v>
      </c>
      <c r="T531" s="18">
        <f t="shared" si="65"/>
        <v>446.99396819314325</v>
      </c>
      <c r="U531" s="18">
        <f t="shared" si="66"/>
        <v>-2776.3063849629848</v>
      </c>
    </row>
    <row r="532" spans="15:21" x14ac:dyDescent="0.25">
      <c r="O532" s="15">
        <v>518</v>
      </c>
      <c r="P532" s="15">
        <f t="shared" si="67"/>
        <v>5.5465698341632855E-2</v>
      </c>
      <c r="Q532" s="15">
        <f t="shared" si="68"/>
        <v>5.5541992286944591E-2</v>
      </c>
      <c r="R532" s="15">
        <f t="shared" si="63"/>
        <v>5.5503845314288723E-2</v>
      </c>
      <c r="S532" s="18">
        <f t="shared" si="64"/>
        <v>-2776.3063849629848</v>
      </c>
      <c r="T532" s="18">
        <f t="shared" si="65"/>
        <v>446.99396819314325</v>
      </c>
      <c r="U532" s="18">
        <f t="shared" si="66"/>
        <v>-1164.1296318378991</v>
      </c>
    </row>
    <row r="533" spans="15:21" x14ac:dyDescent="0.25">
      <c r="O533" s="15">
        <v>519</v>
      </c>
      <c r="P533" s="15">
        <f t="shared" si="67"/>
        <v>5.5503845314288723E-2</v>
      </c>
      <c r="Q533" s="15">
        <f t="shared" si="68"/>
        <v>5.5541992286944591E-2</v>
      </c>
      <c r="R533" s="15">
        <f t="shared" si="63"/>
        <v>5.5522918800616661E-2</v>
      </c>
      <c r="S533" s="18">
        <f t="shared" si="64"/>
        <v>-1164.1296318378991</v>
      </c>
      <c r="T533" s="18">
        <f t="shared" si="65"/>
        <v>446.99396819314325</v>
      </c>
      <c r="U533" s="18">
        <f t="shared" si="66"/>
        <v>-358.43624065257518</v>
      </c>
    </row>
    <row r="534" spans="15:21" x14ac:dyDescent="0.25">
      <c r="O534" s="15">
        <v>520</v>
      </c>
      <c r="P534" s="15">
        <f t="shared" si="67"/>
        <v>5.5522918800616661E-2</v>
      </c>
      <c r="Q534" s="15">
        <f t="shared" si="68"/>
        <v>5.5541992286944591E-2</v>
      </c>
      <c r="R534" s="15">
        <f t="shared" si="63"/>
        <v>5.5532455543780626E-2</v>
      </c>
      <c r="S534" s="18">
        <f t="shared" si="64"/>
        <v>-358.43624065257518</v>
      </c>
      <c r="T534" s="18">
        <f t="shared" si="65"/>
        <v>446.99396819314325</v>
      </c>
      <c r="U534" s="18">
        <f t="shared" si="66"/>
        <v>44.311754848723922</v>
      </c>
    </row>
    <row r="535" spans="15:21" x14ac:dyDescent="0.25">
      <c r="O535" s="15">
        <v>521</v>
      </c>
      <c r="P535" s="15">
        <f t="shared" si="67"/>
        <v>5.5522918800616661E-2</v>
      </c>
      <c r="Q535" s="15">
        <f t="shared" si="68"/>
        <v>5.5532455543780626E-2</v>
      </c>
      <c r="R535" s="15">
        <f t="shared" si="63"/>
        <v>5.5527687172198643E-2</v>
      </c>
      <c r="S535" s="18">
        <f t="shared" si="64"/>
        <v>-358.43624065257518</v>
      </c>
      <c r="T535" s="18">
        <f t="shared" si="65"/>
        <v>44.311754848723922</v>
      </c>
      <c r="U535" s="18">
        <f t="shared" si="66"/>
        <v>-157.05401933347866</v>
      </c>
    </row>
    <row r="536" spans="15:21" x14ac:dyDescent="0.25">
      <c r="O536" s="15">
        <v>522</v>
      </c>
      <c r="P536" s="15">
        <f t="shared" si="67"/>
        <v>5.5527687172198643E-2</v>
      </c>
      <c r="Q536" s="15">
        <f t="shared" si="68"/>
        <v>5.5532455543780626E-2</v>
      </c>
      <c r="R536" s="15">
        <f t="shared" si="63"/>
        <v>5.5530071357989638E-2</v>
      </c>
      <c r="S536" s="18">
        <f t="shared" si="64"/>
        <v>-157.05401933347866</v>
      </c>
      <c r="T536" s="18">
        <f t="shared" si="65"/>
        <v>44.311754848723922</v>
      </c>
      <c r="U536" s="18">
        <f t="shared" si="66"/>
        <v>-56.369076355117159</v>
      </c>
    </row>
    <row r="537" spans="15:21" x14ac:dyDescent="0.25">
      <c r="O537" s="15">
        <v>523</v>
      </c>
      <c r="P537" s="15">
        <f t="shared" si="67"/>
        <v>5.5530071357989638E-2</v>
      </c>
      <c r="Q537" s="15">
        <f t="shared" si="68"/>
        <v>5.5532455543780626E-2</v>
      </c>
      <c r="R537" s="15">
        <f t="shared" si="63"/>
        <v>5.5531263450885132E-2</v>
      </c>
      <c r="S537" s="18">
        <f t="shared" si="64"/>
        <v>-56.369076355117159</v>
      </c>
      <c r="T537" s="18">
        <f t="shared" si="65"/>
        <v>44.311754848723922</v>
      </c>
      <c r="U537" s="18">
        <f t="shared" si="66"/>
        <v>-6.0281466950696085</v>
      </c>
    </row>
    <row r="538" spans="15:21" x14ac:dyDescent="0.25">
      <c r="O538" s="15">
        <v>524</v>
      </c>
      <c r="P538" s="15">
        <f t="shared" si="67"/>
        <v>5.5531263450885132E-2</v>
      </c>
      <c r="Q538" s="15">
        <f t="shared" si="68"/>
        <v>5.5532455543780626E-2</v>
      </c>
      <c r="R538" s="15">
        <f t="shared" si="63"/>
        <v>5.5531859497332879E-2</v>
      </c>
      <c r="S538" s="18">
        <f t="shared" si="64"/>
        <v>-6.0281466950696085</v>
      </c>
      <c r="T538" s="18">
        <f t="shared" si="65"/>
        <v>44.311754848723922</v>
      </c>
      <c r="U538" s="18">
        <f t="shared" si="66"/>
        <v>19.14193263652578</v>
      </c>
    </row>
    <row r="539" spans="15:21" x14ac:dyDescent="0.25">
      <c r="O539" s="15">
        <v>525</v>
      </c>
      <c r="P539" s="15">
        <f t="shared" si="67"/>
        <v>5.5531263450885132E-2</v>
      </c>
      <c r="Q539" s="15">
        <f t="shared" si="68"/>
        <v>5.5531859497332879E-2</v>
      </c>
      <c r="R539" s="15">
        <f t="shared" si="63"/>
        <v>5.5531561474109009E-2</v>
      </c>
      <c r="S539" s="18">
        <f t="shared" si="64"/>
        <v>-6.0281466950696085</v>
      </c>
      <c r="T539" s="18">
        <f t="shared" si="65"/>
        <v>19.14193263652578</v>
      </c>
      <c r="U539" s="18">
        <f t="shared" si="66"/>
        <v>6.5569249377172127</v>
      </c>
    </row>
    <row r="540" spans="15:21" x14ac:dyDescent="0.25">
      <c r="O540" s="15">
        <v>526</v>
      </c>
      <c r="P540" s="15">
        <f t="shared" si="67"/>
        <v>5.5531263450885132E-2</v>
      </c>
      <c r="Q540" s="15">
        <f t="shared" si="68"/>
        <v>5.5531561474109009E-2</v>
      </c>
      <c r="R540" s="15">
        <f t="shared" si="63"/>
        <v>5.5531412462497071E-2</v>
      </c>
      <c r="S540" s="18">
        <f t="shared" si="64"/>
        <v>-6.0281466950696085</v>
      </c>
      <c r="T540" s="18">
        <f t="shared" si="65"/>
        <v>6.5569249377172127</v>
      </c>
      <c r="U540" s="18">
        <f t="shared" si="66"/>
        <v>0.26439706673954788</v>
      </c>
    </row>
    <row r="541" spans="15:21" x14ac:dyDescent="0.25">
      <c r="O541" s="15">
        <v>527</v>
      </c>
      <c r="P541" s="15">
        <f t="shared" si="67"/>
        <v>5.5531263450885132E-2</v>
      </c>
      <c r="Q541" s="15">
        <f t="shared" si="68"/>
        <v>5.5531412462497071E-2</v>
      </c>
      <c r="R541" s="15">
        <f t="shared" si="63"/>
        <v>5.5531337956691101E-2</v>
      </c>
      <c r="S541" s="18">
        <f t="shared" si="64"/>
        <v>-6.0281466950696085</v>
      </c>
      <c r="T541" s="18">
        <f t="shared" si="65"/>
        <v>0.26439706673954788</v>
      </c>
      <c r="U541" s="18">
        <f t="shared" si="66"/>
        <v>-2.881872878510876</v>
      </c>
    </row>
    <row r="542" spans="15:21" x14ac:dyDescent="0.25">
      <c r="O542" s="15">
        <v>528</v>
      </c>
      <c r="P542" s="15">
        <f t="shared" si="67"/>
        <v>5.5531337956691101E-2</v>
      </c>
      <c r="Q542" s="15">
        <f t="shared" si="68"/>
        <v>5.5531412462497071E-2</v>
      </c>
      <c r="R542" s="15">
        <f t="shared" si="63"/>
        <v>5.5531375209594086E-2</v>
      </c>
      <c r="S542" s="18">
        <f t="shared" si="64"/>
        <v>-2.881872878510876</v>
      </c>
      <c r="T542" s="18">
        <f t="shared" si="65"/>
        <v>0.26439706673954788</v>
      </c>
      <c r="U542" s="18">
        <f t="shared" si="66"/>
        <v>-1.3087372517161384</v>
      </c>
    </row>
    <row r="543" spans="15:21" x14ac:dyDescent="0.25">
      <c r="O543" s="15">
        <v>529</v>
      </c>
      <c r="P543" s="15">
        <f t="shared" si="67"/>
        <v>5.5531375209594086E-2</v>
      </c>
      <c r="Q543" s="15">
        <f t="shared" si="68"/>
        <v>5.5531412462497071E-2</v>
      </c>
      <c r="R543" s="15">
        <f t="shared" si="63"/>
        <v>5.5531393836045578E-2</v>
      </c>
      <c r="S543" s="18">
        <f t="shared" si="64"/>
        <v>-1.3087372517161384</v>
      </c>
      <c r="T543" s="18">
        <f t="shared" si="65"/>
        <v>0.26439706673954788</v>
      </c>
      <c r="U543" s="18">
        <f t="shared" si="66"/>
        <v>-0.52216988075042536</v>
      </c>
    </row>
    <row r="544" spans="15:21" x14ac:dyDescent="0.25">
      <c r="O544" s="15">
        <v>530</v>
      </c>
      <c r="P544" s="15">
        <f t="shared" si="67"/>
        <v>5.5531393836045578E-2</v>
      </c>
      <c r="Q544" s="15">
        <f t="shared" si="68"/>
        <v>5.5531412462497071E-2</v>
      </c>
      <c r="R544" s="15">
        <f t="shared" si="63"/>
        <v>5.5531403149271324E-2</v>
      </c>
      <c r="S544" s="18">
        <f t="shared" si="64"/>
        <v>-0.52216988075042536</v>
      </c>
      <c r="T544" s="18">
        <f t="shared" si="65"/>
        <v>0.26439706673954788</v>
      </c>
      <c r="U544" s="18">
        <f t="shared" si="66"/>
        <v>-0.12888637811010994</v>
      </c>
    </row>
    <row r="545" spans="15:21" x14ac:dyDescent="0.25">
      <c r="O545" s="15">
        <v>531</v>
      </c>
      <c r="P545" s="15">
        <f t="shared" si="67"/>
        <v>5.5531403149271324E-2</v>
      </c>
      <c r="Q545" s="15">
        <f t="shared" si="68"/>
        <v>5.5531412462497071E-2</v>
      </c>
      <c r="R545" s="15">
        <f t="shared" si="63"/>
        <v>5.5531407805884198E-2</v>
      </c>
      <c r="S545" s="18">
        <f t="shared" si="64"/>
        <v>-0.12888637811010994</v>
      </c>
      <c r="T545" s="18">
        <f t="shared" si="65"/>
        <v>0.26439706673954788</v>
      </c>
      <c r="U545" s="18">
        <f t="shared" si="66"/>
        <v>6.7755447696981719E-2</v>
      </c>
    </row>
    <row r="546" spans="15:21" x14ac:dyDescent="0.25">
      <c r="O546" s="15">
        <v>532</v>
      </c>
      <c r="P546" s="15">
        <f t="shared" si="67"/>
        <v>5.5531403149271324E-2</v>
      </c>
      <c r="Q546" s="15">
        <f t="shared" si="68"/>
        <v>5.5531407805884198E-2</v>
      </c>
      <c r="R546" s="15">
        <f t="shared" si="63"/>
        <v>5.5531405477577761E-2</v>
      </c>
      <c r="S546" s="18">
        <f t="shared" si="64"/>
        <v>-0.12888637811010994</v>
      </c>
      <c r="T546" s="18">
        <f t="shared" si="65"/>
        <v>6.7755447696981719E-2</v>
      </c>
      <c r="U546" s="18">
        <f t="shared" si="66"/>
        <v>-3.0565462876893434E-2</v>
      </c>
    </row>
    <row r="547" spans="15:21" x14ac:dyDescent="0.25">
      <c r="O547" s="15">
        <v>533</v>
      </c>
      <c r="P547" s="15">
        <f t="shared" si="67"/>
        <v>5.5531405477577761E-2</v>
      </c>
      <c r="Q547" s="15">
        <f t="shared" si="68"/>
        <v>5.5531407805884198E-2</v>
      </c>
      <c r="R547" s="15">
        <f t="shared" si="63"/>
        <v>5.5531406641730979E-2</v>
      </c>
      <c r="S547" s="18">
        <f t="shared" si="64"/>
        <v>-3.0565462876893434E-2</v>
      </c>
      <c r="T547" s="18">
        <f t="shared" si="65"/>
        <v>6.7755447696981719E-2</v>
      </c>
      <c r="U547" s="18">
        <f t="shared" si="66"/>
        <v>1.8594893689623859E-2</v>
      </c>
    </row>
    <row r="548" spans="15:21" x14ac:dyDescent="0.25">
      <c r="O548" s="15">
        <v>534</v>
      </c>
      <c r="P548" s="15">
        <f t="shared" si="67"/>
        <v>5.5531405477577761E-2</v>
      </c>
      <c r="Q548" s="15">
        <f t="shared" si="68"/>
        <v>5.5531406641730979E-2</v>
      </c>
      <c r="R548" s="15">
        <f t="shared" si="63"/>
        <v>5.553140605965437E-2</v>
      </c>
      <c r="S548" s="18">
        <f t="shared" si="64"/>
        <v>-3.0565462876893434E-2</v>
      </c>
      <c r="T548" s="18">
        <f t="shared" si="65"/>
        <v>1.8594893689623859E-2</v>
      </c>
      <c r="U548" s="18">
        <f t="shared" si="66"/>
        <v>-5.9851868049918266E-3</v>
      </c>
    </row>
    <row r="549" spans="15:21" x14ac:dyDescent="0.25">
      <c r="O549" s="15">
        <v>535</v>
      </c>
      <c r="P549" s="15">
        <f t="shared" si="67"/>
        <v>5.553140605965437E-2</v>
      </c>
      <c r="Q549" s="15">
        <f t="shared" si="68"/>
        <v>5.5531406641730979E-2</v>
      </c>
      <c r="R549" s="15">
        <f t="shared" si="63"/>
        <v>5.5531406350692675E-2</v>
      </c>
      <c r="S549" s="18">
        <f t="shared" si="64"/>
        <v>-5.9851868049918266E-3</v>
      </c>
      <c r="T549" s="18">
        <f t="shared" si="65"/>
        <v>1.8594893689623859E-2</v>
      </c>
      <c r="U549" s="18">
        <f t="shared" si="66"/>
        <v>6.3048541405805736E-3</v>
      </c>
    </row>
    <row r="550" spans="15:21" x14ac:dyDescent="0.25">
      <c r="O550" s="15">
        <v>536</v>
      </c>
      <c r="P550" s="15">
        <f t="shared" si="67"/>
        <v>5.553140605965437E-2</v>
      </c>
      <c r="Q550" s="15">
        <f t="shared" si="68"/>
        <v>5.5531406350692675E-2</v>
      </c>
      <c r="R550" s="15">
        <f t="shared" si="63"/>
        <v>5.5531406205173522E-2</v>
      </c>
      <c r="S550" s="18">
        <f t="shared" si="64"/>
        <v>-5.9851868049918266E-3</v>
      </c>
      <c r="T550" s="18">
        <f t="shared" si="65"/>
        <v>6.3048541405805736E-3</v>
      </c>
      <c r="U550" s="18">
        <f t="shared" si="66"/>
        <v>1.5973541303537786E-4</v>
      </c>
    </row>
    <row r="551" spans="15:21" x14ac:dyDescent="0.25">
      <c r="O551" s="15">
        <v>537</v>
      </c>
      <c r="P551" s="15">
        <f t="shared" si="67"/>
        <v>5.553140605965437E-2</v>
      </c>
      <c r="Q551" s="15">
        <f t="shared" si="68"/>
        <v>5.5531406205173522E-2</v>
      </c>
      <c r="R551" s="15">
        <f t="shared" si="63"/>
        <v>5.5531406132413946E-2</v>
      </c>
      <c r="S551" s="18">
        <f t="shared" si="64"/>
        <v>-5.9851868049918266E-3</v>
      </c>
      <c r="T551" s="18">
        <f t="shared" si="65"/>
        <v>1.5973541303537786E-4</v>
      </c>
      <c r="U551" s="18">
        <f t="shared" si="66"/>
        <v>-2.9128244168532547E-3</v>
      </c>
    </row>
    <row r="552" spans="15:21" x14ac:dyDescent="0.25">
      <c r="O552" s="15">
        <v>538</v>
      </c>
      <c r="P552" s="15">
        <f t="shared" si="67"/>
        <v>5.5531406132413946E-2</v>
      </c>
      <c r="Q552" s="15">
        <f t="shared" si="68"/>
        <v>5.5531406205173522E-2</v>
      </c>
      <c r="R552" s="15">
        <f t="shared" si="63"/>
        <v>5.5531406168793734E-2</v>
      </c>
      <c r="S552" s="18">
        <f t="shared" si="64"/>
        <v>-2.9128244168532547E-3</v>
      </c>
      <c r="T552" s="18">
        <f t="shared" si="65"/>
        <v>1.5973541303537786E-4</v>
      </c>
      <c r="U552" s="18">
        <f t="shared" si="66"/>
        <v>-1.3764448494839598E-3</v>
      </c>
    </row>
    <row r="553" spans="15:21" x14ac:dyDescent="0.25">
      <c r="O553" s="15">
        <v>539</v>
      </c>
      <c r="P553" s="15">
        <f t="shared" si="67"/>
        <v>5.5531406168793734E-2</v>
      </c>
      <c r="Q553" s="15">
        <f t="shared" si="68"/>
        <v>5.5531406205173522E-2</v>
      </c>
      <c r="R553" s="15">
        <f t="shared" si="63"/>
        <v>5.5531406186983628E-2</v>
      </c>
      <c r="S553" s="18">
        <f t="shared" si="64"/>
        <v>-1.3764448494839598E-3</v>
      </c>
      <c r="T553" s="18">
        <f t="shared" si="65"/>
        <v>1.5973541303537786E-4</v>
      </c>
      <c r="U553" s="18">
        <f t="shared" si="66"/>
        <v>-6.0825809396192199E-4</v>
      </c>
    </row>
    <row r="554" spans="15:21" x14ac:dyDescent="0.25">
      <c r="O554" s="15">
        <v>540</v>
      </c>
      <c r="P554" s="15">
        <f t="shared" si="67"/>
        <v>5.5531406186983628E-2</v>
      </c>
      <c r="Q554" s="15">
        <f t="shared" si="68"/>
        <v>5.5531406205173522E-2</v>
      </c>
      <c r="R554" s="15">
        <f t="shared" si="63"/>
        <v>5.5531406196078575E-2</v>
      </c>
      <c r="S554" s="18">
        <f t="shared" si="64"/>
        <v>-6.0825809396192199E-4</v>
      </c>
      <c r="T554" s="18">
        <f t="shared" si="65"/>
        <v>1.5973541303537786E-4</v>
      </c>
      <c r="U554" s="18">
        <f t="shared" si="66"/>
        <v>-2.2426110808737576E-4</v>
      </c>
    </row>
    <row r="555" spans="15:21" x14ac:dyDescent="0.25">
      <c r="O555" s="15">
        <v>541</v>
      </c>
      <c r="P555" s="15">
        <f t="shared" si="67"/>
        <v>5.5531406196078575E-2</v>
      </c>
      <c r="Q555" s="15">
        <f t="shared" si="68"/>
        <v>5.5531406205173522E-2</v>
      </c>
      <c r="R555" s="15">
        <f t="shared" si="63"/>
        <v>5.5531406200626049E-2</v>
      </c>
      <c r="S555" s="18">
        <f t="shared" si="64"/>
        <v>-2.2426110808737576E-4</v>
      </c>
      <c r="T555" s="18">
        <f t="shared" si="65"/>
        <v>1.5973541303537786E-4</v>
      </c>
      <c r="U555" s="18">
        <f t="shared" si="66"/>
        <v>-3.2261682008538628E-5</v>
      </c>
    </row>
    <row r="556" spans="15:21" x14ac:dyDescent="0.25">
      <c r="O556" s="15">
        <v>542</v>
      </c>
      <c r="P556" s="15">
        <f t="shared" si="67"/>
        <v>5.5531406200626049E-2</v>
      </c>
      <c r="Q556" s="15">
        <f t="shared" si="68"/>
        <v>5.5531406205173522E-2</v>
      </c>
      <c r="R556" s="15">
        <f t="shared" si="63"/>
        <v>5.5531406202899786E-2</v>
      </c>
      <c r="S556" s="18">
        <f t="shared" si="64"/>
        <v>-3.2261682008538628E-5</v>
      </c>
      <c r="T556" s="18">
        <f t="shared" si="65"/>
        <v>1.5973541303537786E-4</v>
      </c>
      <c r="U556" s="18">
        <f t="shared" si="66"/>
        <v>6.3735001731402008E-5</v>
      </c>
    </row>
    <row r="557" spans="15:21" x14ac:dyDescent="0.25">
      <c r="O557" s="15">
        <v>543</v>
      </c>
      <c r="P557" s="15">
        <f t="shared" si="67"/>
        <v>5.5531406200626049E-2</v>
      </c>
      <c r="Q557" s="15">
        <f t="shared" si="68"/>
        <v>5.5531406202899786E-2</v>
      </c>
      <c r="R557" s="15">
        <f t="shared" si="63"/>
        <v>5.5531406201762917E-2</v>
      </c>
      <c r="S557" s="18">
        <f t="shared" si="64"/>
        <v>-3.2261682008538628E-5</v>
      </c>
      <c r="T557" s="18">
        <f t="shared" si="65"/>
        <v>6.3735001731402008E-5</v>
      </c>
      <c r="U557" s="18">
        <f t="shared" si="66"/>
        <v>1.5737591638753656E-5</v>
      </c>
    </row>
    <row r="558" spans="15:21" x14ac:dyDescent="0.25">
      <c r="O558" s="15">
        <v>544</v>
      </c>
      <c r="P558" s="15">
        <f t="shared" si="67"/>
        <v>5.5531406200626049E-2</v>
      </c>
      <c r="Q558" s="15">
        <f t="shared" si="68"/>
        <v>5.5531406201762917E-2</v>
      </c>
      <c r="R558" s="15">
        <f t="shared" si="63"/>
        <v>5.5531406201194483E-2</v>
      </c>
      <c r="S558" s="18">
        <f t="shared" si="64"/>
        <v>-3.2261682008538628E-5</v>
      </c>
      <c r="T558" s="18">
        <f t="shared" si="65"/>
        <v>1.5737591638753656E-5</v>
      </c>
      <c r="U558" s="18">
        <f t="shared" si="66"/>
        <v>-8.2643750829447526E-6</v>
      </c>
    </row>
    <row r="559" spans="15:21" x14ac:dyDescent="0.25">
      <c r="O559" s="15">
        <v>545</v>
      </c>
      <c r="P559" s="15">
        <f t="shared" si="67"/>
        <v>5.5531406201194483E-2</v>
      </c>
      <c r="Q559" s="15">
        <f t="shared" si="68"/>
        <v>5.5531406201762917E-2</v>
      </c>
      <c r="R559" s="15">
        <f t="shared" si="63"/>
        <v>5.55314062014787E-2</v>
      </c>
      <c r="S559" s="18">
        <f t="shared" si="64"/>
        <v>-8.2643750829447526E-6</v>
      </c>
      <c r="T559" s="18">
        <f t="shared" si="65"/>
        <v>1.5737591638753656E-5</v>
      </c>
      <c r="U559" s="18">
        <f t="shared" si="66"/>
        <v>3.8341636354743969E-6</v>
      </c>
    </row>
    <row r="560" spans="15:21" x14ac:dyDescent="0.25">
      <c r="O560" s="15">
        <v>546</v>
      </c>
      <c r="P560" s="15">
        <f t="shared" si="67"/>
        <v>5.5531406201194483E-2</v>
      </c>
      <c r="Q560" s="15">
        <f t="shared" si="68"/>
        <v>5.55314062014787E-2</v>
      </c>
      <c r="R560" s="15">
        <f t="shared" si="63"/>
        <v>5.5531406201336592E-2</v>
      </c>
      <c r="S560" s="18">
        <f t="shared" si="64"/>
        <v>-8.2643750829447526E-6</v>
      </c>
      <c r="T560" s="18">
        <f t="shared" si="65"/>
        <v>3.8341636354743969E-6</v>
      </c>
      <c r="U560" s="18">
        <f t="shared" si="66"/>
        <v>-2.2141739464132115E-6</v>
      </c>
    </row>
    <row r="561" spans="15:21" x14ac:dyDescent="0.25">
      <c r="O561" s="15">
        <v>547</v>
      </c>
      <c r="P561" s="15">
        <f t="shared" si="67"/>
        <v>5.5531406201336592E-2</v>
      </c>
      <c r="Q561" s="15">
        <f t="shared" si="68"/>
        <v>5.55314062014787E-2</v>
      </c>
      <c r="R561" s="15">
        <f t="shared" si="63"/>
        <v>5.5531406201407646E-2</v>
      </c>
      <c r="S561" s="18">
        <f t="shared" si="64"/>
        <v>-2.2141739464132115E-6</v>
      </c>
      <c r="T561" s="18">
        <f t="shared" si="65"/>
        <v>3.8341636354743969E-6</v>
      </c>
      <c r="U561" s="18">
        <f t="shared" si="66"/>
        <v>7.1383738031727262E-7</v>
      </c>
    </row>
    <row r="562" spans="15:21" x14ac:dyDescent="0.25">
      <c r="O562" s="15">
        <v>548</v>
      </c>
      <c r="P562" s="15">
        <f t="shared" si="67"/>
        <v>5.5531406201336592E-2</v>
      </c>
      <c r="Q562" s="15">
        <f t="shared" si="68"/>
        <v>5.5531406201407646E-2</v>
      </c>
      <c r="R562" s="15">
        <f t="shared" si="63"/>
        <v>5.5531406201372119E-2</v>
      </c>
      <c r="S562" s="18">
        <f t="shared" si="64"/>
        <v>-2.2141739464132115E-6</v>
      </c>
      <c r="T562" s="18">
        <f t="shared" si="65"/>
        <v>7.1383738031727262E-7</v>
      </c>
      <c r="U562" s="18">
        <f t="shared" si="66"/>
        <v>-6.5354470279999077E-7</v>
      </c>
    </row>
    <row r="563" spans="15:21" x14ac:dyDescent="0.25">
      <c r="O563" s="15">
        <v>549</v>
      </c>
      <c r="P563" s="15">
        <f t="shared" si="67"/>
        <v>5.5531406201372119E-2</v>
      </c>
      <c r="Q563" s="15">
        <f t="shared" si="68"/>
        <v>5.5531406201407646E-2</v>
      </c>
      <c r="R563" s="15">
        <f t="shared" si="63"/>
        <v>5.5531406201389882E-2</v>
      </c>
      <c r="S563" s="18">
        <f t="shared" si="64"/>
        <v>-6.5354470279999077E-7</v>
      </c>
      <c r="T563" s="18">
        <f t="shared" si="65"/>
        <v>7.1383738031727262E-7</v>
      </c>
      <c r="U563" s="18">
        <f t="shared" si="66"/>
        <v>3.0612227419624105E-8</v>
      </c>
    </row>
    <row r="564" spans="15:21" x14ac:dyDescent="0.25">
      <c r="O564" s="15">
        <v>550</v>
      </c>
      <c r="P564" s="15">
        <f t="shared" si="67"/>
        <v>5.5531406201372119E-2</v>
      </c>
      <c r="Q564" s="15">
        <f t="shared" si="68"/>
        <v>5.5531406201389882E-2</v>
      </c>
      <c r="R564" s="15">
        <f t="shared" si="63"/>
        <v>5.5531406201381001E-2</v>
      </c>
      <c r="S564" s="18">
        <f t="shared" si="64"/>
        <v>-6.5354470279999077E-7</v>
      </c>
      <c r="T564" s="18">
        <f t="shared" si="65"/>
        <v>3.0612227419624105E-8</v>
      </c>
      <c r="U564" s="18">
        <f t="shared" si="66"/>
        <v>-3.1053423299454153E-7</v>
      </c>
    </row>
    <row r="565" spans="15:21" x14ac:dyDescent="0.25">
      <c r="O565" s="15">
        <v>551</v>
      </c>
      <c r="P565" s="15">
        <f t="shared" si="67"/>
        <v>5.5531406201381001E-2</v>
      </c>
      <c r="Q565" s="15">
        <f t="shared" si="68"/>
        <v>5.5531406201389882E-2</v>
      </c>
      <c r="R565" s="15">
        <f t="shared" si="63"/>
        <v>5.5531406201385441E-2</v>
      </c>
      <c r="S565" s="18">
        <f t="shared" si="64"/>
        <v>-3.1053423299454153E-7</v>
      </c>
      <c r="T565" s="18">
        <f t="shared" si="65"/>
        <v>3.0612227419624105E-8</v>
      </c>
      <c r="U565" s="18">
        <f t="shared" si="66"/>
        <v>-2.3821530703571625E-7</v>
      </c>
    </row>
    <row r="566" spans="15:21" x14ac:dyDescent="0.25">
      <c r="O566" s="15">
        <v>552</v>
      </c>
      <c r="P566" s="15">
        <f t="shared" si="67"/>
        <v>5.5531406201385441E-2</v>
      </c>
      <c r="Q566" s="15">
        <f t="shared" si="68"/>
        <v>5.5531406201389882E-2</v>
      </c>
      <c r="R566" s="15">
        <f t="shared" si="63"/>
        <v>5.5531406201387662E-2</v>
      </c>
      <c r="S566" s="18">
        <f t="shared" si="64"/>
        <v>-2.3821530703571625E-7</v>
      </c>
      <c r="T566" s="18">
        <f t="shared" si="65"/>
        <v>3.0612227419624105E-8</v>
      </c>
      <c r="U566" s="18">
        <f t="shared" si="66"/>
        <v>-1.0403437045169994E-7</v>
      </c>
    </row>
    <row r="567" spans="15:21" x14ac:dyDescent="0.25">
      <c r="O567" s="15">
        <v>553</v>
      </c>
      <c r="P567" s="15">
        <f t="shared" si="67"/>
        <v>5.5531406201387662E-2</v>
      </c>
      <c r="Q567" s="15">
        <f t="shared" si="68"/>
        <v>5.5531406201389882E-2</v>
      </c>
      <c r="R567" s="15">
        <f t="shared" si="63"/>
        <v>5.5531406201388772E-2</v>
      </c>
      <c r="S567" s="18">
        <f t="shared" si="64"/>
        <v>-1.0403437045169994E-7</v>
      </c>
      <c r="T567" s="18">
        <f t="shared" si="65"/>
        <v>3.0612227419624105E-8</v>
      </c>
      <c r="U567" s="18">
        <f t="shared" si="66"/>
        <v>6.1310856835916638E-8</v>
      </c>
    </row>
    <row r="568" spans="15:21" x14ac:dyDescent="0.25">
      <c r="O568" s="15">
        <v>554</v>
      </c>
      <c r="P568" s="15">
        <f t="shared" si="67"/>
        <v>5.5531406201387662E-2</v>
      </c>
      <c r="Q568" s="15">
        <f t="shared" si="68"/>
        <v>5.5531406201388772E-2</v>
      </c>
      <c r="R568" s="15">
        <f t="shared" si="63"/>
        <v>5.5531406201388217E-2</v>
      </c>
      <c r="S568" s="18">
        <f t="shared" si="64"/>
        <v>-1.0403437045169994E-7</v>
      </c>
      <c r="T568" s="18">
        <f t="shared" si="65"/>
        <v>6.1310856835916638E-8</v>
      </c>
      <c r="U568" s="18">
        <f t="shared" si="66"/>
        <v>-1.2310601960052736E-7</v>
      </c>
    </row>
    <row r="569" spans="15:21" x14ac:dyDescent="0.25">
      <c r="O569" s="15">
        <v>555</v>
      </c>
      <c r="P569" s="15">
        <f t="shared" si="67"/>
        <v>5.5531406201388217E-2</v>
      </c>
      <c r="Q569" s="15">
        <f t="shared" si="68"/>
        <v>5.5531406201388772E-2</v>
      </c>
      <c r="R569" s="15">
        <f t="shared" si="63"/>
        <v>5.5531406201388495E-2</v>
      </c>
      <c r="S569" s="18">
        <f t="shared" si="64"/>
        <v>-1.2310601960052736E-7</v>
      </c>
      <c r="T569" s="18">
        <f t="shared" si="65"/>
        <v>6.1310856835916638E-8</v>
      </c>
      <c r="U569" s="18">
        <f t="shared" si="66"/>
        <v>-1.3054977898718789E-7</v>
      </c>
    </row>
    <row r="570" spans="15:21" x14ac:dyDescent="0.25">
      <c r="O570" s="15">
        <v>556</v>
      </c>
      <c r="P570" s="15">
        <f t="shared" si="67"/>
        <v>5.5531406201388495E-2</v>
      </c>
      <c r="Q570" s="15">
        <f t="shared" si="68"/>
        <v>5.5531406201388772E-2</v>
      </c>
      <c r="R570" s="15">
        <f t="shared" si="63"/>
        <v>5.5531406201388633E-2</v>
      </c>
      <c r="S570" s="18">
        <f t="shared" si="64"/>
        <v>-1.3054977898718789E-7</v>
      </c>
      <c r="T570" s="18">
        <f t="shared" si="65"/>
        <v>6.1310856835916638E-8</v>
      </c>
      <c r="U570" s="18">
        <f t="shared" si="66"/>
        <v>6.1310856835916638E-8</v>
      </c>
    </row>
    <row r="571" spans="15:21" x14ac:dyDescent="0.25">
      <c r="O571" s="15">
        <v>557</v>
      </c>
      <c r="P571" s="15">
        <f t="shared" si="67"/>
        <v>5.5531406201388495E-2</v>
      </c>
      <c r="Q571" s="15">
        <f t="shared" si="68"/>
        <v>5.5531406201388633E-2</v>
      </c>
      <c r="R571" s="15">
        <f t="shared" si="63"/>
        <v>5.5531406201388564E-2</v>
      </c>
      <c r="S571" s="18">
        <f t="shared" si="64"/>
        <v>-1.3054977898718789E-7</v>
      </c>
      <c r="T571" s="18">
        <f t="shared" si="65"/>
        <v>6.1310856835916638E-8</v>
      </c>
      <c r="U571" s="18">
        <f t="shared" si="66"/>
        <v>-1.3054977898718789E-7</v>
      </c>
    </row>
    <row r="572" spans="15:21" x14ac:dyDescent="0.25">
      <c r="O572" s="15">
        <v>558</v>
      </c>
      <c r="P572" s="15">
        <f t="shared" si="67"/>
        <v>5.5531406201388564E-2</v>
      </c>
      <c r="Q572" s="15">
        <f t="shared" si="68"/>
        <v>5.5531406201388633E-2</v>
      </c>
      <c r="R572" s="15">
        <f t="shared" si="63"/>
        <v>5.5531406201388599E-2</v>
      </c>
      <c r="S572" s="18">
        <f t="shared" si="64"/>
        <v>-1.3054977898718789E-7</v>
      </c>
      <c r="T572" s="18">
        <f t="shared" si="65"/>
        <v>6.1310856835916638E-8</v>
      </c>
      <c r="U572" s="18">
        <f t="shared" si="66"/>
        <v>-1.3054977898718789E-7</v>
      </c>
    </row>
    <row r="573" spans="15:21" x14ac:dyDescent="0.25">
      <c r="O573" s="15">
        <v>559</v>
      </c>
      <c r="P573" s="15">
        <f t="shared" si="67"/>
        <v>5.5531406201388599E-2</v>
      </c>
      <c r="Q573" s="15">
        <f t="shared" si="68"/>
        <v>5.5531406201388633E-2</v>
      </c>
      <c r="R573" s="15">
        <f t="shared" si="63"/>
        <v>5.5531406201388619E-2</v>
      </c>
      <c r="S573" s="18">
        <f t="shared" si="64"/>
        <v>-1.3054977898718789E-7</v>
      </c>
      <c r="T573" s="18">
        <f t="shared" si="65"/>
        <v>6.1310856835916638E-8</v>
      </c>
      <c r="U573" s="18">
        <f t="shared" si="66"/>
        <v>-1.3054977898718789E-7</v>
      </c>
    </row>
    <row r="574" spans="15:21" x14ac:dyDescent="0.25">
      <c r="O574" s="15">
        <v>560</v>
      </c>
      <c r="P574" s="15">
        <f t="shared" si="67"/>
        <v>5.5531406201388619E-2</v>
      </c>
      <c r="Q574" s="15">
        <f t="shared" si="68"/>
        <v>5.5531406201388633E-2</v>
      </c>
      <c r="R574" s="15">
        <f t="shared" si="63"/>
        <v>5.5531406201388626E-2</v>
      </c>
      <c r="S574" s="18">
        <f t="shared" si="64"/>
        <v>-1.3054977898718789E-7</v>
      </c>
      <c r="T574" s="18">
        <f t="shared" si="65"/>
        <v>6.1310856835916638E-8</v>
      </c>
      <c r="U574" s="18">
        <f t="shared" si="66"/>
        <v>-1.3054977898718789E-7</v>
      </c>
    </row>
    <row r="575" spans="15:21" x14ac:dyDescent="0.25">
      <c r="O575" s="15">
        <v>561</v>
      </c>
      <c r="P575" s="15">
        <f t="shared" si="67"/>
        <v>5.5531406201388626E-2</v>
      </c>
      <c r="Q575" s="15">
        <f t="shared" si="68"/>
        <v>5.5531406201388633E-2</v>
      </c>
      <c r="R575" s="15">
        <f t="shared" si="63"/>
        <v>5.5531406201388633E-2</v>
      </c>
      <c r="S575" s="18">
        <f t="shared" si="64"/>
        <v>-1.3054977898718789E-7</v>
      </c>
      <c r="T575" s="18">
        <f t="shared" si="65"/>
        <v>6.1310856835916638E-8</v>
      </c>
      <c r="U575" s="18">
        <f t="shared" si="66"/>
        <v>6.1310856835916638E-8</v>
      </c>
    </row>
    <row r="576" spans="15:21" x14ac:dyDescent="0.25">
      <c r="O576" s="15">
        <v>562</v>
      </c>
      <c r="P576" s="15">
        <f t="shared" si="67"/>
        <v>5.5531406201388626E-2</v>
      </c>
      <c r="Q576" s="15">
        <f t="shared" si="68"/>
        <v>5.5531406201388633E-2</v>
      </c>
      <c r="R576" s="15">
        <f t="shared" si="63"/>
        <v>5.5531406201388633E-2</v>
      </c>
      <c r="S576" s="18">
        <f t="shared" si="64"/>
        <v>-1.3054977898718789E-7</v>
      </c>
      <c r="T576" s="18">
        <f t="shared" si="65"/>
        <v>6.1310856835916638E-8</v>
      </c>
      <c r="U576" s="18">
        <f t="shared" si="66"/>
        <v>6.1310856835916638E-8</v>
      </c>
    </row>
    <row r="577" spans="15:21" x14ac:dyDescent="0.25">
      <c r="O577" s="15">
        <v>563</v>
      </c>
      <c r="P577" s="15">
        <f t="shared" si="67"/>
        <v>5.5531406201388626E-2</v>
      </c>
      <c r="Q577" s="15">
        <f t="shared" si="68"/>
        <v>5.5531406201388633E-2</v>
      </c>
      <c r="R577" s="15">
        <f t="shared" si="63"/>
        <v>5.5531406201388633E-2</v>
      </c>
      <c r="S577" s="18">
        <f t="shared" si="64"/>
        <v>-1.3054977898718789E-7</v>
      </c>
      <c r="T577" s="18">
        <f t="shared" si="65"/>
        <v>6.1310856835916638E-8</v>
      </c>
      <c r="U577" s="18">
        <f t="shared" si="66"/>
        <v>6.1310856835916638E-8</v>
      </c>
    </row>
    <row r="578" spans="15:21" x14ac:dyDescent="0.25">
      <c r="O578" s="15">
        <v>564</v>
      </c>
      <c r="P578" s="15">
        <f t="shared" si="67"/>
        <v>5.5531406201388626E-2</v>
      </c>
      <c r="Q578" s="15">
        <f t="shared" si="68"/>
        <v>5.5531406201388633E-2</v>
      </c>
      <c r="R578" s="15">
        <f t="shared" si="63"/>
        <v>5.5531406201388633E-2</v>
      </c>
      <c r="S578" s="18">
        <f t="shared" si="64"/>
        <v>-1.3054977898718789E-7</v>
      </c>
      <c r="T578" s="18">
        <f t="shared" si="65"/>
        <v>6.1310856835916638E-8</v>
      </c>
      <c r="U578" s="18">
        <f t="shared" si="66"/>
        <v>6.1310856835916638E-8</v>
      </c>
    </row>
    <row r="579" spans="15:21" x14ac:dyDescent="0.25">
      <c r="O579" s="15">
        <v>565</v>
      </c>
      <c r="P579" s="15">
        <f t="shared" si="67"/>
        <v>5.5531406201388626E-2</v>
      </c>
      <c r="Q579" s="15">
        <f t="shared" si="68"/>
        <v>5.5531406201388633E-2</v>
      </c>
      <c r="R579" s="15">
        <f t="shared" ref="R579:R642" si="69">(P579+Q579)/2</f>
        <v>5.5531406201388633E-2</v>
      </c>
      <c r="S579" s="18">
        <f t="shared" ref="S579:S642" si="70">$E$4-$E$10-$E$11*(1+P579)^(-$E$5/$L$9)-$E$13*(1+P579)^(-$H$13/$L$9)-$E$14*(1+P579)^(-$H$14/$L$9) +$E$24*((1-(1+P579)^(-$E$5/$L$9)))/(1-(1+P579)^(1/$L$9))+$E$17*((1-(1+P579)^(-$J$20/$M$4)))/(1-(1+P579)^(1/$M$4))+$E$18*((1-(1+P579)^(-$J$21/$M$5)))/(1-(1+P579)^(1/$M$5))+$E$19*((1-(1+P579)^(-$J$22/$M$6)))/(1-(1+P579)^(1/$M$6))+$E$20*((1-(1+P579)^(-$J$23/$M$7)))/(1-(1+P579)^(1/$M$7))+$E$21*((1-(1+P579)^(-$J$24/$M$8)))/(1-(1+P579)^(1/$M$8))</f>
        <v>-1.3054977898718789E-7</v>
      </c>
      <c r="T579" s="18">
        <f t="shared" ref="T579:T642" si="71">$E$4-$E$10-$E$11*(1+Q579)^(-$E$5/$L$9)-$E$13*(1+Q579)^(-$H$13/$L$9)-$E$14*(1+Q579)^(-$H$14/$L$9) +$E$24*((1-(1+Q579)^(-$E$5/$L$9)))/(1-(1+Q579)^(1/$L$9))+$E$17*((1-(1+Q579)^(-$J$20/$M$4)))/(1-(1+Q579)^(1/$M$4))+$E$18*((1-(1+Q579)^(-$J$21/$M$5)))/(1-(1+Q579)^(1/$M$5))+$E$19*((1-(1+Q579)^(-$J$22/$M$6)))/(1-(1+Q579)^(1/$M$6))+$E$20*((1-(1+Q579)^(-$J$23/$M$7)))/(1-(1+Q579)^(1/$M$7))+$E$21*((1-(1+Q579)^(-$J$24/$M$8)))/(1-(1+Q579)^(1/$M$8))</f>
        <v>6.1310856835916638E-8</v>
      </c>
      <c r="U579" s="18">
        <f t="shared" ref="U579:U642" si="72">$E$4-$E$10-$E$11*(1+R579)^(-$E$5/$L$9)-$E$13*(1+R579)^(-$H$13/$L$9)-$E$14*(1+R579)^(-$H$14/$L$9) +$E$24*((1-(1+R579)^(-$E$5/$L$9)))/(1-(1+R579)^(1/$L$9))+$E$17*((1-(1+R579)^(-$J$20/$M$4)))/(1-(1+R579)^(1/$M$4))+$E$18*((1-(1+R579)^(-$J$21/$M$5)))/(1-(1+R579)^(1/$M$5))+$E$19*((1-(1+R579)^(-$J$22/$M$6)))/(1-(1+R579)^(1/$M$6))+$E$20*((1-(1+R579)^(-$J$23/$M$7)))/(1-(1+R579)^(1/$M$7))+$E$21*((1-(1+R579)^(-$J$24/$M$8)))/(1-(1+R579)^(1/$M$8))</f>
        <v>6.1310856835916638E-8</v>
      </c>
    </row>
    <row r="580" spans="15:21" x14ac:dyDescent="0.25">
      <c r="O580" s="15">
        <v>566</v>
      </c>
      <c r="P580" s="15">
        <f t="shared" ref="P580:P614" si="73">IF(S579*U579&gt;=0,R579,P579)</f>
        <v>5.5531406201388626E-2</v>
      </c>
      <c r="Q580" s="15">
        <f t="shared" ref="Q580:Q614" si="74">IF(T579*U579&gt;=0,R579,Q579)</f>
        <v>5.5531406201388633E-2</v>
      </c>
      <c r="R580" s="15">
        <f t="shared" si="69"/>
        <v>5.5531406201388633E-2</v>
      </c>
      <c r="S580" s="18">
        <f t="shared" si="70"/>
        <v>-1.3054977898718789E-7</v>
      </c>
      <c r="T580" s="18">
        <f t="shared" si="71"/>
        <v>6.1310856835916638E-8</v>
      </c>
      <c r="U580" s="18">
        <f t="shared" si="72"/>
        <v>6.1310856835916638E-8</v>
      </c>
    </row>
    <row r="581" spans="15:21" x14ac:dyDescent="0.25">
      <c r="O581" s="15">
        <v>567</v>
      </c>
      <c r="P581" s="15">
        <f t="shared" si="73"/>
        <v>5.5531406201388626E-2</v>
      </c>
      <c r="Q581" s="15">
        <f t="shared" si="74"/>
        <v>5.5531406201388633E-2</v>
      </c>
      <c r="R581" s="15">
        <f t="shared" si="69"/>
        <v>5.5531406201388633E-2</v>
      </c>
      <c r="S581" s="18">
        <f t="shared" si="70"/>
        <v>-1.3054977898718789E-7</v>
      </c>
      <c r="T581" s="18">
        <f t="shared" si="71"/>
        <v>6.1310856835916638E-8</v>
      </c>
      <c r="U581" s="18">
        <f t="shared" si="72"/>
        <v>6.1310856835916638E-8</v>
      </c>
    </row>
    <row r="582" spans="15:21" x14ac:dyDescent="0.25">
      <c r="O582" s="15">
        <v>568</v>
      </c>
      <c r="P582" s="15">
        <f t="shared" si="73"/>
        <v>5.5531406201388626E-2</v>
      </c>
      <c r="Q582" s="15">
        <f t="shared" si="74"/>
        <v>5.5531406201388633E-2</v>
      </c>
      <c r="R582" s="15">
        <f t="shared" si="69"/>
        <v>5.5531406201388633E-2</v>
      </c>
      <c r="S582" s="18">
        <f t="shared" si="70"/>
        <v>-1.3054977898718789E-7</v>
      </c>
      <c r="T582" s="18">
        <f t="shared" si="71"/>
        <v>6.1310856835916638E-8</v>
      </c>
      <c r="U582" s="18">
        <f t="shared" si="72"/>
        <v>6.1310856835916638E-8</v>
      </c>
    </row>
    <row r="583" spans="15:21" x14ac:dyDescent="0.25">
      <c r="O583" s="15">
        <v>569</v>
      </c>
      <c r="P583" s="15">
        <f t="shared" si="73"/>
        <v>5.5531406201388626E-2</v>
      </c>
      <c r="Q583" s="15">
        <f t="shared" si="74"/>
        <v>5.5531406201388633E-2</v>
      </c>
      <c r="R583" s="15">
        <f t="shared" si="69"/>
        <v>5.5531406201388633E-2</v>
      </c>
      <c r="S583" s="18">
        <f t="shared" si="70"/>
        <v>-1.3054977898718789E-7</v>
      </c>
      <c r="T583" s="18">
        <f t="shared" si="71"/>
        <v>6.1310856835916638E-8</v>
      </c>
      <c r="U583" s="18">
        <f t="shared" si="72"/>
        <v>6.1310856835916638E-8</v>
      </c>
    </row>
    <row r="584" spans="15:21" x14ac:dyDescent="0.25">
      <c r="O584" s="15">
        <v>570</v>
      </c>
      <c r="P584" s="15">
        <f t="shared" si="73"/>
        <v>5.5531406201388626E-2</v>
      </c>
      <c r="Q584" s="15">
        <f t="shared" si="74"/>
        <v>5.5531406201388633E-2</v>
      </c>
      <c r="R584" s="15">
        <f t="shared" si="69"/>
        <v>5.5531406201388633E-2</v>
      </c>
      <c r="S584" s="18">
        <f t="shared" si="70"/>
        <v>-1.3054977898718789E-7</v>
      </c>
      <c r="T584" s="18">
        <f t="shared" si="71"/>
        <v>6.1310856835916638E-8</v>
      </c>
      <c r="U584" s="18">
        <f t="shared" si="72"/>
        <v>6.1310856835916638E-8</v>
      </c>
    </row>
    <row r="585" spans="15:21" x14ac:dyDescent="0.25">
      <c r="O585" s="15">
        <v>571</v>
      </c>
      <c r="P585" s="15">
        <f t="shared" si="73"/>
        <v>5.5531406201388626E-2</v>
      </c>
      <c r="Q585" s="15">
        <f t="shared" si="74"/>
        <v>5.5531406201388633E-2</v>
      </c>
      <c r="R585" s="15">
        <f t="shared" si="69"/>
        <v>5.5531406201388633E-2</v>
      </c>
      <c r="S585" s="18">
        <f t="shared" si="70"/>
        <v>-1.3054977898718789E-7</v>
      </c>
      <c r="T585" s="18">
        <f t="shared" si="71"/>
        <v>6.1310856835916638E-8</v>
      </c>
      <c r="U585" s="18">
        <f t="shared" si="72"/>
        <v>6.1310856835916638E-8</v>
      </c>
    </row>
    <row r="586" spans="15:21" x14ac:dyDescent="0.25">
      <c r="O586" s="15">
        <v>572</v>
      </c>
      <c r="P586" s="15">
        <f t="shared" si="73"/>
        <v>5.5531406201388626E-2</v>
      </c>
      <c r="Q586" s="15">
        <f t="shared" si="74"/>
        <v>5.5531406201388633E-2</v>
      </c>
      <c r="R586" s="15">
        <f t="shared" si="69"/>
        <v>5.5531406201388633E-2</v>
      </c>
      <c r="S586" s="18">
        <f t="shared" si="70"/>
        <v>-1.3054977898718789E-7</v>
      </c>
      <c r="T586" s="18">
        <f t="shared" si="71"/>
        <v>6.1310856835916638E-8</v>
      </c>
      <c r="U586" s="18">
        <f t="shared" si="72"/>
        <v>6.1310856835916638E-8</v>
      </c>
    </row>
    <row r="587" spans="15:21" x14ac:dyDescent="0.25">
      <c r="O587" s="15">
        <v>573</v>
      </c>
      <c r="P587" s="15">
        <f t="shared" si="73"/>
        <v>5.5531406201388626E-2</v>
      </c>
      <c r="Q587" s="15">
        <f t="shared" si="74"/>
        <v>5.5531406201388633E-2</v>
      </c>
      <c r="R587" s="15">
        <f t="shared" si="69"/>
        <v>5.5531406201388633E-2</v>
      </c>
      <c r="S587" s="18">
        <f t="shared" si="70"/>
        <v>-1.3054977898718789E-7</v>
      </c>
      <c r="T587" s="18">
        <f t="shared" si="71"/>
        <v>6.1310856835916638E-8</v>
      </c>
      <c r="U587" s="18">
        <f t="shared" si="72"/>
        <v>6.1310856835916638E-8</v>
      </c>
    </row>
    <row r="588" spans="15:21" x14ac:dyDescent="0.25">
      <c r="O588" s="15">
        <v>574</v>
      </c>
      <c r="P588" s="15">
        <f t="shared" si="73"/>
        <v>5.5531406201388626E-2</v>
      </c>
      <c r="Q588" s="15">
        <f t="shared" si="74"/>
        <v>5.5531406201388633E-2</v>
      </c>
      <c r="R588" s="15">
        <f t="shared" si="69"/>
        <v>5.5531406201388633E-2</v>
      </c>
      <c r="S588" s="18">
        <f t="shared" si="70"/>
        <v>-1.3054977898718789E-7</v>
      </c>
      <c r="T588" s="18">
        <f t="shared" si="71"/>
        <v>6.1310856835916638E-8</v>
      </c>
      <c r="U588" s="18">
        <f t="shared" si="72"/>
        <v>6.1310856835916638E-8</v>
      </c>
    </row>
    <row r="589" spans="15:21" x14ac:dyDescent="0.25">
      <c r="O589" s="15">
        <v>575</v>
      </c>
      <c r="P589" s="15">
        <f t="shared" si="73"/>
        <v>5.5531406201388626E-2</v>
      </c>
      <c r="Q589" s="15">
        <f t="shared" si="74"/>
        <v>5.5531406201388633E-2</v>
      </c>
      <c r="R589" s="15">
        <f t="shared" si="69"/>
        <v>5.5531406201388633E-2</v>
      </c>
      <c r="S589" s="18">
        <f t="shared" si="70"/>
        <v>-1.3054977898718789E-7</v>
      </c>
      <c r="T589" s="18">
        <f t="shared" si="71"/>
        <v>6.1310856835916638E-8</v>
      </c>
      <c r="U589" s="18">
        <f t="shared" si="72"/>
        <v>6.1310856835916638E-8</v>
      </c>
    </row>
    <row r="590" spans="15:21" x14ac:dyDescent="0.25">
      <c r="O590" s="15">
        <v>576</v>
      </c>
      <c r="P590" s="15">
        <f t="shared" si="73"/>
        <v>5.5531406201388626E-2</v>
      </c>
      <c r="Q590" s="15">
        <f t="shared" si="74"/>
        <v>5.5531406201388633E-2</v>
      </c>
      <c r="R590" s="15">
        <f t="shared" si="69"/>
        <v>5.5531406201388633E-2</v>
      </c>
      <c r="S590" s="18">
        <f t="shared" si="70"/>
        <v>-1.3054977898718789E-7</v>
      </c>
      <c r="T590" s="18">
        <f t="shared" si="71"/>
        <v>6.1310856835916638E-8</v>
      </c>
      <c r="U590" s="18">
        <f t="shared" si="72"/>
        <v>6.1310856835916638E-8</v>
      </c>
    </row>
    <row r="591" spans="15:21" x14ac:dyDescent="0.25">
      <c r="O591" s="15">
        <v>577</v>
      </c>
      <c r="P591" s="15">
        <f t="shared" si="73"/>
        <v>5.5531406201388626E-2</v>
      </c>
      <c r="Q591" s="15">
        <f t="shared" si="74"/>
        <v>5.5531406201388633E-2</v>
      </c>
      <c r="R591" s="15">
        <f t="shared" si="69"/>
        <v>5.5531406201388633E-2</v>
      </c>
      <c r="S591" s="18">
        <f t="shared" si="70"/>
        <v>-1.3054977898718789E-7</v>
      </c>
      <c r="T591" s="18">
        <f t="shared" si="71"/>
        <v>6.1310856835916638E-8</v>
      </c>
      <c r="U591" s="18">
        <f t="shared" si="72"/>
        <v>6.1310856835916638E-8</v>
      </c>
    </row>
    <row r="592" spans="15:21" x14ac:dyDescent="0.25">
      <c r="O592" s="15">
        <v>578</v>
      </c>
      <c r="P592" s="15">
        <f t="shared" si="73"/>
        <v>5.5531406201388626E-2</v>
      </c>
      <c r="Q592" s="15">
        <f t="shared" si="74"/>
        <v>5.5531406201388633E-2</v>
      </c>
      <c r="R592" s="15">
        <f t="shared" si="69"/>
        <v>5.5531406201388633E-2</v>
      </c>
      <c r="S592" s="18">
        <f t="shared" si="70"/>
        <v>-1.3054977898718789E-7</v>
      </c>
      <c r="T592" s="18">
        <f t="shared" si="71"/>
        <v>6.1310856835916638E-8</v>
      </c>
      <c r="U592" s="18">
        <f t="shared" si="72"/>
        <v>6.1310856835916638E-8</v>
      </c>
    </row>
    <row r="593" spans="15:21" x14ac:dyDescent="0.25">
      <c r="O593" s="15">
        <v>579</v>
      </c>
      <c r="P593" s="15">
        <f t="shared" si="73"/>
        <v>5.5531406201388626E-2</v>
      </c>
      <c r="Q593" s="15">
        <f t="shared" si="74"/>
        <v>5.5531406201388633E-2</v>
      </c>
      <c r="R593" s="15">
        <f t="shared" si="69"/>
        <v>5.5531406201388633E-2</v>
      </c>
      <c r="S593" s="18">
        <f t="shared" si="70"/>
        <v>-1.3054977898718789E-7</v>
      </c>
      <c r="T593" s="18">
        <f t="shared" si="71"/>
        <v>6.1310856835916638E-8</v>
      </c>
      <c r="U593" s="18">
        <f t="shared" si="72"/>
        <v>6.1310856835916638E-8</v>
      </c>
    </row>
    <row r="594" spans="15:21" x14ac:dyDescent="0.25">
      <c r="O594" s="15">
        <v>580</v>
      </c>
      <c r="P594" s="15">
        <f t="shared" si="73"/>
        <v>5.5531406201388626E-2</v>
      </c>
      <c r="Q594" s="15">
        <f t="shared" si="74"/>
        <v>5.5531406201388633E-2</v>
      </c>
      <c r="R594" s="15">
        <f t="shared" si="69"/>
        <v>5.5531406201388633E-2</v>
      </c>
      <c r="S594" s="18">
        <f t="shared" si="70"/>
        <v>-1.3054977898718789E-7</v>
      </c>
      <c r="T594" s="18">
        <f t="shared" si="71"/>
        <v>6.1310856835916638E-8</v>
      </c>
      <c r="U594" s="18">
        <f t="shared" si="72"/>
        <v>6.1310856835916638E-8</v>
      </c>
    </row>
    <row r="595" spans="15:21" x14ac:dyDescent="0.25">
      <c r="O595" s="15">
        <v>581</v>
      </c>
      <c r="P595" s="15">
        <f t="shared" si="73"/>
        <v>5.5531406201388626E-2</v>
      </c>
      <c r="Q595" s="15">
        <f t="shared" si="74"/>
        <v>5.5531406201388633E-2</v>
      </c>
      <c r="R595" s="15">
        <f t="shared" si="69"/>
        <v>5.5531406201388633E-2</v>
      </c>
      <c r="S595" s="18">
        <f t="shared" si="70"/>
        <v>-1.3054977898718789E-7</v>
      </c>
      <c r="T595" s="18">
        <f t="shared" si="71"/>
        <v>6.1310856835916638E-8</v>
      </c>
      <c r="U595" s="18">
        <f t="shared" si="72"/>
        <v>6.1310856835916638E-8</v>
      </c>
    </row>
    <row r="596" spans="15:21" x14ac:dyDescent="0.25">
      <c r="O596" s="15">
        <v>582</v>
      </c>
      <c r="P596" s="15">
        <f t="shared" si="73"/>
        <v>5.5531406201388626E-2</v>
      </c>
      <c r="Q596" s="15">
        <f t="shared" si="74"/>
        <v>5.5531406201388633E-2</v>
      </c>
      <c r="R596" s="15">
        <f t="shared" si="69"/>
        <v>5.5531406201388633E-2</v>
      </c>
      <c r="S596" s="18">
        <f t="shared" si="70"/>
        <v>-1.3054977898718789E-7</v>
      </c>
      <c r="T596" s="18">
        <f t="shared" si="71"/>
        <v>6.1310856835916638E-8</v>
      </c>
      <c r="U596" s="18">
        <f t="shared" si="72"/>
        <v>6.1310856835916638E-8</v>
      </c>
    </row>
    <row r="597" spans="15:21" x14ac:dyDescent="0.25">
      <c r="O597" s="15">
        <v>583</v>
      </c>
      <c r="P597" s="15">
        <f t="shared" si="73"/>
        <v>5.5531406201388626E-2</v>
      </c>
      <c r="Q597" s="15">
        <f t="shared" si="74"/>
        <v>5.5531406201388633E-2</v>
      </c>
      <c r="R597" s="15">
        <f t="shared" si="69"/>
        <v>5.5531406201388633E-2</v>
      </c>
      <c r="S597" s="18">
        <f t="shared" si="70"/>
        <v>-1.3054977898718789E-7</v>
      </c>
      <c r="T597" s="18">
        <f t="shared" si="71"/>
        <v>6.1310856835916638E-8</v>
      </c>
      <c r="U597" s="18">
        <f t="shared" si="72"/>
        <v>6.1310856835916638E-8</v>
      </c>
    </row>
    <row r="598" spans="15:21" x14ac:dyDescent="0.25">
      <c r="O598" s="15">
        <v>584</v>
      </c>
      <c r="P598" s="15">
        <f t="shared" si="73"/>
        <v>5.5531406201388626E-2</v>
      </c>
      <c r="Q598" s="15">
        <f t="shared" si="74"/>
        <v>5.5531406201388633E-2</v>
      </c>
      <c r="R598" s="15">
        <f t="shared" si="69"/>
        <v>5.5531406201388633E-2</v>
      </c>
      <c r="S598" s="18">
        <f t="shared" si="70"/>
        <v>-1.3054977898718789E-7</v>
      </c>
      <c r="T598" s="18">
        <f t="shared" si="71"/>
        <v>6.1310856835916638E-8</v>
      </c>
      <c r="U598" s="18">
        <f t="shared" si="72"/>
        <v>6.1310856835916638E-8</v>
      </c>
    </row>
    <row r="599" spans="15:21" x14ac:dyDescent="0.25">
      <c r="O599" s="15">
        <v>585</v>
      </c>
      <c r="P599" s="15">
        <f t="shared" si="73"/>
        <v>5.5531406201388626E-2</v>
      </c>
      <c r="Q599" s="15">
        <f t="shared" si="74"/>
        <v>5.5531406201388633E-2</v>
      </c>
      <c r="R599" s="15">
        <f t="shared" si="69"/>
        <v>5.5531406201388633E-2</v>
      </c>
      <c r="S599" s="18">
        <f t="shared" si="70"/>
        <v>-1.3054977898718789E-7</v>
      </c>
      <c r="T599" s="18">
        <f t="shared" si="71"/>
        <v>6.1310856835916638E-8</v>
      </c>
      <c r="U599" s="18">
        <f t="shared" si="72"/>
        <v>6.1310856835916638E-8</v>
      </c>
    </row>
    <row r="600" spans="15:21" x14ac:dyDescent="0.25">
      <c r="O600" s="15">
        <v>586</v>
      </c>
      <c r="P600" s="15">
        <f t="shared" si="73"/>
        <v>5.5531406201388626E-2</v>
      </c>
      <c r="Q600" s="15">
        <f t="shared" si="74"/>
        <v>5.5531406201388633E-2</v>
      </c>
      <c r="R600" s="15">
        <f t="shared" si="69"/>
        <v>5.5531406201388633E-2</v>
      </c>
      <c r="S600" s="18">
        <f t="shared" si="70"/>
        <v>-1.3054977898718789E-7</v>
      </c>
      <c r="T600" s="18">
        <f t="shared" si="71"/>
        <v>6.1310856835916638E-8</v>
      </c>
      <c r="U600" s="18">
        <f t="shared" si="72"/>
        <v>6.1310856835916638E-8</v>
      </c>
    </row>
    <row r="601" spans="15:21" x14ac:dyDescent="0.25">
      <c r="O601" s="15">
        <v>587</v>
      </c>
      <c r="P601" s="15">
        <f t="shared" si="73"/>
        <v>5.5531406201388626E-2</v>
      </c>
      <c r="Q601" s="15">
        <f t="shared" si="74"/>
        <v>5.5531406201388633E-2</v>
      </c>
      <c r="R601" s="15">
        <f t="shared" si="69"/>
        <v>5.5531406201388633E-2</v>
      </c>
      <c r="S601" s="18">
        <f t="shared" si="70"/>
        <v>-1.3054977898718789E-7</v>
      </c>
      <c r="T601" s="18">
        <f t="shared" si="71"/>
        <v>6.1310856835916638E-8</v>
      </c>
      <c r="U601" s="18">
        <f t="shared" si="72"/>
        <v>6.1310856835916638E-8</v>
      </c>
    </row>
    <row r="602" spans="15:21" x14ac:dyDescent="0.25">
      <c r="O602" s="15">
        <v>588</v>
      </c>
      <c r="P602" s="15">
        <f t="shared" si="73"/>
        <v>5.5531406201388626E-2</v>
      </c>
      <c r="Q602" s="15">
        <f t="shared" si="74"/>
        <v>5.5531406201388633E-2</v>
      </c>
      <c r="R602" s="15">
        <f t="shared" si="69"/>
        <v>5.5531406201388633E-2</v>
      </c>
      <c r="S602" s="18">
        <f t="shared" si="70"/>
        <v>-1.3054977898718789E-7</v>
      </c>
      <c r="T602" s="18">
        <f t="shared" si="71"/>
        <v>6.1310856835916638E-8</v>
      </c>
      <c r="U602" s="18">
        <f t="shared" si="72"/>
        <v>6.1310856835916638E-8</v>
      </c>
    </row>
    <row r="603" spans="15:21" x14ac:dyDescent="0.25">
      <c r="O603" s="15">
        <v>589</v>
      </c>
      <c r="P603" s="15">
        <f t="shared" si="73"/>
        <v>5.5531406201388626E-2</v>
      </c>
      <c r="Q603" s="15">
        <f t="shared" si="74"/>
        <v>5.5531406201388633E-2</v>
      </c>
      <c r="R603" s="15">
        <f t="shared" si="69"/>
        <v>5.5531406201388633E-2</v>
      </c>
      <c r="S603" s="18">
        <f t="shared" si="70"/>
        <v>-1.3054977898718789E-7</v>
      </c>
      <c r="T603" s="18">
        <f t="shared" si="71"/>
        <v>6.1310856835916638E-8</v>
      </c>
      <c r="U603" s="18">
        <f t="shared" si="72"/>
        <v>6.1310856835916638E-8</v>
      </c>
    </row>
    <row r="604" spans="15:21" x14ac:dyDescent="0.25">
      <c r="O604" s="15">
        <v>590</v>
      </c>
      <c r="P604" s="15">
        <f t="shared" si="73"/>
        <v>5.5531406201388626E-2</v>
      </c>
      <c r="Q604" s="15">
        <f t="shared" si="74"/>
        <v>5.5531406201388633E-2</v>
      </c>
      <c r="R604" s="15">
        <f t="shared" si="69"/>
        <v>5.5531406201388633E-2</v>
      </c>
      <c r="S604" s="18">
        <f t="shared" si="70"/>
        <v>-1.3054977898718789E-7</v>
      </c>
      <c r="T604" s="18">
        <f t="shared" si="71"/>
        <v>6.1310856835916638E-8</v>
      </c>
      <c r="U604" s="18">
        <f t="shared" si="72"/>
        <v>6.1310856835916638E-8</v>
      </c>
    </row>
    <row r="605" spans="15:21" x14ac:dyDescent="0.25">
      <c r="O605" s="15">
        <v>591</v>
      </c>
      <c r="P605" s="15">
        <f t="shared" si="73"/>
        <v>5.5531406201388626E-2</v>
      </c>
      <c r="Q605" s="15">
        <f t="shared" si="74"/>
        <v>5.5531406201388633E-2</v>
      </c>
      <c r="R605" s="15">
        <f t="shared" si="69"/>
        <v>5.5531406201388633E-2</v>
      </c>
      <c r="S605" s="18">
        <f t="shared" si="70"/>
        <v>-1.3054977898718789E-7</v>
      </c>
      <c r="T605" s="18">
        <f t="shared" si="71"/>
        <v>6.1310856835916638E-8</v>
      </c>
      <c r="U605" s="18">
        <f t="shared" si="72"/>
        <v>6.1310856835916638E-8</v>
      </c>
    </row>
    <row r="606" spans="15:21" x14ac:dyDescent="0.25">
      <c r="O606" s="15">
        <v>592</v>
      </c>
      <c r="P606" s="15">
        <f t="shared" si="73"/>
        <v>5.5531406201388626E-2</v>
      </c>
      <c r="Q606" s="15">
        <f t="shared" si="74"/>
        <v>5.5531406201388633E-2</v>
      </c>
      <c r="R606" s="15">
        <f t="shared" si="69"/>
        <v>5.5531406201388633E-2</v>
      </c>
      <c r="S606" s="18">
        <f t="shared" si="70"/>
        <v>-1.3054977898718789E-7</v>
      </c>
      <c r="T606" s="18">
        <f t="shared" si="71"/>
        <v>6.1310856835916638E-8</v>
      </c>
      <c r="U606" s="18">
        <f t="shared" si="72"/>
        <v>6.1310856835916638E-8</v>
      </c>
    </row>
    <row r="607" spans="15:21" x14ac:dyDescent="0.25">
      <c r="O607" s="15">
        <v>593</v>
      </c>
      <c r="P607" s="15">
        <f t="shared" si="73"/>
        <v>5.5531406201388626E-2</v>
      </c>
      <c r="Q607" s="15">
        <f t="shared" si="74"/>
        <v>5.5531406201388633E-2</v>
      </c>
      <c r="R607" s="15">
        <f t="shared" si="69"/>
        <v>5.5531406201388633E-2</v>
      </c>
      <c r="S607" s="18">
        <f t="shared" si="70"/>
        <v>-1.3054977898718789E-7</v>
      </c>
      <c r="T607" s="18">
        <f t="shared" si="71"/>
        <v>6.1310856835916638E-8</v>
      </c>
      <c r="U607" s="18">
        <f t="shared" si="72"/>
        <v>6.1310856835916638E-8</v>
      </c>
    </row>
    <row r="608" spans="15:21" x14ac:dyDescent="0.25">
      <c r="O608" s="15">
        <v>594</v>
      </c>
      <c r="P608" s="15">
        <f t="shared" si="73"/>
        <v>5.5531406201388626E-2</v>
      </c>
      <c r="Q608" s="15">
        <f t="shared" si="74"/>
        <v>5.5531406201388633E-2</v>
      </c>
      <c r="R608" s="15">
        <f t="shared" si="69"/>
        <v>5.5531406201388633E-2</v>
      </c>
      <c r="S608" s="18">
        <f t="shared" si="70"/>
        <v>-1.3054977898718789E-7</v>
      </c>
      <c r="T608" s="18">
        <f t="shared" si="71"/>
        <v>6.1310856835916638E-8</v>
      </c>
      <c r="U608" s="18">
        <f t="shared" si="72"/>
        <v>6.1310856835916638E-8</v>
      </c>
    </row>
    <row r="609" spans="15:21" x14ac:dyDescent="0.25">
      <c r="O609" s="15">
        <v>595</v>
      </c>
      <c r="P609" s="15">
        <f t="shared" si="73"/>
        <v>5.5531406201388626E-2</v>
      </c>
      <c r="Q609" s="15">
        <f t="shared" si="74"/>
        <v>5.5531406201388633E-2</v>
      </c>
      <c r="R609" s="15">
        <f t="shared" si="69"/>
        <v>5.5531406201388633E-2</v>
      </c>
      <c r="S609" s="18">
        <f t="shared" si="70"/>
        <v>-1.3054977898718789E-7</v>
      </c>
      <c r="T609" s="18">
        <f t="shared" si="71"/>
        <v>6.1310856835916638E-8</v>
      </c>
      <c r="U609" s="18">
        <f t="shared" si="72"/>
        <v>6.1310856835916638E-8</v>
      </c>
    </row>
    <row r="610" spans="15:21" x14ac:dyDescent="0.25">
      <c r="O610" s="15">
        <v>596</v>
      </c>
      <c r="P610" s="15">
        <f t="shared" si="73"/>
        <v>5.5531406201388626E-2</v>
      </c>
      <c r="Q610" s="15">
        <f t="shared" si="74"/>
        <v>5.5531406201388633E-2</v>
      </c>
      <c r="R610" s="15">
        <f t="shared" si="69"/>
        <v>5.5531406201388633E-2</v>
      </c>
      <c r="S610" s="18">
        <f t="shared" si="70"/>
        <v>-1.3054977898718789E-7</v>
      </c>
      <c r="T610" s="18">
        <f t="shared" si="71"/>
        <v>6.1310856835916638E-8</v>
      </c>
      <c r="U610" s="18">
        <f t="shared" si="72"/>
        <v>6.1310856835916638E-8</v>
      </c>
    </row>
    <row r="611" spans="15:21" x14ac:dyDescent="0.25">
      <c r="O611" s="15">
        <v>597</v>
      </c>
      <c r="P611" s="15">
        <f t="shared" si="73"/>
        <v>5.5531406201388626E-2</v>
      </c>
      <c r="Q611" s="15">
        <f t="shared" si="74"/>
        <v>5.5531406201388633E-2</v>
      </c>
      <c r="R611" s="15">
        <f t="shared" si="69"/>
        <v>5.5531406201388633E-2</v>
      </c>
      <c r="S611" s="18">
        <f t="shared" si="70"/>
        <v>-1.3054977898718789E-7</v>
      </c>
      <c r="T611" s="18">
        <f t="shared" si="71"/>
        <v>6.1310856835916638E-8</v>
      </c>
      <c r="U611" s="18">
        <f t="shared" si="72"/>
        <v>6.1310856835916638E-8</v>
      </c>
    </row>
    <row r="612" spans="15:21" x14ac:dyDescent="0.25">
      <c r="O612" s="15">
        <v>598</v>
      </c>
      <c r="P612" s="15">
        <f t="shared" si="73"/>
        <v>5.5531406201388626E-2</v>
      </c>
      <c r="Q612" s="15">
        <f t="shared" si="74"/>
        <v>5.5531406201388633E-2</v>
      </c>
      <c r="R612" s="15">
        <f t="shared" si="69"/>
        <v>5.5531406201388633E-2</v>
      </c>
      <c r="S612" s="18">
        <f t="shared" si="70"/>
        <v>-1.3054977898718789E-7</v>
      </c>
      <c r="T612" s="18">
        <f t="shared" si="71"/>
        <v>6.1310856835916638E-8</v>
      </c>
      <c r="U612" s="18">
        <f t="shared" si="72"/>
        <v>6.1310856835916638E-8</v>
      </c>
    </row>
    <row r="613" spans="15:21" x14ac:dyDescent="0.25">
      <c r="O613" s="15">
        <v>599</v>
      </c>
      <c r="P613" s="15">
        <f t="shared" si="73"/>
        <v>5.5531406201388626E-2</v>
      </c>
      <c r="Q613" s="15">
        <f t="shared" si="74"/>
        <v>5.5531406201388633E-2</v>
      </c>
      <c r="R613" s="15">
        <f t="shared" si="69"/>
        <v>5.5531406201388633E-2</v>
      </c>
      <c r="S613" s="18">
        <f t="shared" si="70"/>
        <v>-1.3054977898718789E-7</v>
      </c>
      <c r="T613" s="18">
        <f t="shared" si="71"/>
        <v>6.1310856835916638E-8</v>
      </c>
      <c r="U613" s="18">
        <f t="shared" si="72"/>
        <v>6.1310856835916638E-8</v>
      </c>
    </row>
    <row r="614" spans="15:21" x14ac:dyDescent="0.25">
      <c r="O614" s="15">
        <v>600</v>
      </c>
      <c r="P614" s="15">
        <f t="shared" si="73"/>
        <v>5.5531406201388626E-2</v>
      </c>
      <c r="Q614" s="15">
        <f t="shared" si="74"/>
        <v>5.5531406201388633E-2</v>
      </c>
      <c r="R614" s="15">
        <f t="shared" si="69"/>
        <v>5.5531406201388633E-2</v>
      </c>
      <c r="S614" s="18">
        <f t="shared" si="70"/>
        <v>-1.3054977898718789E-7</v>
      </c>
      <c r="T614" s="18">
        <f t="shared" si="71"/>
        <v>6.1310856835916638E-8</v>
      </c>
      <c r="U614" s="18">
        <f t="shared" si="72"/>
        <v>6.1310856835916638E-8</v>
      </c>
    </row>
    <row r="615" spans="15:21" x14ac:dyDescent="0.25">
      <c r="P615" s="15" t="s">
        <v>8</v>
      </c>
    </row>
    <row r="616" spans="15:21" x14ac:dyDescent="0.25">
      <c r="P616" s="15" t="s">
        <v>1</v>
      </c>
      <c r="Q616" s="15" t="s">
        <v>2</v>
      </c>
      <c r="R616" s="15" t="s">
        <v>3</v>
      </c>
      <c r="S616" s="15" t="s">
        <v>4</v>
      </c>
      <c r="T616" s="15" t="s">
        <v>5</v>
      </c>
      <c r="U616" s="15" t="s">
        <v>6</v>
      </c>
    </row>
    <row r="617" spans="15:21" x14ac:dyDescent="0.25">
      <c r="O617" s="15">
        <v>601</v>
      </c>
      <c r="P617" s="15">
        <v>1E-10</v>
      </c>
      <c r="Q617" s="15">
        <v>10</v>
      </c>
      <c r="R617" s="15">
        <f t="shared" ref="R617:R680" si="75">(P617+Q617)/2</f>
        <v>5.00000000005</v>
      </c>
      <c r="S617" s="18">
        <f t="shared" ref="S617:S680" si="76">$E$4-$E$10-$E$11*(1+P617)^(-$E$5/$L$9)-$E$13*(1+P617)^(-$H$13/$L$9)-$E$14*(1+P617)^(-$H$14/$L$9) +$E$24*((1-(1+P617)^(-$E$5/$L$9)))/(1-(1+P617)^(1/$L$9))+$E$17*((1-(1+P617)^(-$J$20/$M$4)))/(1-(1+P617)^(1/$M$4))+$E$18*((1-(1+P617)^(-$J$21/$M$5)))/(1-(1+P617)^(1/$M$5))+$E$19*((1-(1+P617)^(-$J$22/$M$6)))/(1-(1+P617)^(1/$M$6))+$E$20*((1-(1+P617)^(-$J$23/$M$7)))/(1-(1+P617)^(1/$M$7))+$E$21*((1-(1+P617)^(-$J$24/$M$8)))/(1-(1+P617)^(1/$M$8))</f>
        <v>-4096543.402922513</v>
      </c>
      <c r="T617" s="18">
        <f t="shared" ref="T617:T680" si="77">$E$4-$E$10-$E$11*(1+Q617)^(-$E$5/$L$9)-$E$13*(1+Q617)^(-$H$13/$L$9)-$E$14*(1+Q617)^(-$H$14/$L$9) +$E$24*((1-(1+Q617)^(-$E$5/$L$9)))/(1-(1+Q617)^(1/$L$9))+$E$17*((1-(1+Q617)^(-$J$20/$M$4)))/(1-(1+Q617)^(1/$M$4))+$E$18*((1-(1+Q617)^(-$J$21/$M$5)))/(1-(1+Q617)^(1/$M$5))+$E$19*((1-(1+Q617)^(-$J$22/$M$6)))/(1-(1+Q617)^(1/$M$6))+$E$20*((1-(1+Q617)^(-$J$23/$M$7)))/(1-(1+Q617)^(1/$M$7))+$E$21*((1-(1+Q617)^(-$J$24/$M$8)))/(1-(1+Q617)^(1/$M$8))</f>
        <v>3894207.2828773954</v>
      </c>
      <c r="U617" s="18">
        <f t="shared" ref="U617:U680" si="78">$E$4-$E$10-$E$11*(1+R617)^(-$E$5/$L$9)-$E$13*(1+R617)^(-$H$13/$L$9)-$E$14*(1+R617)^(-$H$14/$L$9) +$E$24*((1-(1+R617)^(-$E$5/$L$9)))/(1-(1+R617)^(1/$L$9))+$E$17*((1-(1+R617)^(-$J$20/$M$4)))/(1-(1+R617)^(1/$M$4))+$E$18*((1-(1+R617)^(-$J$21/$M$5)))/(1-(1+R617)^(1/$M$5))+$E$19*((1-(1+R617)^(-$J$22/$M$6)))/(1-(1+R617)^(1/$M$6))+$E$20*((1-(1+R617)^(-$J$23/$M$7)))/(1-(1+R617)^(1/$M$7))+$E$21*((1-(1+R617)^(-$J$24/$M$8)))/(1-(1+R617)^(1/$M$8))</f>
        <v>3856205.8539974457</v>
      </c>
    </row>
    <row r="618" spans="15:21" x14ac:dyDescent="0.25">
      <c r="O618" s="15">
        <v>602</v>
      </c>
      <c r="P618" s="15">
        <f t="shared" ref="P618:P681" si="79">IF(S617*U617&gt;=0,R617,P617)</f>
        <v>1E-10</v>
      </c>
      <c r="Q618" s="15">
        <f t="shared" ref="Q618:Q681" si="80">IF(T617*U617&gt;=0,R617,Q617)</f>
        <v>5.00000000005</v>
      </c>
      <c r="R618" s="15">
        <f t="shared" si="75"/>
        <v>2.500000000075</v>
      </c>
      <c r="S618" s="18">
        <f t="shared" si="76"/>
        <v>-4096543.402922513</v>
      </c>
      <c r="T618" s="18">
        <f t="shared" si="77"/>
        <v>3856205.8539974457</v>
      </c>
      <c r="U618" s="18">
        <f t="shared" si="78"/>
        <v>3791473.6705574365</v>
      </c>
    </row>
    <row r="619" spans="15:21" x14ac:dyDescent="0.25">
      <c r="O619" s="15">
        <v>603</v>
      </c>
      <c r="P619" s="15">
        <f t="shared" si="79"/>
        <v>1E-10</v>
      </c>
      <c r="Q619" s="15">
        <f t="shared" si="80"/>
        <v>2.500000000075</v>
      </c>
      <c r="R619" s="15">
        <f t="shared" si="75"/>
        <v>1.2500000000875</v>
      </c>
      <c r="S619" s="18">
        <f t="shared" si="76"/>
        <v>-4096543.402922513</v>
      </c>
      <c r="T619" s="18">
        <f t="shared" si="77"/>
        <v>3791473.6705574365</v>
      </c>
      <c r="U619" s="18">
        <f t="shared" si="78"/>
        <v>3674185.2838576422</v>
      </c>
    </row>
    <row r="620" spans="15:21" x14ac:dyDescent="0.25">
      <c r="O620" s="15">
        <v>604</v>
      </c>
      <c r="P620" s="15">
        <f t="shared" si="79"/>
        <v>1E-10</v>
      </c>
      <c r="Q620" s="15">
        <f t="shared" si="80"/>
        <v>1.2500000000875</v>
      </c>
      <c r="R620" s="15">
        <f t="shared" si="75"/>
        <v>0.62500000009375001</v>
      </c>
      <c r="S620" s="18">
        <f t="shared" si="76"/>
        <v>-4096543.402922513</v>
      </c>
      <c r="T620" s="18">
        <f t="shared" si="77"/>
        <v>3674185.2838576422</v>
      </c>
      <c r="U620" s="18">
        <f t="shared" si="78"/>
        <v>3451249.3171429066</v>
      </c>
    </row>
    <row r="621" spans="15:21" x14ac:dyDescent="0.25">
      <c r="O621" s="15">
        <v>605</v>
      </c>
      <c r="P621" s="15">
        <f t="shared" si="79"/>
        <v>1E-10</v>
      </c>
      <c r="Q621" s="15">
        <f t="shared" si="80"/>
        <v>0.62500000009375001</v>
      </c>
      <c r="R621" s="15">
        <f t="shared" si="75"/>
        <v>0.31250000009687501</v>
      </c>
      <c r="S621" s="18">
        <f t="shared" si="76"/>
        <v>-4096543.402922513</v>
      </c>
      <c r="T621" s="18">
        <f t="shared" si="77"/>
        <v>3451249.3171429066</v>
      </c>
      <c r="U621" s="18">
        <f t="shared" si="78"/>
        <v>3015194.1773318858</v>
      </c>
    </row>
    <row r="622" spans="15:21" x14ac:dyDescent="0.25">
      <c r="O622" s="15">
        <v>606</v>
      </c>
      <c r="P622" s="15">
        <f t="shared" si="79"/>
        <v>1E-10</v>
      </c>
      <c r="Q622" s="15">
        <f t="shared" si="80"/>
        <v>0.31250000009687501</v>
      </c>
      <c r="R622" s="15">
        <f t="shared" si="75"/>
        <v>0.15625000009843751</v>
      </c>
      <c r="S622" s="18">
        <f t="shared" si="76"/>
        <v>-4096543.402922513</v>
      </c>
      <c r="T622" s="18">
        <f t="shared" si="77"/>
        <v>3015194.1773318858</v>
      </c>
      <c r="U622" s="18">
        <f t="shared" si="78"/>
        <v>2172625.3949700431</v>
      </c>
    </row>
    <row r="623" spans="15:21" x14ac:dyDescent="0.25">
      <c r="O623" s="15">
        <v>607</v>
      </c>
      <c r="P623" s="15">
        <f t="shared" si="79"/>
        <v>1E-10</v>
      </c>
      <c r="Q623" s="15">
        <f t="shared" si="80"/>
        <v>0.15625000009843751</v>
      </c>
      <c r="R623" s="15">
        <f t="shared" si="75"/>
        <v>7.8125000099218758E-2</v>
      </c>
      <c r="S623" s="18">
        <f t="shared" si="76"/>
        <v>-4096543.402922513</v>
      </c>
      <c r="T623" s="18">
        <f t="shared" si="77"/>
        <v>2172625.3949700431</v>
      </c>
      <c r="U623" s="18">
        <f t="shared" si="78"/>
        <v>795277.15576752613</v>
      </c>
    </row>
    <row r="624" spans="15:21" x14ac:dyDescent="0.25">
      <c r="O624" s="15">
        <v>608</v>
      </c>
      <c r="P624" s="15">
        <f t="shared" si="79"/>
        <v>1E-10</v>
      </c>
      <c r="Q624" s="15">
        <f t="shared" si="80"/>
        <v>7.8125000099218758E-2</v>
      </c>
      <c r="R624" s="15">
        <f t="shared" si="75"/>
        <v>3.9062500099609376E-2</v>
      </c>
      <c r="S624" s="18">
        <f t="shared" si="76"/>
        <v>-4096543.402922513</v>
      </c>
      <c r="T624" s="18">
        <f t="shared" si="77"/>
        <v>795277.15576752613</v>
      </c>
      <c r="U624" s="18">
        <f t="shared" si="78"/>
        <v>-806130.79722869582</v>
      </c>
    </row>
    <row r="625" spans="15:21" x14ac:dyDescent="0.25">
      <c r="O625" s="15">
        <v>609</v>
      </c>
      <c r="P625" s="15">
        <f t="shared" si="79"/>
        <v>3.9062500099609376E-2</v>
      </c>
      <c r="Q625" s="15">
        <f t="shared" si="80"/>
        <v>7.8125000099218758E-2</v>
      </c>
      <c r="R625" s="15">
        <f t="shared" si="75"/>
        <v>5.8593750099414067E-2</v>
      </c>
      <c r="S625" s="18">
        <f t="shared" si="76"/>
        <v>-806130.79722869582</v>
      </c>
      <c r="T625" s="18">
        <f t="shared" si="77"/>
        <v>795277.15576752613</v>
      </c>
      <c r="U625" s="18">
        <f t="shared" si="78"/>
        <v>125998.37751938807</v>
      </c>
    </row>
    <row r="626" spans="15:21" x14ac:dyDescent="0.25">
      <c r="O626" s="15">
        <v>610</v>
      </c>
      <c r="P626" s="15">
        <f t="shared" si="79"/>
        <v>3.9062500099609376E-2</v>
      </c>
      <c r="Q626" s="15">
        <f t="shared" si="80"/>
        <v>5.8593750099414067E-2</v>
      </c>
      <c r="R626" s="15">
        <f t="shared" si="75"/>
        <v>4.8828125099511718E-2</v>
      </c>
      <c r="S626" s="18">
        <f t="shared" si="76"/>
        <v>-806130.79722869582</v>
      </c>
      <c r="T626" s="18">
        <f t="shared" si="77"/>
        <v>125998.37751938807</v>
      </c>
      <c r="U626" s="18">
        <f t="shared" si="78"/>
        <v>-300117.85427544912</v>
      </c>
    </row>
    <row r="627" spans="15:21" x14ac:dyDescent="0.25">
      <c r="O627" s="15">
        <v>611</v>
      </c>
      <c r="P627" s="15">
        <f t="shared" si="79"/>
        <v>4.8828125099511718E-2</v>
      </c>
      <c r="Q627" s="15">
        <f t="shared" si="80"/>
        <v>5.8593750099414067E-2</v>
      </c>
      <c r="R627" s="15">
        <f t="shared" si="75"/>
        <v>5.3710937599462896E-2</v>
      </c>
      <c r="S627" s="18">
        <f t="shared" si="76"/>
        <v>-300117.85427544912</v>
      </c>
      <c r="T627" s="18">
        <f t="shared" si="77"/>
        <v>125998.37751938807</v>
      </c>
      <c r="U627" s="18">
        <f t="shared" si="78"/>
        <v>-78089.717054340348</v>
      </c>
    </row>
    <row r="628" spans="15:21" x14ac:dyDescent="0.25">
      <c r="O628" s="15">
        <v>612</v>
      </c>
      <c r="P628" s="15">
        <f t="shared" si="79"/>
        <v>5.3710937599462896E-2</v>
      </c>
      <c r="Q628" s="15">
        <f t="shared" si="80"/>
        <v>5.8593750099414067E-2</v>
      </c>
      <c r="R628" s="15">
        <f t="shared" si="75"/>
        <v>5.6152343849438485E-2</v>
      </c>
      <c r="S628" s="18">
        <f t="shared" si="76"/>
        <v>-78089.717054340348</v>
      </c>
      <c r="T628" s="18">
        <f t="shared" si="77"/>
        <v>125998.37751938807</v>
      </c>
      <c r="U628" s="18">
        <f t="shared" si="78"/>
        <v>26082.431833555249</v>
      </c>
    </row>
    <row r="629" spans="15:21" x14ac:dyDescent="0.25">
      <c r="O629" s="15">
        <v>613</v>
      </c>
      <c r="P629" s="15">
        <f t="shared" si="79"/>
        <v>5.3710937599462896E-2</v>
      </c>
      <c r="Q629" s="15">
        <f t="shared" si="80"/>
        <v>5.6152343849438485E-2</v>
      </c>
      <c r="R629" s="15">
        <f t="shared" si="75"/>
        <v>5.4931640724450691E-2</v>
      </c>
      <c r="S629" s="18">
        <f t="shared" si="76"/>
        <v>-78089.717054340348</v>
      </c>
      <c r="T629" s="18">
        <f t="shared" si="77"/>
        <v>26082.431833555249</v>
      </c>
      <c r="U629" s="18">
        <f t="shared" si="78"/>
        <v>-25457.838380042806</v>
      </c>
    </row>
    <row r="630" spans="15:21" x14ac:dyDescent="0.25">
      <c r="O630" s="15">
        <v>614</v>
      </c>
      <c r="P630" s="15">
        <f t="shared" si="79"/>
        <v>5.4931640724450691E-2</v>
      </c>
      <c r="Q630" s="15">
        <f t="shared" si="80"/>
        <v>5.6152343849438485E-2</v>
      </c>
      <c r="R630" s="15">
        <f t="shared" si="75"/>
        <v>5.5541992286944591E-2</v>
      </c>
      <c r="S630" s="18">
        <f t="shared" si="76"/>
        <v>-25457.838380042806</v>
      </c>
      <c r="T630" s="18">
        <f t="shared" si="77"/>
        <v>26082.431833555249</v>
      </c>
      <c r="U630" s="18">
        <f t="shared" si="78"/>
        <v>446.99396819314325</v>
      </c>
    </row>
    <row r="631" spans="15:21" x14ac:dyDescent="0.25">
      <c r="O631" s="15">
        <v>615</v>
      </c>
      <c r="P631" s="15">
        <f t="shared" si="79"/>
        <v>5.4931640724450691E-2</v>
      </c>
      <c r="Q631" s="15">
        <f t="shared" si="80"/>
        <v>5.5541992286944591E-2</v>
      </c>
      <c r="R631" s="15">
        <f t="shared" si="75"/>
        <v>5.5236816505697645E-2</v>
      </c>
      <c r="S631" s="18">
        <f t="shared" si="76"/>
        <v>-25457.838380042806</v>
      </c>
      <c r="T631" s="18">
        <f t="shared" si="77"/>
        <v>446.99396819314325</v>
      </c>
      <c r="U631" s="18">
        <f t="shared" si="78"/>
        <v>-12471.530669613465</v>
      </c>
    </row>
    <row r="632" spans="15:21" x14ac:dyDescent="0.25">
      <c r="O632" s="15">
        <v>616</v>
      </c>
      <c r="P632" s="15">
        <f t="shared" si="79"/>
        <v>5.5236816505697645E-2</v>
      </c>
      <c r="Q632" s="15">
        <f t="shared" si="80"/>
        <v>5.5541992286944591E-2</v>
      </c>
      <c r="R632" s="15">
        <f t="shared" si="75"/>
        <v>5.5389404396321118E-2</v>
      </c>
      <c r="S632" s="18">
        <f t="shared" si="76"/>
        <v>-12471.530669613465</v>
      </c>
      <c r="T632" s="18">
        <f t="shared" si="77"/>
        <v>446.99396819314325</v>
      </c>
      <c r="U632" s="18">
        <f t="shared" si="78"/>
        <v>-6003.8227437936475</v>
      </c>
    </row>
    <row r="633" spans="15:21" x14ac:dyDescent="0.25">
      <c r="O633" s="15">
        <v>617</v>
      </c>
      <c r="P633" s="15">
        <f t="shared" si="79"/>
        <v>5.5389404396321118E-2</v>
      </c>
      <c r="Q633" s="15">
        <f t="shared" si="80"/>
        <v>5.5541992286944591E-2</v>
      </c>
      <c r="R633" s="15">
        <f t="shared" si="75"/>
        <v>5.5465698341632855E-2</v>
      </c>
      <c r="S633" s="18">
        <f t="shared" si="76"/>
        <v>-6003.8227437936475</v>
      </c>
      <c r="T633" s="18">
        <f t="shared" si="77"/>
        <v>446.99396819314325</v>
      </c>
      <c r="U633" s="18">
        <f t="shared" si="78"/>
        <v>-2776.3063849629848</v>
      </c>
    </row>
    <row r="634" spans="15:21" x14ac:dyDescent="0.25">
      <c r="O634" s="15">
        <v>618</v>
      </c>
      <c r="P634" s="15">
        <f t="shared" si="79"/>
        <v>5.5465698341632855E-2</v>
      </c>
      <c r="Q634" s="15">
        <f t="shared" si="80"/>
        <v>5.5541992286944591E-2</v>
      </c>
      <c r="R634" s="15">
        <f t="shared" si="75"/>
        <v>5.5503845314288723E-2</v>
      </c>
      <c r="S634" s="18">
        <f t="shared" si="76"/>
        <v>-2776.3063849629848</v>
      </c>
      <c r="T634" s="18">
        <f t="shared" si="77"/>
        <v>446.99396819314325</v>
      </c>
      <c r="U634" s="18">
        <f t="shared" si="78"/>
        <v>-1164.1296318378991</v>
      </c>
    </row>
    <row r="635" spans="15:21" x14ac:dyDescent="0.25">
      <c r="O635" s="15">
        <v>619</v>
      </c>
      <c r="P635" s="15">
        <f t="shared" si="79"/>
        <v>5.5503845314288723E-2</v>
      </c>
      <c r="Q635" s="15">
        <f t="shared" si="80"/>
        <v>5.5541992286944591E-2</v>
      </c>
      <c r="R635" s="15">
        <f t="shared" si="75"/>
        <v>5.5522918800616661E-2</v>
      </c>
      <c r="S635" s="18">
        <f t="shared" si="76"/>
        <v>-1164.1296318378991</v>
      </c>
      <c r="T635" s="18">
        <f t="shared" si="77"/>
        <v>446.99396819314325</v>
      </c>
      <c r="U635" s="18">
        <f t="shared" si="78"/>
        <v>-358.43624065257518</v>
      </c>
    </row>
    <row r="636" spans="15:21" x14ac:dyDescent="0.25">
      <c r="O636" s="15">
        <v>620</v>
      </c>
      <c r="P636" s="15">
        <f t="shared" si="79"/>
        <v>5.5522918800616661E-2</v>
      </c>
      <c r="Q636" s="15">
        <f t="shared" si="80"/>
        <v>5.5541992286944591E-2</v>
      </c>
      <c r="R636" s="15">
        <f t="shared" si="75"/>
        <v>5.5532455543780626E-2</v>
      </c>
      <c r="S636" s="18">
        <f t="shared" si="76"/>
        <v>-358.43624065257518</v>
      </c>
      <c r="T636" s="18">
        <f t="shared" si="77"/>
        <v>446.99396819314325</v>
      </c>
      <c r="U636" s="18">
        <f t="shared" si="78"/>
        <v>44.311754848723922</v>
      </c>
    </row>
    <row r="637" spans="15:21" x14ac:dyDescent="0.25">
      <c r="O637" s="15">
        <v>621</v>
      </c>
      <c r="P637" s="15">
        <f t="shared" si="79"/>
        <v>5.5522918800616661E-2</v>
      </c>
      <c r="Q637" s="15">
        <f t="shared" si="80"/>
        <v>5.5532455543780626E-2</v>
      </c>
      <c r="R637" s="15">
        <f t="shared" si="75"/>
        <v>5.5527687172198643E-2</v>
      </c>
      <c r="S637" s="18">
        <f t="shared" si="76"/>
        <v>-358.43624065257518</v>
      </c>
      <c r="T637" s="18">
        <f t="shared" si="77"/>
        <v>44.311754848723922</v>
      </c>
      <c r="U637" s="18">
        <f t="shared" si="78"/>
        <v>-157.05401933347866</v>
      </c>
    </row>
    <row r="638" spans="15:21" x14ac:dyDescent="0.25">
      <c r="O638" s="15">
        <v>622</v>
      </c>
      <c r="P638" s="15">
        <f t="shared" si="79"/>
        <v>5.5527687172198643E-2</v>
      </c>
      <c r="Q638" s="15">
        <f t="shared" si="80"/>
        <v>5.5532455543780626E-2</v>
      </c>
      <c r="R638" s="15">
        <f t="shared" si="75"/>
        <v>5.5530071357989638E-2</v>
      </c>
      <c r="S638" s="18">
        <f t="shared" si="76"/>
        <v>-157.05401933347866</v>
      </c>
      <c r="T638" s="18">
        <f t="shared" si="77"/>
        <v>44.311754848723922</v>
      </c>
      <c r="U638" s="18">
        <f t="shared" si="78"/>
        <v>-56.369076355117159</v>
      </c>
    </row>
    <row r="639" spans="15:21" x14ac:dyDescent="0.25">
      <c r="O639" s="15">
        <v>623</v>
      </c>
      <c r="P639" s="15">
        <f t="shared" si="79"/>
        <v>5.5530071357989638E-2</v>
      </c>
      <c r="Q639" s="15">
        <f t="shared" si="80"/>
        <v>5.5532455543780626E-2</v>
      </c>
      <c r="R639" s="15">
        <f t="shared" si="75"/>
        <v>5.5531263450885132E-2</v>
      </c>
      <c r="S639" s="18">
        <f t="shared" si="76"/>
        <v>-56.369076355117159</v>
      </c>
      <c r="T639" s="18">
        <f t="shared" si="77"/>
        <v>44.311754848723922</v>
      </c>
      <c r="U639" s="18">
        <f t="shared" si="78"/>
        <v>-6.0281466950696085</v>
      </c>
    </row>
    <row r="640" spans="15:21" x14ac:dyDescent="0.25">
      <c r="O640" s="15">
        <v>624</v>
      </c>
      <c r="P640" s="15">
        <f t="shared" si="79"/>
        <v>5.5531263450885132E-2</v>
      </c>
      <c r="Q640" s="15">
        <f t="shared" si="80"/>
        <v>5.5532455543780626E-2</v>
      </c>
      <c r="R640" s="15">
        <f t="shared" si="75"/>
        <v>5.5531859497332879E-2</v>
      </c>
      <c r="S640" s="18">
        <f t="shared" si="76"/>
        <v>-6.0281466950696085</v>
      </c>
      <c r="T640" s="18">
        <f t="shared" si="77"/>
        <v>44.311754848723922</v>
      </c>
      <c r="U640" s="18">
        <f t="shared" si="78"/>
        <v>19.14193263652578</v>
      </c>
    </row>
    <row r="641" spans="15:21" x14ac:dyDescent="0.25">
      <c r="O641" s="15">
        <v>625</v>
      </c>
      <c r="P641" s="15">
        <f t="shared" si="79"/>
        <v>5.5531263450885132E-2</v>
      </c>
      <c r="Q641" s="15">
        <f t="shared" si="80"/>
        <v>5.5531859497332879E-2</v>
      </c>
      <c r="R641" s="15">
        <f t="shared" si="75"/>
        <v>5.5531561474109009E-2</v>
      </c>
      <c r="S641" s="18">
        <f t="shared" si="76"/>
        <v>-6.0281466950696085</v>
      </c>
      <c r="T641" s="18">
        <f t="shared" si="77"/>
        <v>19.14193263652578</v>
      </c>
      <c r="U641" s="18">
        <f t="shared" si="78"/>
        <v>6.5569249377172127</v>
      </c>
    </row>
    <row r="642" spans="15:21" x14ac:dyDescent="0.25">
      <c r="O642" s="15">
        <v>626</v>
      </c>
      <c r="P642" s="15">
        <f t="shared" si="79"/>
        <v>5.5531263450885132E-2</v>
      </c>
      <c r="Q642" s="15">
        <f t="shared" si="80"/>
        <v>5.5531561474109009E-2</v>
      </c>
      <c r="R642" s="15">
        <f t="shared" si="75"/>
        <v>5.5531412462497071E-2</v>
      </c>
      <c r="S642" s="18">
        <f t="shared" si="76"/>
        <v>-6.0281466950696085</v>
      </c>
      <c r="T642" s="18">
        <f t="shared" si="77"/>
        <v>6.5569249377172127</v>
      </c>
      <c r="U642" s="18">
        <f t="shared" si="78"/>
        <v>0.26439706673954788</v>
      </c>
    </row>
    <row r="643" spans="15:21" x14ac:dyDescent="0.25">
      <c r="O643" s="15">
        <v>627</v>
      </c>
      <c r="P643" s="15">
        <f t="shared" si="79"/>
        <v>5.5531263450885132E-2</v>
      </c>
      <c r="Q643" s="15">
        <f t="shared" si="80"/>
        <v>5.5531412462497071E-2</v>
      </c>
      <c r="R643" s="15">
        <f t="shared" si="75"/>
        <v>5.5531337956691101E-2</v>
      </c>
      <c r="S643" s="18">
        <f t="shared" si="76"/>
        <v>-6.0281466950696085</v>
      </c>
      <c r="T643" s="18">
        <f t="shared" si="77"/>
        <v>0.26439706673954788</v>
      </c>
      <c r="U643" s="18">
        <f t="shared" si="78"/>
        <v>-2.881872878510876</v>
      </c>
    </row>
    <row r="644" spans="15:21" x14ac:dyDescent="0.25">
      <c r="O644" s="15">
        <v>628</v>
      </c>
      <c r="P644" s="15">
        <f t="shared" si="79"/>
        <v>5.5531337956691101E-2</v>
      </c>
      <c r="Q644" s="15">
        <f t="shared" si="80"/>
        <v>5.5531412462497071E-2</v>
      </c>
      <c r="R644" s="15">
        <f t="shared" si="75"/>
        <v>5.5531375209594086E-2</v>
      </c>
      <c r="S644" s="18">
        <f t="shared" si="76"/>
        <v>-2.881872878510876</v>
      </c>
      <c r="T644" s="18">
        <f t="shared" si="77"/>
        <v>0.26439706673954788</v>
      </c>
      <c r="U644" s="18">
        <f t="shared" si="78"/>
        <v>-1.3087372517161384</v>
      </c>
    </row>
    <row r="645" spans="15:21" x14ac:dyDescent="0.25">
      <c r="O645" s="15">
        <v>629</v>
      </c>
      <c r="P645" s="15">
        <f t="shared" si="79"/>
        <v>5.5531375209594086E-2</v>
      </c>
      <c r="Q645" s="15">
        <f t="shared" si="80"/>
        <v>5.5531412462497071E-2</v>
      </c>
      <c r="R645" s="15">
        <f t="shared" si="75"/>
        <v>5.5531393836045578E-2</v>
      </c>
      <c r="S645" s="18">
        <f t="shared" si="76"/>
        <v>-1.3087372517161384</v>
      </c>
      <c r="T645" s="18">
        <f t="shared" si="77"/>
        <v>0.26439706673954788</v>
      </c>
      <c r="U645" s="18">
        <f t="shared" si="78"/>
        <v>-0.52216988075042536</v>
      </c>
    </row>
    <row r="646" spans="15:21" x14ac:dyDescent="0.25">
      <c r="O646" s="15">
        <v>630</v>
      </c>
      <c r="P646" s="15">
        <f t="shared" si="79"/>
        <v>5.5531393836045578E-2</v>
      </c>
      <c r="Q646" s="15">
        <f t="shared" si="80"/>
        <v>5.5531412462497071E-2</v>
      </c>
      <c r="R646" s="15">
        <f t="shared" si="75"/>
        <v>5.5531403149271324E-2</v>
      </c>
      <c r="S646" s="18">
        <f t="shared" si="76"/>
        <v>-0.52216988075042536</v>
      </c>
      <c r="T646" s="18">
        <f t="shared" si="77"/>
        <v>0.26439706673954788</v>
      </c>
      <c r="U646" s="18">
        <f t="shared" si="78"/>
        <v>-0.12888637811010994</v>
      </c>
    </row>
    <row r="647" spans="15:21" x14ac:dyDescent="0.25">
      <c r="O647" s="15">
        <v>631</v>
      </c>
      <c r="P647" s="15">
        <f t="shared" si="79"/>
        <v>5.5531403149271324E-2</v>
      </c>
      <c r="Q647" s="15">
        <f t="shared" si="80"/>
        <v>5.5531412462497071E-2</v>
      </c>
      <c r="R647" s="15">
        <f t="shared" si="75"/>
        <v>5.5531407805884198E-2</v>
      </c>
      <c r="S647" s="18">
        <f t="shared" si="76"/>
        <v>-0.12888637811010994</v>
      </c>
      <c r="T647" s="18">
        <f t="shared" si="77"/>
        <v>0.26439706673954788</v>
      </c>
      <c r="U647" s="18">
        <f t="shared" si="78"/>
        <v>6.7755447696981719E-2</v>
      </c>
    </row>
    <row r="648" spans="15:21" x14ac:dyDescent="0.25">
      <c r="O648" s="15">
        <v>632</v>
      </c>
      <c r="P648" s="15">
        <f t="shared" si="79"/>
        <v>5.5531403149271324E-2</v>
      </c>
      <c r="Q648" s="15">
        <f t="shared" si="80"/>
        <v>5.5531407805884198E-2</v>
      </c>
      <c r="R648" s="15">
        <f t="shared" si="75"/>
        <v>5.5531405477577761E-2</v>
      </c>
      <c r="S648" s="18">
        <f t="shared" si="76"/>
        <v>-0.12888637811010994</v>
      </c>
      <c r="T648" s="18">
        <f t="shared" si="77"/>
        <v>6.7755447696981719E-2</v>
      </c>
      <c r="U648" s="18">
        <f t="shared" si="78"/>
        <v>-3.0565462876893434E-2</v>
      </c>
    </row>
    <row r="649" spans="15:21" x14ac:dyDescent="0.25">
      <c r="O649" s="15">
        <v>633</v>
      </c>
      <c r="P649" s="15">
        <f t="shared" si="79"/>
        <v>5.5531405477577761E-2</v>
      </c>
      <c r="Q649" s="15">
        <f t="shared" si="80"/>
        <v>5.5531407805884198E-2</v>
      </c>
      <c r="R649" s="15">
        <f t="shared" si="75"/>
        <v>5.5531406641730979E-2</v>
      </c>
      <c r="S649" s="18">
        <f t="shared" si="76"/>
        <v>-3.0565462876893434E-2</v>
      </c>
      <c r="T649" s="18">
        <f t="shared" si="77"/>
        <v>6.7755447696981719E-2</v>
      </c>
      <c r="U649" s="18">
        <f t="shared" si="78"/>
        <v>1.8594893689623859E-2</v>
      </c>
    </row>
    <row r="650" spans="15:21" x14ac:dyDescent="0.25">
      <c r="O650" s="15">
        <v>634</v>
      </c>
      <c r="P650" s="15">
        <f t="shared" si="79"/>
        <v>5.5531405477577761E-2</v>
      </c>
      <c r="Q650" s="15">
        <f t="shared" si="80"/>
        <v>5.5531406641730979E-2</v>
      </c>
      <c r="R650" s="15">
        <f t="shared" si="75"/>
        <v>5.553140605965437E-2</v>
      </c>
      <c r="S650" s="18">
        <f t="shared" si="76"/>
        <v>-3.0565462876893434E-2</v>
      </c>
      <c r="T650" s="18">
        <f t="shared" si="77"/>
        <v>1.8594893689623859E-2</v>
      </c>
      <c r="U650" s="18">
        <f t="shared" si="78"/>
        <v>-5.9851868049918266E-3</v>
      </c>
    </row>
    <row r="651" spans="15:21" x14ac:dyDescent="0.25">
      <c r="O651" s="15">
        <v>635</v>
      </c>
      <c r="P651" s="15">
        <f t="shared" si="79"/>
        <v>5.553140605965437E-2</v>
      </c>
      <c r="Q651" s="15">
        <f t="shared" si="80"/>
        <v>5.5531406641730979E-2</v>
      </c>
      <c r="R651" s="15">
        <f t="shared" si="75"/>
        <v>5.5531406350692675E-2</v>
      </c>
      <c r="S651" s="18">
        <f t="shared" si="76"/>
        <v>-5.9851868049918266E-3</v>
      </c>
      <c r="T651" s="18">
        <f t="shared" si="77"/>
        <v>1.8594893689623859E-2</v>
      </c>
      <c r="U651" s="18">
        <f t="shared" si="78"/>
        <v>6.3048541405805736E-3</v>
      </c>
    </row>
    <row r="652" spans="15:21" x14ac:dyDescent="0.25">
      <c r="O652" s="15">
        <v>636</v>
      </c>
      <c r="P652" s="15">
        <f t="shared" si="79"/>
        <v>5.553140605965437E-2</v>
      </c>
      <c r="Q652" s="15">
        <f t="shared" si="80"/>
        <v>5.5531406350692675E-2</v>
      </c>
      <c r="R652" s="15">
        <f t="shared" si="75"/>
        <v>5.5531406205173522E-2</v>
      </c>
      <c r="S652" s="18">
        <f t="shared" si="76"/>
        <v>-5.9851868049918266E-3</v>
      </c>
      <c r="T652" s="18">
        <f t="shared" si="77"/>
        <v>6.3048541405805736E-3</v>
      </c>
      <c r="U652" s="18">
        <f t="shared" si="78"/>
        <v>1.5973541303537786E-4</v>
      </c>
    </row>
    <row r="653" spans="15:21" x14ac:dyDescent="0.25">
      <c r="O653" s="15">
        <v>637</v>
      </c>
      <c r="P653" s="15">
        <f t="shared" si="79"/>
        <v>5.553140605965437E-2</v>
      </c>
      <c r="Q653" s="15">
        <f t="shared" si="80"/>
        <v>5.5531406205173522E-2</v>
      </c>
      <c r="R653" s="15">
        <f t="shared" si="75"/>
        <v>5.5531406132413946E-2</v>
      </c>
      <c r="S653" s="18">
        <f t="shared" si="76"/>
        <v>-5.9851868049918266E-3</v>
      </c>
      <c r="T653" s="18">
        <f t="shared" si="77"/>
        <v>1.5973541303537786E-4</v>
      </c>
      <c r="U653" s="18">
        <f t="shared" si="78"/>
        <v>-2.9128244168532547E-3</v>
      </c>
    </row>
    <row r="654" spans="15:21" x14ac:dyDescent="0.25">
      <c r="O654" s="15">
        <v>638</v>
      </c>
      <c r="P654" s="15">
        <f t="shared" si="79"/>
        <v>5.5531406132413946E-2</v>
      </c>
      <c r="Q654" s="15">
        <f t="shared" si="80"/>
        <v>5.5531406205173522E-2</v>
      </c>
      <c r="R654" s="15">
        <f t="shared" si="75"/>
        <v>5.5531406168793734E-2</v>
      </c>
      <c r="S654" s="18">
        <f t="shared" si="76"/>
        <v>-2.9128244168532547E-3</v>
      </c>
      <c r="T654" s="18">
        <f t="shared" si="77"/>
        <v>1.5973541303537786E-4</v>
      </c>
      <c r="U654" s="18">
        <f t="shared" si="78"/>
        <v>-1.3764448494839598E-3</v>
      </c>
    </row>
    <row r="655" spans="15:21" x14ac:dyDescent="0.25">
      <c r="O655" s="15">
        <v>639</v>
      </c>
      <c r="P655" s="15">
        <f t="shared" si="79"/>
        <v>5.5531406168793734E-2</v>
      </c>
      <c r="Q655" s="15">
        <f t="shared" si="80"/>
        <v>5.5531406205173522E-2</v>
      </c>
      <c r="R655" s="15">
        <f t="shared" si="75"/>
        <v>5.5531406186983628E-2</v>
      </c>
      <c r="S655" s="18">
        <f t="shared" si="76"/>
        <v>-1.3764448494839598E-3</v>
      </c>
      <c r="T655" s="18">
        <f t="shared" si="77"/>
        <v>1.5973541303537786E-4</v>
      </c>
      <c r="U655" s="18">
        <f t="shared" si="78"/>
        <v>-6.0825809396192199E-4</v>
      </c>
    </row>
    <row r="656" spans="15:21" x14ac:dyDescent="0.25">
      <c r="O656" s="15">
        <v>640</v>
      </c>
      <c r="P656" s="15">
        <f t="shared" si="79"/>
        <v>5.5531406186983628E-2</v>
      </c>
      <c r="Q656" s="15">
        <f t="shared" si="80"/>
        <v>5.5531406205173522E-2</v>
      </c>
      <c r="R656" s="15">
        <f t="shared" si="75"/>
        <v>5.5531406196078575E-2</v>
      </c>
      <c r="S656" s="18">
        <f t="shared" si="76"/>
        <v>-6.0825809396192199E-4</v>
      </c>
      <c r="T656" s="18">
        <f t="shared" si="77"/>
        <v>1.5973541303537786E-4</v>
      </c>
      <c r="U656" s="18">
        <f t="shared" si="78"/>
        <v>-2.2426110808737576E-4</v>
      </c>
    </row>
    <row r="657" spans="15:21" x14ac:dyDescent="0.25">
      <c r="O657" s="15">
        <v>641</v>
      </c>
      <c r="P657" s="15">
        <f t="shared" si="79"/>
        <v>5.5531406196078575E-2</v>
      </c>
      <c r="Q657" s="15">
        <f t="shared" si="80"/>
        <v>5.5531406205173522E-2</v>
      </c>
      <c r="R657" s="15">
        <f t="shared" si="75"/>
        <v>5.5531406200626049E-2</v>
      </c>
      <c r="S657" s="18">
        <f t="shared" si="76"/>
        <v>-2.2426110808737576E-4</v>
      </c>
      <c r="T657" s="18">
        <f t="shared" si="77"/>
        <v>1.5973541303537786E-4</v>
      </c>
      <c r="U657" s="18">
        <f t="shared" si="78"/>
        <v>-3.2261682008538628E-5</v>
      </c>
    </row>
    <row r="658" spans="15:21" x14ac:dyDescent="0.25">
      <c r="O658" s="15">
        <v>642</v>
      </c>
      <c r="P658" s="15">
        <f t="shared" si="79"/>
        <v>5.5531406200626049E-2</v>
      </c>
      <c r="Q658" s="15">
        <f t="shared" si="80"/>
        <v>5.5531406205173522E-2</v>
      </c>
      <c r="R658" s="15">
        <f t="shared" si="75"/>
        <v>5.5531406202899786E-2</v>
      </c>
      <c r="S658" s="18">
        <f t="shared" si="76"/>
        <v>-3.2261682008538628E-5</v>
      </c>
      <c r="T658" s="18">
        <f t="shared" si="77"/>
        <v>1.5973541303537786E-4</v>
      </c>
      <c r="U658" s="18">
        <f t="shared" si="78"/>
        <v>6.3735001731402008E-5</v>
      </c>
    </row>
    <row r="659" spans="15:21" x14ac:dyDescent="0.25">
      <c r="O659" s="15">
        <v>643</v>
      </c>
      <c r="P659" s="15">
        <f t="shared" si="79"/>
        <v>5.5531406200626049E-2</v>
      </c>
      <c r="Q659" s="15">
        <f t="shared" si="80"/>
        <v>5.5531406202899786E-2</v>
      </c>
      <c r="R659" s="15">
        <f t="shared" si="75"/>
        <v>5.5531406201762917E-2</v>
      </c>
      <c r="S659" s="18">
        <f t="shared" si="76"/>
        <v>-3.2261682008538628E-5</v>
      </c>
      <c r="T659" s="18">
        <f t="shared" si="77"/>
        <v>6.3735001731402008E-5</v>
      </c>
      <c r="U659" s="18">
        <f t="shared" si="78"/>
        <v>1.5737591638753656E-5</v>
      </c>
    </row>
    <row r="660" spans="15:21" x14ac:dyDescent="0.25">
      <c r="O660" s="15">
        <v>644</v>
      </c>
      <c r="P660" s="15">
        <f t="shared" si="79"/>
        <v>5.5531406200626049E-2</v>
      </c>
      <c r="Q660" s="15">
        <f t="shared" si="80"/>
        <v>5.5531406201762917E-2</v>
      </c>
      <c r="R660" s="15">
        <f t="shared" si="75"/>
        <v>5.5531406201194483E-2</v>
      </c>
      <c r="S660" s="18">
        <f t="shared" si="76"/>
        <v>-3.2261682008538628E-5</v>
      </c>
      <c r="T660" s="18">
        <f t="shared" si="77"/>
        <v>1.5737591638753656E-5</v>
      </c>
      <c r="U660" s="18">
        <f t="shared" si="78"/>
        <v>-8.2643750829447526E-6</v>
      </c>
    </row>
    <row r="661" spans="15:21" x14ac:dyDescent="0.25">
      <c r="O661" s="15">
        <v>645</v>
      </c>
      <c r="P661" s="15">
        <f t="shared" si="79"/>
        <v>5.5531406201194483E-2</v>
      </c>
      <c r="Q661" s="15">
        <f t="shared" si="80"/>
        <v>5.5531406201762917E-2</v>
      </c>
      <c r="R661" s="15">
        <f t="shared" si="75"/>
        <v>5.55314062014787E-2</v>
      </c>
      <c r="S661" s="18">
        <f t="shared" si="76"/>
        <v>-8.2643750829447526E-6</v>
      </c>
      <c r="T661" s="18">
        <f t="shared" si="77"/>
        <v>1.5737591638753656E-5</v>
      </c>
      <c r="U661" s="18">
        <f t="shared" si="78"/>
        <v>3.8341636354743969E-6</v>
      </c>
    </row>
    <row r="662" spans="15:21" x14ac:dyDescent="0.25">
      <c r="O662" s="15">
        <v>646</v>
      </c>
      <c r="P662" s="15">
        <f t="shared" si="79"/>
        <v>5.5531406201194483E-2</v>
      </c>
      <c r="Q662" s="15">
        <f t="shared" si="80"/>
        <v>5.55314062014787E-2</v>
      </c>
      <c r="R662" s="15">
        <f t="shared" si="75"/>
        <v>5.5531406201336592E-2</v>
      </c>
      <c r="S662" s="18">
        <f t="shared" si="76"/>
        <v>-8.2643750829447526E-6</v>
      </c>
      <c r="T662" s="18">
        <f t="shared" si="77"/>
        <v>3.8341636354743969E-6</v>
      </c>
      <c r="U662" s="18">
        <f t="shared" si="78"/>
        <v>-2.2141739464132115E-6</v>
      </c>
    </row>
    <row r="663" spans="15:21" x14ac:dyDescent="0.25">
      <c r="O663" s="15">
        <v>647</v>
      </c>
      <c r="P663" s="15">
        <f t="shared" si="79"/>
        <v>5.5531406201336592E-2</v>
      </c>
      <c r="Q663" s="15">
        <f t="shared" si="80"/>
        <v>5.55314062014787E-2</v>
      </c>
      <c r="R663" s="15">
        <f t="shared" si="75"/>
        <v>5.5531406201407646E-2</v>
      </c>
      <c r="S663" s="18">
        <f t="shared" si="76"/>
        <v>-2.2141739464132115E-6</v>
      </c>
      <c r="T663" s="18">
        <f t="shared" si="77"/>
        <v>3.8341636354743969E-6</v>
      </c>
      <c r="U663" s="18">
        <f t="shared" si="78"/>
        <v>7.1383738031727262E-7</v>
      </c>
    </row>
    <row r="664" spans="15:21" x14ac:dyDescent="0.25">
      <c r="O664" s="15">
        <v>648</v>
      </c>
      <c r="P664" s="15">
        <f t="shared" si="79"/>
        <v>5.5531406201336592E-2</v>
      </c>
      <c r="Q664" s="15">
        <f t="shared" si="80"/>
        <v>5.5531406201407646E-2</v>
      </c>
      <c r="R664" s="15">
        <f t="shared" si="75"/>
        <v>5.5531406201372119E-2</v>
      </c>
      <c r="S664" s="18">
        <f t="shared" si="76"/>
        <v>-2.2141739464132115E-6</v>
      </c>
      <c r="T664" s="18">
        <f t="shared" si="77"/>
        <v>7.1383738031727262E-7</v>
      </c>
      <c r="U664" s="18">
        <f t="shared" si="78"/>
        <v>-6.5354470279999077E-7</v>
      </c>
    </row>
    <row r="665" spans="15:21" x14ac:dyDescent="0.25">
      <c r="O665" s="15">
        <v>649</v>
      </c>
      <c r="P665" s="15">
        <f t="shared" si="79"/>
        <v>5.5531406201372119E-2</v>
      </c>
      <c r="Q665" s="15">
        <f t="shared" si="80"/>
        <v>5.5531406201407646E-2</v>
      </c>
      <c r="R665" s="15">
        <f t="shared" si="75"/>
        <v>5.5531406201389882E-2</v>
      </c>
      <c r="S665" s="18">
        <f t="shared" si="76"/>
        <v>-6.5354470279999077E-7</v>
      </c>
      <c r="T665" s="18">
        <f t="shared" si="77"/>
        <v>7.1383738031727262E-7</v>
      </c>
      <c r="U665" s="18">
        <f t="shared" si="78"/>
        <v>3.0612227419624105E-8</v>
      </c>
    </row>
    <row r="666" spans="15:21" x14ac:dyDescent="0.25">
      <c r="O666" s="15">
        <v>650</v>
      </c>
      <c r="P666" s="15">
        <f t="shared" si="79"/>
        <v>5.5531406201372119E-2</v>
      </c>
      <c r="Q666" s="15">
        <f t="shared" si="80"/>
        <v>5.5531406201389882E-2</v>
      </c>
      <c r="R666" s="15">
        <f t="shared" si="75"/>
        <v>5.5531406201381001E-2</v>
      </c>
      <c r="S666" s="18">
        <f t="shared" si="76"/>
        <v>-6.5354470279999077E-7</v>
      </c>
      <c r="T666" s="18">
        <f t="shared" si="77"/>
        <v>3.0612227419624105E-8</v>
      </c>
      <c r="U666" s="18">
        <f t="shared" si="78"/>
        <v>-3.1053423299454153E-7</v>
      </c>
    </row>
    <row r="667" spans="15:21" x14ac:dyDescent="0.25">
      <c r="O667" s="15">
        <v>651</v>
      </c>
      <c r="P667" s="15">
        <f t="shared" si="79"/>
        <v>5.5531406201381001E-2</v>
      </c>
      <c r="Q667" s="15">
        <f t="shared" si="80"/>
        <v>5.5531406201389882E-2</v>
      </c>
      <c r="R667" s="15">
        <f t="shared" si="75"/>
        <v>5.5531406201385441E-2</v>
      </c>
      <c r="S667" s="18">
        <f t="shared" si="76"/>
        <v>-3.1053423299454153E-7</v>
      </c>
      <c r="T667" s="18">
        <f t="shared" si="77"/>
        <v>3.0612227419624105E-8</v>
      </c>
      <c r="U667" s="18">
        <f t="shared" si="78"/>
        <v>-2.3821530703571625E-7</v>
      </c>
    </row>
    <row r="668" spans="15:21" x14ac:dyDescent="0.25">
      <c r="O668" s="15">
        <v>652</v>
      </c>
      <c r="P668" s="15">
        <f t="shared" si="79"/>
        <v>5.5531406201385441E-2</v>
      </c>
      <c r="Q668" s="15">
        <f t="shared" si="80"/>
        <v>5.5531406201389882E-2</v>
      </c>
      <c r="R668" s="15">
        <f t="shared" si="75"/>
        <v>5.5531406201387662E-2</v>
      </c>
      <c r="S668" s="18">
        <f t="shared" si="76"/>
        <v>-2.3821530703571625E-7</v>
      </c>
      <c r="T668" s="18">
        <f t="shared" si="77"/>
        <v>3.0612227419624105E-8</v>
      </c>
      <c r="U668" s="18">
        <f t="shared" si="78"/>
        <v>-1.0403437045169994E-7</v>
      </c>
    </row>
    <row r="669" spans="15:21" x14ac:dyDescent="0.25">
      <c r="O669" s="15">
        <v>653</v>
      </c>
      <c r="P669" s="15">
        <f t="shared" si="79"/>
        <v>5.5531406201387662E-2</v>
      </c>
      <c r="Q669" s="15">
        <f t="shared" si="80"/>
        <v>5.5531406201389882E-2</v>
      </c>
      <c r="R669" s="15">
        <f t="shared" si="75"/>
        <v>5.5531406201388772E-2</v>
      </c>
      <c r="S669" s="18">
        <f t="shared" si="76"/>
        <v>-1.0403437045169994E-7</v>
      </c>
      <c r="T669" s="18">
        <f t="shared" si="77"/>
        <v>3.0612227419624105E-8</v>
      </c>
      <c r="U669" s="18">
        <f t="shared" si="78"/>
        <v>6.1310856835916638E-8</v>
      </c>
    </row>
    <row r="670" spans="15:21" x14ac:dyDescent="0.25">
      <c r="O670" s="15">
        <v>654</v>
      </c>
      <c r="P670" s="15">
        <f t="shared" si="79"/>
        <v>5.5531406201387662E-2</v>
      </c>
      <c r="Q670" s="15">
        <f t="shared" si="80"/>
        <v>5.5531406201388772E-2</v>
      </c>
      <c r="R670" s="15">
        <f t="shared" si="75"/>
        <v>5.5531406201388217E-2</v>
      </c>
      <c r="S670" s="18">
        <f t="shared" si="76"/>
        <v>-1.0403437045169994E-7</v>
      </c>
      <c r="T670" s="18">
        <f t="shared" si="77"/>
        <v>6.1310856835916638E-8</v>
      </c>
      <c r="U670" s="18">
        <f t="shared" si="78"/>
        <v>-1.2310601960052736E-7</v>
      </c>
    </row>
    <row r="671" spans="15:21" x14ac:dyDescent="0.25">
      <c r="O671" s="15">
        <v>655</v>
      </c>
      <c r="P671" s="15">
        <f t="shared" si="79"/>
        <v>5.5531406201388217E-2</v>
      </c>
      <c r="Q671" s="15">
        <f t="shared" si="80"/>
        <v>5.5531406201388772E-2</v>
      </c>
      <c r="R671" s="15">
        <f t="shared" si="75"/>
        <v>5.5531406201388495E-2</v>
      </c>
      <c r="S671" s="18">
        <f t="shared" si="76"/>
        <v>-1.2310601960052736E-7</v>
      </c>
      <c r="T671" s="18">
        <f t="shared" si="77"/>
        <v>6.1310856835916638E-8</v>
      </c>
      <c r="U671" s="18">
        <f t="shared" si="78"/>
        <v>-1.3054977898718789E-7</v>
      </c>
    </row>
    <row r="672" spans="15:21" x14ac:dyDescent="0.25">
      <c r="O672" s="15">
        <v>656</v>
      </c>
      <c r="P672" s="15">
        <f t="shared" si="79"/>
        <v>5.5531406201388495E-2</v>
      </c>
      <c r="Q672" s="15">
        <f t="shared" si="80"/>
        <v>5.5531406201388772E-2</v>
      </c>
      <c r="R672" s="15">
        <f t="shared" si="75"/>
        <v>5.5531406201388633E-2</v>
      </c>
      <c r="S672" s="18">
        <f t="shared" si="76"/>
        <v>-1.3054977898718789E-7</v>
      </c>
      <c r="T672" s="18">
        <f t="shared" si="77"/>
        <v>6.1310856835916638E-8</v>
      </c>
      <c r="U672" s="18">
        <f t="shared" si="78"/>
        <v>6.1310856835916638E-8</v>
      </c>
    </row>
    <row r="673" spans="15:21" x14ac:dyDescent="0.25">
      <c r="O673" s="15">
        <v>657</v>
      </c>
      <c r="P673" s="15">
        <f t="shared" si="79"/>
        <v>5.5531406201388495E-2</v>
      </c>
      <c r="Q673" s="15">
        <f t="shared" si="80"/>
        <v>5.5531406201388633E-2</v>
      </c>
      <c r="R673" s="15">
        <f t="shared" si="75"/>
        <v>5.5531406201388564E-2</v>
      </c>
      <c r="S673" s="18">
        <f t="shared" si="76"/>
        <v>-1.3054977898718789E-7</v>
      </c>
      <c r="T673" s="18">
        <f t="shared" si="77"/>
        <v>6.1310856835916638E-8</v>
      </c>
      <c r="U673" s="18">
        <f t="shared" si="78"/>
        <v>-1.3054977898718789E-7</v>
      </c>
    </row>
    <row r="674" spans="15:21" x14ac:dyDescent="0.25">
      <c r="O674" s="15">
        <v>658</v>
      </c>
      <c r="P674" s="15">
        <f t="shared" si="79"/>
        <v>5.5531406201388564E-2</v>
      </c>
      <c r="Q674" s="15">
        <f t="shared" si="80"/>
        <v>5.5531406201388633E-2</v>
      </c>
      <c r="R674" s="15">
        <f t="shared" si="75"/>
        <v>5.5531406201388599E-2</v>
      </c>
      <c r="S674" s="18">
        <f t="shared" si="76"/>
        <v>-1.3054977898718789E-7</v>
      </c>
      <c r="T674" s="18">
        <f t="shared" si="77"/>
        <v>6.1310856835916638E-8</v>
      </c>
      <c r="U674" s="18">
        <f t="shared" si="78"/>
        <v>-1.3054977898718789E-7</v>
      </c>
    </row>
    <row r="675" spans="15:21" x14ac:dyDescent="0.25">
      <c r="O675" s="15">
        <v>659</v>
      </c>
      <c r="P675" s="15">
        <f t="shared" si="79"/>
        <v>5.5531406201388599E-2</v>
      </c>
      <c r="Q675" s="15">
        <f t="shared" si="80"/>
        <v>5.5531406201388633E-2</v>
      </c>
      <c r="R675" s="15">
        <f t="shared" si="75"/>
        <v>5.5531406201388619E-2</v>
      </c>
      <c r="S675" s="18">
        <f t="shared" si="76"/>
        <v>-1.3054977898718789E-7</v>
      </c>
      <c r="T675" s="18">
        <f t="shared" si="77"/>
        <v>6.1310856835916638E-8</v>
      </c>
      <c r="U675" s="18">
        <f t="shared" si="78"/>
        <v>-1.3054977898718789E-7</v>
      </c>
    </row>
    <row r="676" spans="15:21" x14ac:dyDescent="0.25">
      <c r="O676" s="15">
        <v>660</v>
      </c>
      <c r="P676" s="15">
        <f t="shared" si="79"/>
        <v>5.5531406201388619E-2</v>
      </c>
      <c r="Q676" s="15">
        <f t="shared" si="80"/>
        <v>5.5531406201388633E-2</v>
      </c>
      <c r="R676" s="15">
        <f t="shared" si="75"/>
        <v>5.5531406201388626E-2</v>
      </c>
      <c r="S676" s="18">
        <f t="shared" si="76"/>
        <v>-1.3054977898718789E-7</v>
      </c>
      <c r="T676" s="18">
        <f t="shared" si="77"/>
        <v>6.1310856835916638E-8</v>
      </c>
      <c r="U676" s="18">
        <f t="shared" si="78"/>
        <v>-1.3054977898718789E-7</v>
      </c>
    </row>
    <row r="677" spans="15:21" x14ac:dyDescent="0.25">
      <c r="O677" s="15">
        <v>661</v>
      </c>
      <c r="P677" s="15">
        <f t="shared" si="79"/>
        <v>5.5531406201388626E-2</v>
      </c>
      <c r="Q677" s="15">
        <f t="shared" si="80"/>
        <v>5.5531406201388633E-2</v>
      </c>
      <c r="R677" s="15">
        <f t="shared" si="75"/>
        <v>5.5531406201388633E-2</v>
      </c>
      <c r="S677" s="18">
        <f t="shared" si="76"/>
        <v>-1.3054977898718789E-7</v>
      </c>
      <c r="T677" s="18">
        <f t="shared" si="77"/>
        <v>6.1310856835916638E-8</v>
      </c>
      <c r="U677" s="18">
        <f t="shared" si="78"/>
        <v>6.1310856835916638E-8</v>
      </c>
    </row>
    <row r="678" spans="15:21" x14ac:dyDescent="0.25">
      <c r="O678" s="15">
        <v>662</v>
      </c>
      <c r="P678" s="15">
        <f t="shared" si="79"/>
        <v>5.5531406201388626E-2</v>
      </c>
      <c r="Q678" s="15">
        <f t="shared" si="80"/>
        <v>5.5531406201388633E-2</v>
      </c>
      <c r="R678" s="15">
        <f t="shared" si="75"/>
        <v>5.5531406201388633E-2</v>
      </c>
      <c r="S678" s="18">
        <f t="shared" si="76"/>
        <v>-1.3054977898718789E-7</v>
      </c>
      <c r="T678" s="18">
        <f t="shared" si="77"/>
        <v>6.1310856835916638E-8</v>
      </c>
      <c r="U678" s="18">
        <f t="shared" si="78"/>
        <v>6.1310856835916638E-8</v>
      </c>
    </row>
    <row r="679" spans="15:21" x14ac:dyDescent="0.25">
      <c r="O679" s="15">
        <v>663</v>
      </c>
      <c r="P679" s="15">
        <f t="shared" si="79"/>
        <v>5.5531406201388626E-2</v>
      </c>
      <c r="Q679" s="15">
        <f t="shared" si="80"/>
        <v>5.5531406201388633E-2</v>
      </c>
      <c r="R679" s="15">
        <f t="shared" si="75"/>
        <v>5.5531406201388633E-2</v>
      </c>
      <c r="S679" s="18">
        <f t="shared" si="76"/>
        <v>-1.3054977898718789E-7</v>
      </c>
      <c r="T679" s="18">
        <f t="shared" si="77"/>
        <v>6.1310856835916638E-8</v>
      </c>
      <c r="U679" s="18">
        <f t="shared" si="78"/>
        <v>6.1310856835916638E-8</v>
      </c>
    </row>
    <row r="680" spans="15:21" x14ac:dyDescent="0.25">
      <c r="O680" s="15">
        <v>664</v>
      </c>
      <c r="P680" s="15">
        <f t="shared" si="79"/>
        <v>5.5531406201388626E-2</v>
      </c>
      <c r="Q680" s="15">
        <f t="shared" si="80"/>
        <v>5.5531406201388633E-2</v>
      </c>
      <c r="R680" s="15">
        <f t="shared" si="75"/>
        <v>5.5531406201388633E-2</v>
      </c>
      <c r="S680" s="18">
        <f t="shared" si="76"/>
        <v>-1.3054977898718789E-7</v>
      </c>
      <c r="T680" s="18">
        <f t="shared" si="77"/>
        <v>6.1310856835916638E-8</v>
      </c>
      <c r="U680" s="18">
        <f t="shared" si="78"/>
        <v>6.1310856835916638E-8</v>
      </c>
    </row>
    <row r="681" spans="15:21" x14ac:dyDescent="0.25">
      <c r="O681" s="15">
        <v>665</v>
      </c>
      <c r="P681" s="15">
        <f t="shared" si="79"/>
        <v>5.5531406201388626E-2</v>
      </c>
      <c r="Q681" s="15">
        <f t="shared" si="80"/>
        <v>5.5531406201388633E-2</v>
      </c>
      <c r="R681" s="15">
        <f t="shared" ref="R681:R744" si="81">(P681+Q681)/2</f>
        <v>5.5531406201388633E-2</v>
      </c>
      <c r="S681" s="18">
        <f t="shared" ref="S681:S744" si="82">$E$4-$E$10-$E$11*(1+P681)^(-$E$5/$L$9)-$E$13*(1+P681)^(-$H$13/$L$9)-$E$14*(1+P681)^(-$H$14/$L$9) +$E$24*((1-(1+P681)^(-$E$5/$L$9)))/(1-(1+P681)^(1/$L$9))+$E$17*((1-(1+P681)^(-$J$20/$M$4)))/(1-(1+P681)^(1/$M$4))+$E$18*((1-(1+P681)^(-$J$21/$M$5)))/(1-(1+P681)^(1/$M$5))+$E$19*((1-(1+P681)^(-$J$22/$M$6)))/(1-(1+P681)^(1/$M$6))+$E$20*((1-(1+P681)^(-$J$23/$M$7)))/(1-(1+P681)^(1/$M$7))+$E$21*((1-(1+P681)^(-$J$24/$M$8)))/(1-(1+P681)^(1/$M$8))</f>
        <v>-1.3054977898718789E-7</v>
      </c>
      <c r="T681" s="18">
        <f t="shared" ref="T681:T744" si="83">$E$4-$E$10-$E$11*(1+Q681)^(-$E$5/$L$9)-$E$13*(1+Q681)^(-$H$13/$L$9)-$E$14*(1+Q681)^(-$H$14/$L$9) +$E$24*((1-(1+Q681)^(-$E$5/$L$9)))/(1-(1+Q681)^(1/$L$9))+$E$17*((1-(1+Q681)^(-$J$20/$M$4)))/(1-(1+Q681)^(1/$M$4))+$E$18*((1-(1+Q681)^(-$J$21/$M$5)))/(1-(1+Q681)^(1/$M$5))+$E$19*((1-(1+Q681)^(-$J$22/$M$6)))/(1-(1+Q681)^(1/$M$6))+$E$20*((1-(1+Q681)^(-$J$23/$M$7)))/(1-(1+Q681)^(1/$M$7))+$E$21*((1-(1+Q681)^(-$J$24/$M$8)))/(1-(1+Q681)^(1/$M$8))</f>
        <v>6.1310856835916638E-8</v>
      </c>
      <c r="U681" s="18">
        <f t="shared" ref="U681:U744" si="84">$E$4-$E$10-$E$11*(1+R681)^(-$E$5/$L$9)-$E$13*(1+R681)^(-$H$13/$L$9)-$E$14*(1+R681)^(-$H$14/$L$9) +$E$24*((1-(1+R681)^(-$E$5/$L$9)))/(1-(1+R681)^(1/$L$9))+$E$17*((1-(1+R681)^(-$J$20/$M$4)))/(1-(1+R681)^(1/$M$4))+$E$18*((1-(1+R681)^(-$J$21/$M$5)))/(1-(1+R681)^(1/$M$5))+$E$19*((1-(1+R681)^(-$J$22/$M$6)))/(1-(1+R681)^(1/$M$6))+$E$20*((1-(1+R681)^(-$J$23/$M$7)))/(1-(1+R681)^(1/$M$7))+$E$21*((1-(1+R681)^(-$J$24/$M$8)))/(1-(1+R681)^(1/$M$8))</f>
        <v>6.1310856835916638E-8</v>
      </c>
    </row>
    <row r="682" spans="15:21" x14ac:dyDescent="0.25">
      <c r="O682" s="15">
        <v>666</v>
      </c>
      <c r="P682" s="15">
        <f t="shared" ref="P682:P716" si="85">IF(S681*U681&gt;=0,R681,P681)</f>
        <v>5.5531406201388626E-2</v>
      </c>
      <c r="Q682" s="15">
        <f t="shared" ref="Q682:Q716" si="86">IF(T681*U681&gt;=0,R681,Q681)</f>
        <v>5.5531406201388633E-2</v>
      </c>
      <c r="R682" s="15">
        <f t="shared" si="81"/>
        <v>5.5531406201388633E-2</v>
      </c>
      <c r="S682" s="18">
        <f t="shared" si="82"/>
        <v>-1.3054977898718789E-7</v>
      </c>
      <c r="T682" s="18">
        <f t="shared" si="83"/>
        <v>6.1310856835916638E-8</v>
      </c>
      <c r="U682" s="18">
        <f t="shared" si="84"/>
        <v>6.1310856835916638E-8</v>
      </c>
    </row>
    <row r="683" spans="15:21" x14ac:dyDescent="0.25">
      <c r="O683" s="15">
        <v>667</v>
      </c>
      <c r="P683" s="15">
        <f t="shared" si="85"/>
        <v>5.5531406201388626E-2</v>
      </c>
      <c r="Q683" s="15">
        <f t="shared" si="86"/>
        <v>5.5531406201388633E-2</v>
      </c>
      <c r="R683" s="15">
        <f t="shared" si="81"/>
        <v>5.5531406201388633E-2</v>
      </c>
      <c r="S683" s="18">
        <f t="shared" si="82"/>
        <v>-1.3054977898718789E-7</v>
      </c>
      <c r="T683" s="18">
        <f t="shared" si="83"/>
        <v>6.1310856835916638E-8</v>
      </c>
      <c r="U683" s="18">
        <f t="shared" si="84"/>
        <v>6.1310856835916638E-8</v>
      </c>
    </row>
    <row r="684" spans="15:21" x14ac:dyDescent="0.25">
      <c r="O684" s="15">
        <v>668</v>
      </c>
      <c r="P684" s="15">
        <f t="shared" si="85"/>
        <v>5.5531406201388626E-2</v>
      </c>
      <c r="Q684" s="15">
        <f t="shared" si="86"/>
        <v>5.5531406201388633E-2</v>
      </c>
      <c r="R684" s="15">
        <f t="shared" si="81"/>
        <v>5.5531406201388633E-2</v>
      </c>
      <c r="S684" s="18">
        <f t="shared" si="82"/>
        <v>-1.3054977898718789E-7</v>
      </c>
      <c r="T684" s="18">
        <f t="shared" si="83"/>
        <v>6.1310856835916638E-8</v>
      </c>
      <c r="U684" s="18">
        <f t="shared" si="84"/>
        <v>6.1310856835916638E-8</v>
      </c>
    </row>
    <row r="685" spans="15:21" x14ac:dyDescent="0.25">
      <c r="O685" s="15">
        <v>669</v>
      </c>
      <c r="P685" s="15">
        <f t="shared" si="85"/>
        <v>5.5531406201388626E-2</v>
      </c>
      <c r="Q685" s="15">
        <f t="shared" si="86"/>
        <v>5.5531406201388633E-2</v>
      </c>
      <c r="R685" s="15">
        <f t="shared" si="81"/>
        <v>5.5531406201388633E-2</v>
      </c>
      <c r="S685" s="18">
        <f t="shared" si="82"/>
        <v>-1.3054977898718789E-7</v>
      </c>
      <c r="T685" s="18">
        <f t="shared" si="83"/>
        <v>6.1310856835916638E-8</v>
      </c>
      <c r="U685" s="18">
        <f t="shared" si="84"/>
        <v>6.1310856835916638E-8</v>
      </c>
    </row>
    <row r="686" spans="15:21" x14ac:dyDescent="0.25">
      <c r="O686" s="15">
        <v>670</v>
      </c>
      <c r="P686" s="15">
        <f t="shared" si="85"/>
        <v>5.5531406201388626E-2</v>
      </c>
      <c r="Q686" s="15">
        <f t="shared" si="86"/>
        <v>5.5531406201388633E-2</v>
      </c>
      <c r="R686" s="15">
        <f t="shared" si="81"/>
        <v>5.5531406201388633E-2</v>
      </c>
      <c r="S686" s="18">
        <f t="shared" si="82"/>
        <v>-1.3054977898718789E-7</v>
      </c>
      <c r="T686" s="18">
        <f t="shared" si="83"/>
        <v>6.1310856835916638E-8</v>
      </c>
      <c r="U686" s="18">
        <f t="shared" si="84"/>
        <v>6.1310856835916638E-8</v>
      </c>
    </row>
    <row r="687" spans="15:21" x14ac:dyDescent="0.25">
      <c r="O687" s="15">
        <v>671</v>
      </c>
      <c r="P687" s="15">
        <f t="shared" si="85"/>
        <v>5.5531406201388626E-2</v>
      </c>
      <c r="Q687" s="15">
        <f t="shared" si="86"/>
        <v>5.5531406201388633E-2</v>
      </c>
      <c r="R687" s="15">
        <f t="shared" si="81"/>
        <v>5.5531406201388633E-2</v>
      </c>
      <c r="S687" s="18">
        <f t="shared" si="82"/>
        <v>-1.3054977898718789E-7</v>
      </c>
      <c r="T687" s="18">
        <f t="shared" si="83"/>
        <v>6.1310856835916638E-8</v>
      </c>
      <c r="U687" s="18">
        <f t="shared" si="84"/>
        <v>6.1310856835916638E-8</v>
      </c>
    </row>
    <row r="688" spans="15:21" x14ac:dyDescent="0.25">
      <c r="O688" s="15">
        <v>672</v>
      </c>
      <c r="P688" s="15">
        <f t="shared" si="85"/>
        <v>5.5531406201388626E-2</v>
      </c>
      <c r="Q688" s="15">
        <f t="shared" si="86"/>
        <v>5.5531406201388633E-2</v>
      </c>
      <c r="R688" s="15">
        <f t="shared" si="81"/>
        <v>5.5531406201388633E-2</v>
      </c>
      <c r="S688" s="18">
        <f t="shared" si="82"/>
        <v>-1.3054977898718789E-7</v>
      </c>
      <c r="T688" s="18">
        <f t="shared" si="83"/>
        <v>6.1310856835916638E-8</v>
      </c>
      <c r="U688" s="18">
        <f t="shared" si="84"/>
        <v>6.1310856835916638E-8</v>
      </c>
    </row>
    <row r="689" spans="15:21" x14ac:dyDescent="0.25">
      <c r="O689" s="15">
        <v>673</v>
      </c>
      <c r="P689" s="15">
        <f t="shared" si="85"/>
        <v>5.5531406201388626E-2</v>
      </c>
      <c r="Q689" s="15">
        <f t="shared" si="86"/>
        <v>5.5531406201388633E-2</v>
      </c>
      <c r="R689" s="15">
        <f t="shared" si="81"/>
        <v>5.5531406201388633E-2</v>
      </c>
      <c r="S689" s="18">
        <f t="shared" si="82"/>
        <v>-1.3054977898718789E-7</v>
      </c>
      <c r="T689" s="18">
        <f t="shared" si="83"/>
        <v>6.1310856835916638E-8</v>
      </c>
      <c r="U689" s="18">
        <f t="shared" si="84"/>
        <v>6.1310856835916638E-8</v>
      </c>
    </row>
    <row r="690" spans="15:21" x14ac:dyDescent="0.25">
      <c r="O690" s="15">
        <v>674</v>
      </c>
      <c r="P690" s="15">
        <f t="shared" si="85"/>
        <v>5.5531406201388626E-2</v>
      </c>
      <c r="Q690" s="15">
        <f t="shared" si="86"/>
        <v>5.5531406201388633E-2</v>
      </c>
      <c r="R690" s="15">
        <f t="shared" si="81"/>
        <v>5.5531406201388633E-2</v>
      </c>
      <c r="S690" s="18">
        <f t="shared" si="82"/>
        <v>-1.3054977898718789E-7</v>
      </c>
      <c r="T690" s="18">
        <f t="shared" si="83"/>
        <v>6.1310856835916638E-8</v>
      </c>
      <c r="U690" s="18">
        <f t="shared" si="84"/>
        <v>6.1310856835916638E-8</v>
      </c>
    </row>
    <row r="691" spans="15:21" x14ac:dyDescent="0.25">
      <c r="O691" s="15">
        <v>675</v>
      </c>
      <c r="P691" s="15">
        <f t="shared" si="85"/>
        <v>5.5531406201388626E-2</v>
      </c>
      <c r="Q691" s="15">
        <f t="shared" si="86"/>
        <v>5.5531406201388633E-2</v>
      </c>
      <c r="R691" s="15">
        <f t="shared" si="81"/>
        <v>5.5531406201388633E-2</v>
      </c>
      <c r="S691" s="18">
        <f t="shared" si="82"/>
        <v>-1.3054977898718789E-7</v>
      </c>
      <c r="T691" s="18">
        <f t="shared" si="83"/>
        <v>6.1310856835916638E-8</v>
      </c>
      <c r="U691" s="18">
        <f t="shared" si="84"/>
        <v>6.1310856835916638E-8</v>
      </c>
    </row>
    <row r="692" spans="15:21" x14ac:dyDescent="0.25">
      <c r="O692" s="15">
        <v>676</v>
      </c>
      <c r="P692" s="15">
        <f t="shared" si="85"/>
        <v>5.5531406201388626E-2</v>
      </c>
      <c r="Q692" s="15">
        <f t="shared" si="86"/>
        <v>5.5531406201388633E-2</v>
      </c>
      <c r="R692" s="15">
        <f t="shared" si="81"/>
        <v>5.5531406201388633E-2</v>
      </c>
      <c r="S692" s="18">
        <f t="shared" si="82"/>
        <v>-1.3054977898718789E-7</v>
      </c>
      <c r="T692" s="18">
        <f t="shared" si="83"/>
        <v>6.1310856835916638E-8</v>
      </c>
      <c r="U692" s="18">
        <f t="shared" si="84"/>
        <v>6.1310856835916638E-8</v>
      </c>
    </row>
    <row r="693" spans="15:21" x14ac:dyDescent="0.25">
      <c r="O693" s="15">
        <v>677</v>
      </c>
      <c r="P693" s="15">
        <f t="shared" si="85"/>
        <v>5.5531406201388626E-2</v>
      </c>
      <c r="Q693" s="15">
        <f t="shared" si="86"/>
        <v>5.5531406201388633E-2</v>
      </c>
      <c r="R693" s="15">
        <f t="shared" si="81"/>
        <v>5.5531406201388633E-2</v>
      </c>
      <c r="S693" s="18">
        <f t="shared" si="82"/>
        <v>-1.3054977898718789E-7</v>
      </c>
      <c r="T693" s="18">
        <f t="shared" si="83"/>
        <v>6.1310856835916638E-8</v>
      </c>
      <c r="U693" s="18">
        <f t="shared" si="84"/>
        <v>6.1310856835916638E-8</v>
      </c>
    </row>
    <row r="694" spans="15:21" x14ac:dyDescent="0.25">
      <c r="O694" s="15">
        <v>678</v>
      </c>
      <c r="P694" s="15">
        <f t="shared" si="85"/>
        <v>5.5531406201388626E-2</v>
      </c>
      <c r="Q694" s="15">
        <f t="shared" si="86"/>
        <v>5.5531406201388633E-2</v>
      </c>
      <c r="R694" s="15">
        <f t="shared" si="81"/>
        <v>5.5531406201388633E-2</v>
      </c>
      <c r="S694" s="18">
        <f t="shared" si="82"/>
        <v>-1.3054977898718789E-7</v>
      </c>
      <c r="T694" s="18">
        <f t="shared" si="83"/>
        <v>6.1310856835916638E-8</v>
      </c>
      <c r="U694" s="18">
        <f t="shared" si="84"/>
        <v>6.1310856835916638E-8</v>
      </c>
    </row>
    <row r="695" spans="15:21" x14ac:dyDescent="0.25">
      <c r="O695" s="15">
        <v>679</v>
      </c>
      <c r="P695" s="15">
        <f t="shared" si="85"/>
        <v>5.5531406201388626E-2</v>
      </c>
      <c r="Q695" s="15">
        <f t="shared" si="86"/>
        <v>5.5531406201388633E-2</v>
      </c>
      <c r="R695" s="15">
        <f t="shared" si="81"/>
        <v>5.5531406201388633E-2</v>
      </c>
      <c r="S695" s="18">
        <f t="shared" si="82"/>
        <v>-1.3054977898718789E-7</v>
      </c>
      <c r="T695" s="18">
        <f t="shared" si="83"/>
        <v>6.1310856835916638E-8</v>
      </c>
      <c r="U695" s="18">
        <f t="shared" si="84"/>
        <v>6.1310856835916638E-8</v>
      </c>
    </row>
    <row r="696" spans="15:21" x14ac:dyDescent="0.25">
      <c r="O696" s="15">
        <v>680</v>
      </c>
      <c r="P696" s="15">
        <f t="shared" si="85"/>
        <v>5.5531406201388626E-2</v>
      </c>
      <c r="Q696" s="15">
        <f t="shared" si="86"/>
        <v>5.5531406201388633E-2</v>
      </c>
      <c r="R696" s="15">
        <f t="shared" si="81"/>
        <v>5.5531406201388633E-2</v>
      </c>
      <c r="S696" s="18">
        <f t="shared" si="82"/>
        <v>-1.3054977898718789E-7</v>
      </c>
      <c r="T696" s="18">
        <f t="shared" si="83"/>
        <v>6.1310856835916638E-8</v>
      </c>
      <c r="U696" s="18">
        <f t="shared" si="84"/>
        <v>6.1310856835916638E-8</v>
      </c>
    </row>
    <row r="697" spans="15:21" x14ac:dyDescent="0.25">
      <c r="O697" s="15">
        <v>681</v>
      </c>
      <c r="P697" s="15">
        <f t="shared" si="85"/>
        <v>5.5531406201388626E-2</v>
      </c>
      <c r="Q697" s="15">
        <f t="shared" si="86"/>
        <v>5.5531406201388633E-2</v>
      </c>
      <c r="R697" s="15">
        <f t="shared" si="81"/>
        <v>5.5531406201388633E-2</v>
      </c>
      <c r="S697" s="18">
        <f t="shared" si="82"/>
        <v>-1.3054977898718789E-7</v>
      </c>
      <c r="T697" s="18">
        <f t="shared" si="83"/>
        <v>6.1310856835916638E-8</v>
      </c>
      <c r="U697" s="18">
        <f t="shared" si="84"/>
        <v>6.1310856835916638E-8</v>
      </c>
    </row>
    <row r="698" spans="15:21" x14ac:dyDescent="0.25">
      <c r="O698" s="15">
        <v>682</v>
      </c>
      <c r="P698" s="15">
        <f t="shared" si="85"/>
        <v>5.5531406201388626E-2</v>
      </c>
      <c r="Q698" s="15">
        <f t="shared" si="86"/>
        <v>5.5531406201388633E-2</v>
      </c>
      <c r="R698" s="15">
        <f t="shared" si="81"/>
        <v>5.5531406201388633E-2</v>
      </c>
      <c r="S698" s="18">
        <f t="shared" si="82"/>
        <v>-1.3054977898718789E-7</v>
      </c>
      <c r="T698" s="18">
        <f t="shared" si="83"/>
        <v>6.1310856835916638E-8</v>
      </c>
      <c r="U698" s="18">
        <f t="shared" si="84"/>
        <v>6.1310856835916638E-8</v>
      </c>
    </row>
    <row r="699" spans="15:21" x14ac:dyDescent="0.25">
      <c r="O699" s="15">
        <v>683</v>
      </c>
      <c r="P699" s="15">
        <f t="shared" si="85"/>
        <v>5.5531406201388626E-2</v>
      </c>
      <c r="Q699" s="15">
        <f t="shared" si="86"/>
        <v>5.5531406201388633E-2</v>
      </c>
      <c r="R699" s="15">
        <f t="shared" si="81"/>
        <v>5.5531406201388633E-2</v>
      </c>
      <c r="S699" s="18">
        <f t="shared" si="82"/>
        <v>-1.3054977898718789E-7</v>
      </c>
      <c r="T699" s="18">
        <f t="shared" si="83"/>
        <v>6.1310856835916638E-8</v>
      </c>
      <c r="U699" s="18">
        <f t="shared" si="84"/>
        <v>6.1310856835916638E-8</v>
      </c>
    </row>
    <row r="700" spans="15:21" x14ac:dyDescent="0.25">
      <c r="O700" s="15">
        <v>684</v>
      </c>
      <c r="P700" s="15">
        <f t="shared" si="85"/>
        <v>5.5531406201388626E-2</v>
      </c>
      <c r="Q700" s="15">
        <f t="shared" si="86"/>
        <v>5.5531406201388633E-2</v>
      </c>
      <c r="R700" s="15">
        <f t="shared" si="81"/>
        <v>5.5531406201388633E-2</v>
      </c>
      <c r="S700" s="18">
        <f t="shared" si="82"/>
        <v>-1.3054977898718789E-7</v>
      </c>
      <c r="T700" s="18">
        <f t="shared" si="83"/>
        <v>6.1310856835916638E-8</v>
      </c>
      <c r="U700" s="18">
        <f t="shared" si="84"/>
        <v>6.1310856835916638E-8</v>
      </c>
    </row>
    <row r="701" spans="15:21" x14ac:dyDescent="0.25">
      <c r="O701" s="15">
        <v>685</v>
      </c>
      <c r="P701" s="15">
        <f t="shared" si="85"/>
        <v>5.5531406201388626E-2</v>
      </c>
      <c r="Q701" s="15">
        <f t="shared" si="86"/>
        <v>5.5531406201388633E-2</v>
      </c>
      <c r="R701" s="15">
        <f t="shared" si="81"/>
        <v>5.5531406201388633E-2</v>
      </c>
      <c r="S701" s="18">
        <f t="shared" si="82"/>
        <v>-1.3054977898718789E-7</v>
      </c>
      <c r="T701" s="18">
        <f t="shared" si="83"/>
        <v>6.1310856835916638E-8</v>
      </c>
      <c r="U701" s="18">
        <f t="shared" si="84"/>
        <v>6.1310856835916638E-8</v>
      </c>
    </row>
    <row r="702" spans="15:21" x14ac:dyDescent="0.25">
      <c r="O702" s="15">
        <v>686</v>
      </c>
      <c r="P702" s="15">
        <f t="shared" si="85"/>
        <v>5.5531406201388626E-2</v>
      </c>
      <c r="Q702" s="15">
        <f t="shared" si="86"/>
        <v>5.5531406201388633E-2</v>
      </c>
      <c r="R702" s="15">
        <f t="shared" si="81"/>
        <v>5.5531406201388633E-2</v>
      </c>
      <c r="S702" s="18">
        <f t="shared" si="82"/>
        <v>-1.3054977898718789E-7</v>
      </c>
      <c r="T702" s="18">
        <f t="shared" si="83"/>
        <v>6.1310856835916638E-8</v>
      </c>
      <c r="U702" s="18">
        <f t="shared" si="84"/>
        <v>6.1310856835916638E-8</v>
      </c>
    </row>
    <row r="703" spans="15:21" x14ac:dyDescent="0.25">
      <c r="O703" s="15">
        <v>687</v>
      </c>
      <c r="P703" s="15">
        <f t="shared" si="85"/>
        <v>5.5531406201388626E-2</v>
      </c>
      <c r="Q703" s="15">
        <f t="shared" si="86"/>
        <v>5.5531406201388633E-2</v>
      </c>
      <c r="R703" s="15">
        <f t="shared" si="81"/>
        <v>5.5531406201388633E-2</v>
      </c>
      <c r="S703" s="18">
        <f t="shared" si="82"/>
        <v>-1.3054977898718789E-7</v>
      </c>
      <c r="T703" s="18">
        <f t="shared" si="83"/>
        <v>6.1310856835916638E-8</v>
      </c>
      <c r="U703" s="18">
        <f t="shared" si="84"/>
        <v>6.1310856835916638E-8</v>
      </c>
    </row>
    <row r="704" spans="15:21" x14ac:dyDescent="0.25">
      <c r="O704" s="15">
        <v>688</v>
      </c>
      <c r="P704" s="15">
        <f t="shared" si="85"/>
        <v>5.5531406201388626E-2</v>
      </c>
      <c r="Q704" s="15">
        <f t="shared" si="86"/>
        <v>5.5531406201388633E-2</v>
      </c>
      <c r="R704" s="15">
        <f t="shared" si="81"/>
        <v>5.5531406201388633E-2</v>
      </c>
      <c r="S704" s="18">
        <f t="shared" si="82"/>
        <v>-1.3054977898718789E-7</v>
      </c>
      <c r="T704" s="18">
        <f t="shared" si="83"/>
        <v>6.1310856835916638E-8</v>
      </c>
      <c r="U704" s="18">
        <f t="shared" si="84"/>
        <v>6.1310856835916638E-8</v>
      </c>
    </row>
    <row r="705" spans="15:21" x14ac:dyDescent="0.25">
      <c r="O705" s="15">
        <v>689</v>
      </c>
      <c r="P705" s="15">
        <f t="shared" si="85"/>
        <v>5.5531406201388626E-2</v>
      </c>
      <c r="Q705" s="15">
        <f t="shared" si="86"/>
        <v>5.5531406201388633E-2</v>
      </c>
      <c r="R705" s="15">
        <f t="shared" si="81"/>
        <v>5.5531406201388633E-2</v>
      </c>
      <c r="S705" s="18">
        <f t="shared" si="82"/>
        <v>-1.3054977898718789E-7</v>
      </c>
      <c r="T705" s="18">
        <f t="shared" si="83"/>
        <v>6.1310856835916638E-8</v>
      </c>
      <c r="U705" s="18">
        <f t="shared" si="84"/>
        <v>6.1310856835916638E-8</v>
      </c>
    </row>
    <row r="706" spans="15:21" x14ac:dyDescent="0.25">
      <c r="O706" s="15">
        <v>690</v>
      </c>
      <c r="P706" s="15">
        <f t="shared" si="85"/>
        <v>5.5531406201388626E-2</v>
      </c>
      <c r="Q706" s="15">
        <f t="shared" si="86"/>
        <v>5.5531406201388633E-2</v>
      </c>
      <c r="R706" s="15">
        <f t="shared" si="81"/>
        <v>5.5531406201388633E-2</v>
      </c>
      <c r="S706" s="18">
        <f t="shared" si="82"/>
        <v>-1.3054977898718789E-7</v>
      </c>
      <c r="T706" s="18">
        <f t="shared" si="83"/>
        <v>6.1310856835916638E-8</v>
      </c>
      <c r="U706" s="18">
        <f t="shared" si="84"/>
        <v>6.1310856835916638E-8</v>
      </c>
    </row>
    <row r="707" spans="15:21" x14ac:dyDescent="0.25">
      <c r="O707" s="15">
        <v>691</v>
      </c>
      <c r="P707" s="15">
        <f t="shared" si="85"/>
        <v>5.5531406201388626E-2</v>
      </c>
      <c r="Q707" s="15">
        <f t="shared" si="86"/>
        <v>5.5531406201388633E-2</v>
      </c>
      <c r="R707" s="15">
        <f t="shared" si="81"/>
        <v>5.5531406201388633E-2</v>
      </c>
      <c r="S707" s="18">
        <f t="shared" si="82"/>
        <v>-1.3054977898718789E-7</v>
      </c>
      <c r="T707" s="18">
        <f t="shared" si="83"/>
        <v>6.1310856835916638E-8</v>
      </c>
      <c r="U707" s="18">
        <f t="shared" si="84"/>
        <v>6.1310856835916638E-8</v>
      </c>
    </row>
    <row r="708" spans="15:21" x14ac:dyDescent="0.25">
      <c r="O708" s="15">
        <v>692</v>
      </c>
      <c r="P708" s="15">
        <f t="shared" si="85"/>
        <v>5.5531406201388626E-2</v>
      </c>
      <c r="Q708" s="15">
        <f t="shared" si="86"/>
        <v>5.5531406201388633E-2</v>
      </c>
      <c r="R708" s="15">
        <f t="shared" si="81"/>
        <v>5.5531406201388633E-2</v>
      </c>
      <c r="S708" s="18">
        <f t="shared" si="82"/>
        <v>-1.3054977898718789E-7</v>
      </c>
      <c r="T708" s="18">
        <f t="shared" si="83"/>
        <v>6.1310856835916638E-8</v>
      </c>
      <c r="U708" s="18">
        <f t="shared" si="84"/>
        <v>6.1310856835916638E-8</v>
      </c>
    </row>
    <row r="709" spans="15:21" x14ac:dyDescent="0.25">
      <c r="O709" s="15">
        <v>693</v>
      </c>
      <c r="P709" s="15">
        <f t="shared" si="85"/>
        <v>5.5531406201388626E-2</v>
      </c>
      <c r="Q709" s="15">
        <f t="shared" si="86"/>
        <v>5.5531406201388633E-2</v>
      </c>
      <c r="R709" s="15">
        <f t="shared" si="81"/>
        <v>5.5531406201388633E-2</v>
      </c>
      <c r="S709" s="18">
        <f t="shared" si="82"/>
        <v>-1.3054977898718789E-7</v>
      </c>
      <c r="T709" s="18">
        <f t="shared" si="83"/>
        <v>6.1310856835916638E-8</v>
      </c>
      <c r="U709" s="18">
        <f t="shared" si="84"/>
        <v>6.1310856835916638E-8</v>
      </c>
    </row>
    <row r="710" spans="15:21" x14ac:dyDescent="0.25">
      <c r="O710" s="15">
        <v>694</v>
      </c>
      <c r="P710" s="15">
        <f t="shared" si="85"/>
        <v>5.5531406201388626E-2</v>
      </c>
      <c r="Q710" s="15">
        <f t="shared" si="86"/>
        <v>5.5531406201388633E-2</v>
      </c>
      <c r="R710" s="15">
        <f t="shared" si="81"/>
        <v>5.5531406201388633E-2</v>
      </c>
      <c r="S710" s="18">
        <f t="shared" si="82"/>
        <v>-1.3054977898718789E-7</v>
      </c>
      <c r="T710" s="18">
        <f t="shared" si="83"/>
        <v>6.1310856835916638E-8</v>
      </c>
      <c r="U710" s="18">
        <f t="shared" si="84"/>
        <v>6.1310856835916638E-8</v>
      </c>
    </row>
    <row r="711" spans="15:21" x14ac:dyDescent="0.25">
      <c r="O711" s="15">
        <v>695</v>
      </c>
      <c r="P711" s="15">
        <f t="shared" si="85"/>
        <v>5.5531406201388626E-2</v>
      </c>
      <c r="Q711" s="15">
        <f t="shared" si="86"/>
        <v>5.5531406201388633E-2</v>
      </c>
      <c r="R711" s="15">
        <f t="shared" si="81"/>
        <v>5.5531406201388633E-2</v>
      </c>
      <c r="S711" s="18">
        <f t="shared" si="82"/>
        <v>-1.3054977898718789E-7</v>
      </c>
      <c r="T711" s="18">
        <f t="shared" si="83"/>
        <v>6.1310856835916638E-8</v>
      </c>
      <c r="U711" s="18">
        <f t="shared" si="84"/>
        <v>6.1310856835916638E-8</v>
      </c>
    </row>
    <row r="712" spans="15:21" x14ac:dyDescent="0.25">
      <c r="O712" s="15">
        <v>696</v>
      </c>
      <c r="P712" s="15">
        <f t="shared" si="85"/>
        <v>5.5531406201388626E-2</v>
      </c>
      <c r="Q712" s="15">
        <f t="shared" si="86"/>
        <v>5.5531406201388633E-2</v>
      </c>
      <c r="R712" s="15">
        <f t="shared" si="81"/>
        <v>5.5531406201388633E-2</v>
      </c>
      <c r="S712" s="18">
        <f t="shared" si="82"/>
        <v>-1.3054977898718789E-7</v>
      </c>
      <c r="T712" s="18">
        <f t="shared" si="83"/>
        <v>6.1310856835916638E-8</v>
      </c>
      <c r="U712" s="18">
        <f t="shared" si="84"/>
        <v>6.1310856835916638E-8</v>
      </c>
    </row>
    <row r="713" spans="15:21" x14ac:dyDescent="0.25">
      <c r="O713" s="15">
        <v>697</v>
      </c>
      <c r="P713" s="15">
        <f t="shared" si="85"/>
        <v>5.5531406201388626E-2</v>
      </c>
      <c r="Q713" s="15">
        <f t="shared" si="86"/>
        <v>5.5531406201388633E-2</v>
      </c>
      <c r="R713" s="15">
        <f t="shared" si="81"/>
        <v>5.5531406201388633E-2</v>
      </c>
      <c r="S713" s="18">
        <f t="shared" si="82"/>
        <v>-1.3054977898718789E-7</v>
      </c>
      <c r="T713" s="18">
        <f t="shared" si="83"/>
        <v>6.1310856835916638E-8</v>
      </c>
      <c r="U713" s="18">
        <f t="shared" si="84"/>
        <v>6.1310856835916638E-8</v>
      </c>
    </row>
    <row r="714" spans="15:21" x14ac:dyDescent="0.25">
      <c r="O714" s="15">
        <v>698</v>
      </c>
      <c r="P714" s="15">
        <f t="shared" si="85"/>
        <v>5.5531406201388626E-2</v>
      </c>
      <c r="Q714" s="15">
        <f t="shared" si="86"/>
        <v>5.5531406201388633E-2</v>
      </c>
      <c r="R714" s="15">
        <f t="shared" si="81"/>
        <v>5.5531406201388633E-2</v>
      </c>
      <c r="S714" s="18">
        <f t="shared" si="82"/>
        <v>-1.3054977898718789E-7</v>
      </c>
      <c r="T714" s="18">
        <f t="shared" si="83"/>
        <v>6.1310856835916638E-8</v>
      </c>
      <c r="U714" s="18">
        <f t="shared" si="84"/>
        <v>6.1310856835916638E-8</v>
      </c>
    </row>
    <row r="715" spans="15:21" x14ac:dyDescent="0.25">
      <c r="O715" s="15">
        <v>699</v>
      </c>
      <c r="P715" s="15">
        <f t="shared" si="85"/>
        <v>5.5531406201388626E-2</v>
      </c>
      <c r="Q715" s="15">
        <f t="shared" si="86"/>
        <v>5.5531406201388633E-2</v>
      </c>
      <c r="R715" s="15">
        <f t="shared" si="81"/>
        <v>5.5531406201388633E-2</v>
      </c>
      <c r="S715" s="18">
        <f t="shared" si="82"/>
        <v>-1.3054977898718789E-7</v>
      </c>
      <c r="T715" s="18">
        <f t="shared" si="83"/>
        <v>6.1310856835916638E-8</v>
      </c>
      <c r="U715" s="18">
        <f t="shared" si="84"/>
        <v>6.1310856835916638E-8</v>
      </c>
    </row>
    <row r="716" spans="15:21" x14ac:dyDescent="0.25">
      <c r="O716" s="15">
        <v>700</v>
      </c>
      <c r="P716" s="15">
        <f t="shared" si="85"/>
        <v>5.5531406201388626E-2</v>
      </c>
      <c r="Q716" s="15">
        <f t="shared" si="86"/>
        <v>5.5531406201388633E-2</v>
      </c>
      <c r="R716" s="15">
        <f t="shared" si="81"/>
        <v>5.5531406201388633E-2</v>
      </c>
      <c r="S716" s="18">
        <f t="shared" si="82"/>
        <v>-1.3054977898718789E-7</v>
      </c>
      <c r="T716" s="18">
        <f t="shared" si="83"/>
        <v>6.1310856835916638E-8</v>
      </c>
      <c r="U716" s="18">
        <f t="shared" si="84"/>
        <v>6.1310856835916638E-8</v>
      </c>
    </row>
    <row r="717" spans="15:21" x14ac:dyDescent="0.25">
      <c r="P717" s="15" t="s">
        <v>8</v>
      </c>
    </row>
    <row r="718" spans="15:21" x14ac:dyDescent="0.25">
      <c r="P718" s="15" t="s">
        <v>1</v>
      </c>
      <c r="Q718" s="15" t="s">
        <v>2</v>
      </c>
      <c r="R718" s="15" t="s">
        <v>3</v>
      </c>
      <c r="S718" s="15" t="s">
        <v>4</v>
      </c>
      <c r="T718" s="15" t="s">
        <v>5</v>
      </c>
      <c r="U718" s="15" t="s">
        <v>6</v>
      </c>
    </row>
    <row r="719" spans="15:21" x14ac:dyDescent="0.25">
      <c r="O719" s="15">
        <v>701</v>
      </c>
      <c r="P719" s="15">
        <v>1E-10</v>
      </c>
      <c r="Q719" s="15">
        <v>10</v>
      </c>
      <c r="R719" s="15">
        <f t="shared" ref="R719:R782" si="87">(P719+Q719)/2</f>
        <v>5.00000000005</v>
      </c>
      <c r="S719" s="18">
        <f t="shared" ref="S719:S782" si="88">$E$4-$E$10-$E$11*(1+P719)^(-$E$5/$L$9)-$E$13*(1+P719)^(-$H$13/$L$9)-$E$14*(1+P719)^(-$H$14/$L$9) +$E$24*((1-(1+P719)^(-$E$5/$L$9)))/(1-(1+P719)^(1/$L$9))+$E$17*((1-(1+P719)^(-$J$20/$M$4)))/(1-(1+P719)^(1/$M$4))+$E$18*((1-(1+P719)^(-$J$21/$M$5)))/(1-(1+P719)^(1/$M$5))+$E$19*((1-(1+P719)^(-$J$22/$M$6)))/(1-(1+P719)^(1/$M$6))+$E$20*((1-(1+P719)^(-$J$23/$M$7)))/(1-(1+P719)^(1/$M$7))+$E$21*((1-(1+P719)^(-$J$24/$M$8)))/(1-(1+P719)^(1/$M$8))</f>
        <v>-4096543.402922513</v>
      </c>
      <c r="T719" s="18">
        <f t="shared" ref="T719:T782" si="89">$E$4-$E$10-$E$11*(1+Q719)^(-$E$5/$L$9)-$E$13*(1+Q719)^(-$H$13/$L$9)-$E$14*(1+Q719)^(-$H$14/$L$9) +$E$24*((1-(1+Q719)^(-$E$5/$L$9)))/(1-(1+Q719)^(1/$L$9))+$E$17*((1-(1+Q719)^(-$J$20/$M$4)))/(1-(1+Q719)^(1/$M$4))+$E$18*((1-(1+Q719)^(-$J$21/$M$5)))/(1-(1+Q719)^(1/$M$5))+$E$19*((1-(1+Q719)^(-$J$22/$M$6)))/(1-(1+Q719)^(1/$M$6))+$E$20*((1-(1+Q719)^(-$J$23/$M$7)))/(1-(1+Q719)^(1/$M$7))+$E$21*((1-(1+Q719)^(-$J$24/$M$8)))/(1-(1+Q719)^(1/$M$8))</f>
        <v>3894207.2828773954</v>
      </c>
      <c r="U719" s="18">
        <f t="shared" ref="U719:U782" si="90">$E$4-$E$10-$E$11*(1+R719)^(-$E$5/$L$9)-$E$13*(1+R719)^(-$H$13/$L$9)-$E$14*(1+R719)^(-$H$14/$L$9) +$E$24*((1-(1+R719)^(-$E$5/$L$9)))/(1-(1+R719)^(1/$L$9))+$E$17*((1-(1+R719)^(-$J$20/$M$4)))/(1-(1+R719)^(1/$M$4))+$E$18*((1-(1+R719)^(-$J$21/$M$5)))/(1-(1+R719)^(1/$M$5))+$E$19*((1-(1+R719)^(-$J$22/$M$6)))/(1-(1+R719)^(1/$M$6))+$E$20*((1-(1+R719)^(-$J$23/$M$7)))/(1-(1+R719)^(1/$M$7))+$E$21*((1-(1+R719)^(-$J$24/$M$8)))/(1-(1+R719)^(1/$M$8))</f>
        <v>3856205.8539974457</v>
      </c>
    </row>
    <row r="720" spans="15:21" x14ac:dyDescent="0.25">
      <c r="O720" s="15">
        <v>702</v>
      </c>
      <c r="P720" s="15">
        <f t="shared" ref="P720:P783" si="91">IF(S719*U719&gt;=0,R719,P719)</f>
        <v>1E-10</v>
      </c>
      <c r="Q720" s="15">
        <f t="shared" ref="Q720:Q783" si="92">IF(T719*U719&gt;=0,R719,Q719)</f>
        <v>5.00000000005</v>
      </c>
      <c r="R720" s="15">
        <f t="shared" si="87"/>
        <v>2.500000000075</v>
      </c>
      <c r="S720" s="18">
        <f t="shared" si="88"/>
        <v>-4096543.402922513</v>
      </c>
      <c r="T720" s="18">
        <f t="shared" si="89"/>
        <v>3856205.8539974457</v>
      </c>
      <c r="U720" s="18">
        <f t="shared" si="90"/>
        <v>3791473.6705574365</v>
      </c>
    </row>
    <row r="721" spans="15:21" x14ac:dyDescent="0.25">
      <c r="O721" s="15">
        <v>703</v>
      </c>
      <c r="P721" s="15">
        <f t="shared" si="91"/>
        <v>1E-10</v>
      </c>
      <c r="Q721" s="15">
        <f t="shared" si="92"/>
        <v>2.500000000075</v>
      </c>
      <c r="R721" s="15">
        <f t="shared" si="87"/>
        <v>1.2500000000875</v>
      </c>
      <c r="S721" s="18">
        <f t="shared" si="88"/>
        <v>-4096543.402922513</v>
      </c>
      <c r="T721" s="18">
        <f t="shared" si="89"/>
        <v>3791473.6705574365</v>
      </c>
      <c r="U721" s="18">
        <f t="shared" si="90"/>
        <v>3674185.2838576422</v>
      </c>
    </row>
    <row r="722" spans="15:21" x14ac:dyDescent="0.25">
      <c r="O722" s="15">
        <v>704</v>
      </c>
      <c r="P722" s="15">
        <f t="shared" si="91"/>
        <v>1E-10</v>
      </c>
      <c r="Q722" s="15">
        <f t="shared" si="92"/>
        <v>1.2500000000875</v>
      </c>
      <c r="R722" s="15">
        <f t="shared" si="87"/>
        <v>0.62500000009375001</v>
      </c>
      <c r="S722" s="18">
        <f t="shared" si="88"/>
        <v>-4096543.402922513</v>
      </c>
      <c r="T722" s="18">
        <f t="shared" si="89"/>
        <v>3674185.2838576422</v>
      </c>
      <c r="U722" s="18">
        <f t="shared" si="90"/>
        <v>3451249.3171429066</v>
      </c>
    </row>
    <row r="723" spans="15:21" x14ac:dyDescent="0.25">
      <c r="O723" s="15">
        <v>705</v>
      </c>
      <c r="P723" s="15">
        <f t="shared" si="91"/>
        <v>1E-10</v>
      </c>
      <c r="Q723" s="15">
        <f t="shared" si="92"/>
        <v>0.62500000009375001</v>
      </c>
      <c r="R723" s="15">
        <f t="shared" si="87"/>
        <v>0.31250000009687501</v>
      </c>
      <c r="S723" s="18">
        <f t="shared" si="88"/>
        <v>-4096543.402922513</v>
      </c>
      <c r="T723" s="18">
        <f t="shared" si="89"/>
        <v>3451249.3171429066</v>
      </c>
      <c r="U723" s="18">
        <f t="shared" si="90"/>
        <v>3015194.1773318858</v>
      </c>
    </row>
    <row r="724" spans="15:21" x14ac:dyDescent="0.25">
      <c r="O724" s="15">
        <v>706</v>
      </c>
      <c r="P724" s="15">
        <f t="shared" si="91"/>
        <v>1E-10</v>
      </c>
      <c r="Q724" s="15">
        <f t="shared" si="92"/>
        <v>0.31250000009687501</v>
      </c>
      <c r="R724" s="15">
        <f t="shared" si="87"/>
        <v>0.15625000009843751</v>
      </c>
      <c r="S724" s="18">
        <f t="shared" si="88"/>
        <v>-4096543.402922513</v>
      </c>
      <c r="T724" s="18">
        <f t="shared" si="89"/>
        <v>3015194.1773318858</v>
      </c>
      <c r="U724" s="18">
        <f t="shared" si="90"/>
        <v>2172625.3949700431</v>
      </c>
    </row>
    <row r="725" spans="15:21" x14ac:dyDescent="0.25">
      <c r="O725" s="15">
        <v>707</v>
      </c>
      <c r="P725" s="15">
        <f t="shared" si="91"/>
        <v>1E-10</v>
      </c>
      <c r="Q725" s="15">
        <f t="shared" si="92"/>
        <v>0.15625000009843751</v>
      </c>
      <c r="R725" s="15">
        <f t="shared" si="87"/>
        <v>7.8125000099218758E-2</v>
      </c>
      <c r="S725" s="18">
        <f t="shared" si="88"/>
        <v>-4096543.402922513</v>
      </c>
      <c r="T725" s="18">
        <f t="shared" si="89"/>
        <v>2172625.3949700431</v>
      </c>
      <c r="U725" s="18">
        <f t="shared" si="90"/>
        <v>795277.15576752613</v>
      </c>
    </row>
    <row r="726" spans="15:21" x14ac:dyDescent="0.25">
      <c r="O726" s="15">
        <v>708</v>
      </c>
      <c r="P726" s="15">
        <f t="shared" si="91"/>
        <v>1E-10</v>
      </c>
      <c r="Q726" s="15">
        <f t="shared" si="92"/>
        <v>7.8125000099218758E-2</v>
      </c>
      <c r="R726" s="15">
        <f t="shared" si="87"/>
        <v>3.9062500099609376E-2</v>
      </c>
      <c r="S726" s="18">
        <f t="shared" si="88"/>
        <v>-4096543.402922513</v>
      </c>
      <c r="T726" s="18">
        <f t="shared" si="89"/>
        <v>795277.15576752613</v>
      </c>
      <c r="U726" s="18">
        <f t="shared" si="90"/>
        <v>-806130.79722869582</v>
      </c>
    </row>
    <row r="727" spans="15:21" x14ac:dyDescent="0.25">
      <c r="O727" s="15">
        <v>709</v>
      </c>
      <c r="P727" s="15">
        <f t="shared" si="91"/>
        <v>3.9062500099609376E-2</v>
      </c>
      <c r="Q727" s="15">
        <f t="shared" si="92"/>
        <v>7.8125000099218758E-2</v>
      </c>
      <c r="R727" s="15">
        <f t="shared" si="87"/>
        <v>5.8593750099414067E-2</v>
      </c>
      <c r="S727" s="18">
        <f t="shared" si="88"/>
        <v>-806130.79722869582</v>
      </c>
      <c r="T727" s="18">
        <f t="shared" si="89"/>
        <v>795277.15576752613</v>
      </c>
      <c r="U727" s="18">
        <f t="shared" si="90"/>
        <v>125998.37751938807</v>
      </c>
    </row>
    <row r="728" spans="15:21" x14ac:dyDescent="0.25">
      <c r="O728" s="15">
        <v>710</v>
      </c>
      <c r="P728" s="15">
        <f t="shared" si="91"/>
        <v>3.9062500099609376E-2</v>
      </c>
      <c r="Q728" s="15">
        <f t="shared" si="92"/>
        <v>5.8593750099414067E-2</v>
      </c>
      <c r="R728" s="15">
        <f t="shared" si="87"/>
        <v>4.8828125099511718E-2</v>
      </c>
      <c r="S728" s="18">
        <f t="shared" si="88"/>
        <v>-806130.79722869582</v>
      </c>
      <c r="T728" s="18">
        <f t="shared" si="89"/>
        <v>125998.37751938807</v>
      </c>
      <c r="U728" s="18">
        <f t="shared" si="90"/>
        <v>-300117.85427544912</v>
      </c>
    </row>
    <row r="729" spans="15:21" x14ac:dyDescent="0.25">
      <c r="O729" s="15">
        <v>711</v>
      </c>
      <c r="P729" s="15">
        <f t="shared" si="91"/>
        <v>4.8828125099511718E-2</v>
      </c>
      <c r="Q729" s="15">
        <f t="shared" si="92"/>
        <v>5.8593750099414067E-2</v>
      </c>
      <c r="R729" s="15">
        <f t="shared" si="87"/>
        <v>5.3710937599462896E-2</v>
      </c>
      <c r="S729" s="18">
        <f t="shared" si="88"/>
        <v>-300117.85427544912</v>
      </c>
      <c r="T729" s="18">
        <f t="shared" si="89"/>
        <v>125998.37751938807</v>
      </c>
      <c r="U729" s="18">
        <f t="shared" si="90"/>
        <v>-78089.717054340348</v>
      </c>
    </row>
    <row r="730" spans="15:21" x14ac:dyDescent="0.25">
      <c r="O730" s="15">
        <v>712</v>
      </c>
      <c r="P730" s="15">
        <f t="shared" si="91"/>
        <v>5.3710937599462896E-2</v>
      </c>
      <c r="Q730" s="15">
        <f t="shared" si="92"/>
        <v>5.8593750099414067E-2</v>
      </c>
      <c r="R730" s="15">
        <f t="shared" si="87"/>
        <v>5.6152343849438485E-2</v>
      </c>
      <c r="S730" s="18">
        <f t="shared" si="88"/>
        <v>-78089.717054340348</v>
      </c>
      <c r="T730" s="18">
        <f t="shared" si="89"/>
        <v>125998.37751938807</v>
      </c>
      <c r="U730" s="18">
        <f t="shared" si="90"/>
        <v>26082.431833555249</v>
      </c>
    </row>
    <row r="731" spans="15:21" x14ac:dyDescent="0.25">
      <c r="O731" s="15">
        <v>713</v>
      </c>
      <c r="P731" s="15">
        <f t="shared" si="91"/>
        <v>5.3710937599462896E-2</v>
      </c>
      <c r="Q731" s="15">
        <f t="shared" si="92"/>
        <v>5.6152343849438485E-2</v>
      </c>
      <c r="R731" s="15">
        <f t="shared" si="87"/>
        <v>5.4931640724450691E-2</v>
      </c>
      <c r="S731" s="18">
        <f t="shared" si="88"/>
        <v>-78089.717054340348</v>
      </c>
      <c r="T731" s="18">
        <f t="shared" si="89"/>
        <v>26082.431833555249</v>
      </c>
      <c r="U731" s="18">
        <f t="shared" si="90"/>
        <v>-25457.838380042806</v>
      </c>
    </row>
    <row r="732" spans="15:21" x14ac:dyDescent="0.25">
      <c r="O732" s="15">
        <v>714</v>
      </c>
      <c r="P732" s="15">
        <f t="shared" si="91"/>
        <v>5.4931640724450691E-2</v>
      </c>
      <c r="Q732" s="15">
        <f t="shared" si="92"/>
        <v>5.6152343849438485E-2</v>
      </c>
      <c r="R732" s="15">
        <f t="shared" si="87"/>
        <v>5.5541992286944591E-2</v>
      </c>
      <c r="S732" s="18">
        <f t="shared" si="88"/>
        <v>-25457.838380042806</v>
      </c>
      <c r="T732" s="18">
        <f t="shared" si="89"/>
        <v>26082.431833555249</v>
      </c>
      <c r="U732" s="18">
        <f t="shared" si="90"/>
        <v>446.99396819314325</v>
      </c>
    </row>
    <row r="733" spans="15:21" x14ac:dyDescent="0.25">
      <c r="O733" s="15">
        <v>715</v>
      </c>
      <c r="P733" s="15">
        <f t="shared" si="91"/>
        <v>5.4931640724450691E-2</v>
      </c>
      <c r="Q733" s="15">
        <f t="shared" si="92"/>
        <v>5.5541992286944591E-2</v>
      </c>
      <c r="R733" s="15">
        <f t="shared" si="87"/>
        <v>5.5236816505697645E-2</v>
      </c>
      <c r="S733" s="18">
        <f t="shared" si="88"/>
        <v>-25457.838380042806</v>
      </c>
      <c r="T733" s="18">
        <f t="shared" si="89"/>
        <v>446.99396819314325</v>
      </c>
      <c r="U733" s="18">
        <f t="shared" si="90"/>
        <v>-12471.530669613465</v>
      </c>
    </row>
    <row r="734" spans="15:21" x14ac:dyDescent="0.25">
      <c r="O734" s="15">
        <v>716</v>
      </c>
      <c r="P734" s="15">
        <f t="shared" si="91"/>
        <v>5.5236816505697645E-2</v>
      </c>
      <c r="Q734" s="15">
        <f t="shared" si="92"/>
        <v>5.5541992286944591E-2</v>
      </c>
      <c r="R734" s="15">
        <f t="shared" si="87"/>
        <v>5.5389404396321118E-2</v>
      </c>
      <c r="S734" s="18">
        <f t="shared" si="88"/>
        <v>-12471.530669613465</v>
      </c>
      <c r="T734" s="18">
        <f t="shared" si="89"/>
        <v>446.99396819314325</v>
      </c>
      <c r="U734" s="18">
        <f t="shared" si="90"/>
        <v>-6003.8227437936475</v>
      </c>
    </row>
    <row r="735" spans="15:21" x14ac:dyDescent="0.25">
      <c r="O735" s="15">
        <v>717</v>
      </c>
      <c r="P735" s="15">
        <f t="shared" si="91"/>
        <v>5.5389404396321118E-2</v>
      </c>
      <c r="Q735" s="15">
        <f t="shared" si="92"/>
        <v>5.5541992286944591E-2</v>
      </c>
      <c r="R735" s="15">
        <f t="shared" si="87"/>
        <v>5.5465698341632855E-2</v>
      </c>
      <c r="S735" s="18">
        <f t="shared" si="88"/>
        <v>-6003.8227437936475</v>
      </c>
      <c r="T735" s="18">
        <f t="shared" si="89"/>
        <v>446.99396819314325</v>
      </c>
      <c r="U735" s="18">
        <f t="shared" si="90"/>
        <v>-2776.3063849629848</v>
      </c>
    </row>
    <row r="736" spans="15:21" x14ac:dyDescent="0.25">
      <c r="O736" s="15">
        <v>718</v>
      </c>
      <c r="P736" s="15">
        <f t="shared" si="91"/>
        <v>5.5465698341632855E-2</v>
      </c>
      <c r="Q736" s="15">
        <f t="shared" si="92"/>
        <v>5.5541992286944591E-2</v>
      </c>
      <c r="R736" s="15">
        <f t="shared" si="87"/>
        <v>5.5503845314288723E-2</v>
      </c>
      <c r="S736" s="18">
        <f t="shared" si="88"/>
        <v>-2776.3063849629848</v>
      </c>
      <c r="T736" s="18">
        <f t="shared" si="89"/>
        <v>446.99396819314325</v>
      </c>
      <c r="U736" s="18">
        <f t="shared" si="90"/>
        <v>-1164.1296318378991</v>
      </c>
    </row>
    <row r="737" spans="15:21" x14ac:dyDescent="0.25">
      <c r="O737" s="15">
        <v>719</v>
      </c>
      <c r="P737" s="15">
        <f t="shared" si="91"/>
        <v>5.5503845314288723E-2</v>
      </c>
      <c r="Q737" s="15">
        <f t="shared" si="92"/>
        <v>5.5541992286944591E-2</v>
      </c>
      <c r="R737" s="15">
        <f t="shared" si="87"/>
        <v>5.5522918800616661E-2</v>
      </c>
      <c r="S737" s="18">
        <f t="shared" si="88"/>
        <v>-1164.1296318378991</v>
      </c>
      <c r="T737" s="18">
        <f t="shared" si="89"/>
        <v>446.99396819314325</v>
      </c>
      <c r="U737" s="18">
        <f t="shared" si="90"/>
        <v>-358.43624065257518</v>
      </c>
    </row>
    <row r="738" spans="15:21" x14ac:dyDescent="0.25">
      <c r="O738" s="15">
        <v>720</v>
      </c>
      <c r="P738" s="15">
        <f t="shared" si="91"/>
        <v>5.5522918800616661E-2</v>
      </c>
      <c r="Q738" s="15">
        <f t="shared" si="92"/>
        <v>5.5541992286944591E-2</v>
      </c>
      <c r="R738" s="15">
        <f t="shared" si="87"/>
        <v>5.5532455543780626E-2</v>
      </c>
      <c r="S738" s="18">
        <f t="shared" si="88"/>
        <v>-358.43624065257518</v>
      </c>
      <c r="T738" s="18">
        <f t="shared" si="89"/>
        <v>446.99396819314325</v>
      </c>
      <c r="U738" s="18">
        <f t="shared" si="90"/>
        <v>44.311754848723922</v>
      </c>
    </row>
    <row r="739" spans="15:21" x14ac:dyDescent="0.25">
      <c r="O739" s="15">
        <v>721</v>
      </c>
      <c r="P739" s="15">
        <f t="shared" si="91"/>
        <v>5.5522918800616661E-2</v>
      </c>
      <c r="Q739" s="15">
        <f t="shared" si="92"/>
        <v>5.5532455543780626E-2</v>
      </c>
      <c r="R739" s="15">
        <f t="shared" si="87"/>
        <v>5.5527687172198643E-2</v>
      </c>
      <c r="S739" s="18">
        <f t="shared" si="88"/>
        <v>-358.43624065257518</v>
      </c>
      <c r="T739" s="18">
        <f t="shared" si="89"/>
        <v>44.311754848723922</v>
      </c>
      <c r="U739" s="18">
        <f t="shared" si="90"/>
        <v>-157.05401933347866</v>
      </c>
    </row>
    <row r="740" spans="15:21" x14ac:dyDescent="0.25">
      <c r="O740" s="15">
        <v>722</v>
      </c>
      <c r="P740" s="15">
        <f t="shared" si="91"/>
        <v>5.5527687172198643E-2</v>
      </c>
      <c r="Q740" s="15">
        <f t="shared" si="92"/>
        <v>5.5532455543780626E-2</v>
      </c>
      <c r="R740" s="15">
        <f t="shared" si="87"/>
        <v>5.5530071357989638E-2</v>
      </c>
      <c r="S740" s="18">
        <f t="shared" si="88"/>
        <v>-157.05401933347866</v>
      </c>
      <c r="T740" s="18">
        <f t="shared" si="89"/>
        <v>44.311754848723922</v>
      </c>
      <c r="U740" s="18">
        <f t="shared" si="90"/>
        <v>-56.369076355117159</v>
      </c>
    </row>
    <row r="741" spans="15:21" x14ac:dyDescent="0.25">
      <c r="O741" s="15">
        <v>723</v>
      </c>
      <c r="P741" s="15">
        <f t="shared" si="91"/>
        <v>5.5530071357989638E-2</v>
      </c>
      <c r="Q741" s="15">
        <f t="shared" si="92"/>
        <v>5.5532455543780626E-2</v>
      </c>
      <c r="R741" s="15">
        <f t="shared" si="87"/>
        <v>5.5531263450885132E-2</v>
      </c>
      <c r="S741" s="18">
        <f t="shared" si="88"/>
        <v>-56.369076355117159</v>
      </c>
      <c r="T741" s="18">
        <f t="shared" si="89"/>
        <v>44.311754848723922</v>
      </c>
      <c r="U741" s="18">
        <f t="shared" si="90"/>
        <v>-6.0281466950696085</v>
      </c>
    </row>
    <row r="742" spans="15:21" x14ac:dyDescent="0.25">
      <c r="O742" s="15">
        <v>724</v>
      </c>
      <c r="P742" s="15">
        <f t="shared" si="91"/>
        <v>5.5531263450885132E-2</v>
      </c>
      <c r="Q742" s="15">
        <f t="shared" si="92"/>
        <v>5.5532455543780626E-2</v>
      </c>
      <c r="R742" s="15">
        <f t="shared" si="87"/>
        <v>5.5531859497332879E-2</v>
      </c>
      <c r="S742" s="18">
        <f t="shared" si="88"/>
        <v>-6.0281466950696085</v>
      </c>
      <c r="T742" s="18">
        <f t="shared" si="89"/>
        <v>44.311754848723922</v>
      </c>
      <c r="U742" s="18">
        <f t="shared" si="90"/>
        <v>19.14193263652578</v>
      </c>
    </row>
    <row r="743" spans="15:21" x14ac:dyDescent="0.25">
      <c r="O743" s="15">
        <v>725</v>
      </c>
      <c r="P743" s="15">
        <f t="shared" si="91"/>
        <v>5.5531263450885132E-2</v>
      </c>
      <c r="Q743" s="15">
        <f t="shared" si="92"/>
        <v>5.5531859497332879E-2</v>
      </c>
      <c r="R743" s="15">
        <f t="shared" si="87"/>
        <v>5.5531561474109009E-2</v>
      </c>
      <c r="S743" s="18">
        <f t="shared" si="88"/>
        <v>-6.0281466950696085</v>
      </c>
      <c r="T743" s="18">
        <f t="shared" si="89"/>
        <v>19.14193263652578</v>
      </c>
      <c r="U743" s="18">
        <f t="shared" si="90"/>
        <v>6.5569249377172127</v>
      </c>
    </row>
    <row r="744" spans="15:21" x14ac:dyDescent="0.25">
      <c r="O744" s="15">
        <v>726</v>
      </c>
      <c r="P744" s="15">
        <f t="shared" si="91"/>
        <v>5.5531263450885132E-2</v>
      </c>
      <c r="Q744" s="15">
        <f t="shared" si="92"/>
        <v>5.5531561474109009E-2</v>
      </c>
      <c r="R744" s="15">
        <f t="shared" si="87"/>
        <v>5.5531412462497071E-2</v>
      </c>
      <c r="S744" s="18">
        <f t="shared" si="88"/>
        <v>-6.0281466950696085</v>
      </c>
      <c r="T744" s="18">
        <f t="shared" si="89"/>
        <v>6.5569249377172127</v>
      </c>
      <c r="U744" s="18">
        <f t="shared" si="90"/>
        <v>0.26439706673954788</v>
      </c>
    </row>
    <row r="745" spans="15:21" x14ac:dyDescent="0.25">
      <c r="O745" s="15">
        <v>727</v>
      </c>
      <c r="P745" s="15">
        <f t="shared" si="91"/>
        <v>5.5531263450885132E-2</v>
      </c>
      <c r="Q745" s="15">
        <f t="shared" si="92"/>
        <v>5.5531412462497071E-2</v>
      </c>
      <c r="R745" s="15">
        <f t="shared" si="87"/>
        <v>5.5531337956691101E-2</v>
      </c>
      <c r="S745" s="18">
        <f t="shared" si="88"/>
        <v>-6.0281466950696085</v>
      </c>
      <c r="T745" s="18">
        <f t="shared" si="89"/>
        <v>0.26439706673954788</v>
      </c>
      <c r="U745" s="18">
        <f t="shared" si="90"/>
        <v>-2.881872878510876</v>
      </c>
    </row>
    <row r="746" spans="15:21" x14ac:dyDescent="0.25">
      <c r="O746" s="15">
        <v>728</v>
      </c>
      <c r="P746" s="15">
        <f t="shared" si="91"/>
        <v>5.5531337956691101E-2</v>
      </c>
      <c r="Q746" s="15">
        <f t="shared" si="92"/>
        <v>5.5531412462497071E-2</v>
      </c>
      <c r="R746" s="15">
        <f t="shared" si="87"/>
        <v>5.5531375209594086E-2</v>
      </c>
      <c r="S746" s="18">
        <f t="shared" si="88"/>
        <v>-2.881872878510876</v>
      </c>
      <c r="T746" s="18">
        <f t="shared" si="89"/>
        <v>0.26439706673954788</v>
      </c>
      <c r="U746" s="18">
        <f t="shared" si="90"/>
        <v>-1.3087372517161384</v>
      </c>
    </row>
    <row r="747" spans="15:21" x14ac:dyDescent="0.25">
      <c r="O747" s="15">
        <v>729</v>
      </c>
      <c r="P747" s="15">
        <f t="shared" si="91"/>
        <v>5.5531375209594086E-2</v>
      </c>
      <c r="Q747" s="15">
        <f t="shared" si="92"/>
        <v>5.5531412462497071E-2</v>
      </c>
      <c r="R747" s="15">
        <f t="shared" si="87"/>
        <v>5.5531393836045578E-2</v>
      </c>
      <c r="S747" s="18">
        <f t="shared" si="88"/>
        <v>-1.3087372517161384</v>
      </c>
      <c r="T747" s="18">
        <f t="shared" si="89"/>
        <v>0.26439706673954788</v>
      </c>
      <c r="U747" s="18">
        <f t="shared" si="90"/>
        <v>-0.52216988075042536</v>
      </c>
    </row>
    <row r="748" spans="15:21" x14ac:dyDescent="0.25">
      <c r="O748" s="15">
        <v>730</v>
      </c>
      <c r="P748" s="15">
        <f t="shared" si="91"/>
        <v>5.5531393836045578E-2</v>
      </c>
      <c r="Q748" s="15">
        <f t="shared" si="92"/>
        <v>5.5531412462497071E-2</v>
      </c>
      <c r="R748" s="15">
        <f t="shared" si="87"/>
        <v>5.5531403149271324E-2</v>
      </c>
      <c r="S748" s="18">
        <f t="shared" si="88"/>
        <v>-0.52216988075042536</v>
      </c>
      <c r="T748" s="18">
        <f t="shared" si="89"/>
        <v>0.26439706673954788</v>
      </c>
      <c r="U748" s="18">
        <f t="shared" si="90"/>
        <v>-0.12888637811010994</v>
      </c>
    </row>
    <row r="749" spans="15:21" x14ac:dyDescent="0.25">
      <c r="O749" s="15">
        <v>731</v>
      </c>
      <c r="P749" s="15">
        <f t="shared" si="91"/>
        <v>5.5531403149271324E-2</v>
      </c>
      <c r="Q749" s="15">
        <f t="shared" si="92"/>
        <v>5.5531412462497071E-2</v>
      </c>
      <c r="R749" s="15">
        <f t="shared" si="87"/>
        <v>5.5531407805884198E-2</v>
      </c>
      <c r="S749" s="18">
        <f t="shared" si="88"/>
        <v>-0.12888637811010994</v>
      </c>
      <c r="T749" s="18">
        <f t="shared" si="89"/>
        <v>0.26439706673954788</v>
      </c>
      <c r="U749" s="18">
        <f t="shared" si="90"/>
        <v>6.7755447696981719E-2</v>
      </c>
    </row>
    <row r="750" spans="15:21" x14ac:dyDescent="0.25">
      <c r="O750" s="15">
        <v>732</v>
      </c>
      <c r="P750" s="15">
        <f t="shared" si="91"/>
        <v>5.5531403149271324E-2</v>
      </c>
      <c r="Q750" s="15">
        <f t="shared" si="92"/>
        <v>5.5531407805884198E-2</v>
      </c>
      <c r="R750" s="15">
        <f t="shared" si="87"/>
        <v>5.5531405477577761E-2</v>
      </c>
      <c r="S750" s="18">
        <f t="shared" si="88"/>
        <v>-0.12888637811010994</v>
      </c>
      <c r="T750" s="18">
        <f t="shared" si="89"/>
        <v>6.7755447696981719E-2</v>
      </c>
      <c r="U750" s="18">
        <f t="shared" si="90"/>
        <v>-3.0565462876893434E-2</v>
      </c>
    </row>
    <row r="751" spans="15:21" x14ac:dyDescent="0.25">
      <c r="O751" s="15">
        <v>733</v>
      </c>
      <c r="P751" s="15">
        <f t="shared" si="91"/>
        <v>5.5531405477577761E-2</v>
      </c>
      <c r="Q751" s="15">
        <f t="shared" si="92"/>
        <v>5.5531407805884198E-2</v>
      </c>
      <c r="R751" s="15">
        <f t="shared" si="87"/>
        <v>5.5531406641730979E-2</v>
      </c>
      <c r="S751" s="18">
        <f t="shared" si="88"/>
        <v>-3.0565462876893434E-2</v>
      </c>
      <c r="T751" s="18">
        <f t="shared" si="89"/>
        <v>6.7755447696981719E-2</v>
      </c>
      <c r="U751" s="18">
        <f t="shared" si="90"/>
        <v>1.8594893689623859E-2</v>
      </c>
    </row>
    <row r="752" spans="15:21" x14ac:dyDescent="0.25">
      <c r="O752" s="15">
        <v>734</v>
      </c>
      <c r="P752" s="15">
        <f t="shared" si="91"/>
        <v>5.5531405477577761E-2</v>
      </c>
      <c r="Q752" s="15">
        <f t="shared" si="92"/>
        <v>5.5531406641730979E-2</v>
      </c>
      <c r="R752" s="15">
        <f t="shared" si="87"/>
        <v>5.553140605965437E-2</v>
      </c>
      <c r="S752" s="18">
        <f t="shared" si="88"/>
        <v>-3.0565462876893434E-2</v>
      </c>
      <c r="T752" s="18">
        <f t="shared" si="89"/>
        <v>1.8594893689623859E-2</v>
      </c>
      <c r="U752" s="18">
        <f t="shared" si="90"/>
        <v>-5.9851868049918266E-3</v>
      </c>
    </row>
    <row r="753" spans="15:21" x14ac:dyDescent="0.25">
      <c r="O753" s="15">
        <v>735</v>
      </c>
      <c r="P753" s="15">
        <f t="shared" si="91"/>
        <v>5.553140605965437E-2</v>
      </c>
      <c r="Q753" s="15">
        <f t="shared" si="92"/>
        <v>5.5531406641730979E-2</v>
      </c>
      <c r="R753" s="15">
        <f t="shared" si="87"/>
        <v>5.5531406350692675E-2</v>
      </c>
      <c r="S753" s="18">
        <f t="shared" si="88"/>
        <v>-5.9851868049918266E-3</v>
      </c>
      <c r="T753" s="18">
        <f t="shared" si="89"/>
        <v>1.8594893689623859E-2</v>
      </c>
      <c r="U753" s="18">
        <f t="shared" si="90"/>
        <v>6.3048541405805736E-3</v>
      </c>
    </row>
    <row r="754" spans="15:21" x14ac:dyDescent="0.25">
      <c r="O754" s="15">
        <v>736</v>
      </c>
      <c r="P754" s="15">
        <f t="shared" si="91"/>
        <v>5.553140605965437E-2</v>
      </c>
      <c r="Q754" s="15">
        <f t="shared" si="92"/>
        <v>5.5531406350692675E-2</v>
      </c>
      <c r="R754" s="15">
        <f t="shared" si="87"/>
        <v>5.5531406205173522E-2</v>
      </c>
      <c r="S754" s="18">
        <f t="shared" si="88"/>
        <v>-5.9851868049918266E-3</v>
      </c>
      <c r="T754" s="18">
        <f t="shared" si="89"/>
        <v>6.3048541405805736E-3</v>
      </c>
      <c r="U754" s="18">
        <f t="shared" si="90"/>
        <v>1.5973541303537786E-4</v>
      </c>
    </row>
    <row r="755" spans="15:21" x14ac:dyDescent="0.25">
      <c r="O755" s="15">
        <v>737</v>
      </c>
      <c r="P755" s="15">
        <f t="shared" si="91"/>
        <v>5.553140605965437E-2</v>
      </c>
      <c r="Q755" s="15">
        <f t="shared" si="92"/>
        <v>5.5531406205173522E-2</v>
      </c>
      <c r="R755" s="15">
        <f t="shared" si="87"/>
        <v>5.5531406132413946E-2</v>
      </c>
      <c r="S755" s="18">
        <f t="shared" si="88"/>
        <v>-5.9851868049918266E-3</v>
      </c>
      <c r="T755" s="18">
        <f t="shared" si="89"/>
        <v>1.5973541303537786E-4</v>
      </c>
      <c r="U755" s="18">
        <f t="shared" si="90"/>
        <v>-2.9128244168532547E-3</v>
      </c>
    </row>
    <row r="756" spans="15:21" x14ac:dyDescent="0.25">
      <c r="O756" s="15">
        <v>738</v>
      </c>
      <c r="P756" s="15">
        <f t="shared" si="91"/>
        <v>5.5531406132413946E-2</v>
      </c>
      <c r="Q756" s="15">
        <f t="shared" si="92"/>
        <v>5.5531406205173522E-2</v>
      </c>
      <c r="R756" s="15">
        <f t="shared" si="87"/>
        <v>5.5531406168793734E-2</v>
      </c>
      <c r="S756" s="18">
        <f t="shared" si="88"/>
        <v>-2.9128244168532547E-3</v>
      </c>
      <c r="T756" s="18">
        <f t="shared" si="89"/>
        <v>1.5973541303537786E-4</v>
      </c>
      <c r="U756" s="18">
        <f t="shared" si="90"/>
        <v>-1.3764448494839598E-3</v>
      </c>
    </row>
    <row r="757" spans="15:21" x14ac:dyDescent="0.25">
      <c r="O757" s="15">
        <v>739</v>
      </c>
      <c r="P757" s="15">
        <f t="shared" si="91"/>
        <v>5.5531406168793734E-2</v>
      </c>
      <c r="Q757" s="15">
        <f t="shared" si="92"/>
        <v>5.5531406205173522E-2</v>
      </c>
      <c r="R757" s="15">
        <f t="shared" si="87"/>
        <v>5.5531406186983628E-2</v>
      </c>
      <c r="S757" s="18">
        <f t="shared" si="88"/>
        <v>-1.3764448494839598E-3</v>
      </c>
      <c r="T757" s="18">
        <f t="shared" si="89"/>
        <v>1.5973541303537786E-4</v>
      </c>
      <c r="U757" s="18">
        <f t="shared" si="90"/>
        <v>-6.0825809396192199E-4</v>
      </c>
    </row>
    <row r="758" spans="15:21" x14ac:dyDescent="0.25">
      <c r="O758" s="15">
        <v>740</v>
      </c>
      <c r="P758" s="15">
        <f t="shared" si="91"/>
        <v>5.5531406186983628E-2</v>
      </c>
      <c r="Q758" s="15">
        <f t="shared" si="92"/>
        <v>5.5531406205173522E-2</v>
      </c>
      <c r="R758" s="15">
        <f t="shared" si="87"/>
        <v>5.5531406196078575E-2</v>
      </c>
      <c r="S758" s="18">
        <f t="shared" si="88"/>
        <v>-6.0825809396192199E-4</v>
      </c>
      <c r="T758" s="18">
        <f t="shared" si="89"/>
        <v>1.5973541303537786E-4</v>
      </c>
      <c r="U758" s="18">
        <f t="shared" si="90"/>
        <v>-2.2426110808737576E-4</v>
      </c>
    </row>
    <row r="759" spans="15:21" x14ac:dyDescent="0.25">
      <c r="O759" s="15">
        <v>741</v>
      </c>
      <c r="P759" s="15">
        <f t="shared" si="91"/>
        <v>5.5531406196078575E-2</v>
      </c>
      <c r="Q759" s="15">
        <f t="shared" si="92"/>
        <v>5.5531406205173522E-2</v>
      </c>
      <c r="R759" s="15">
        <f t="shared" si="87"/>
        <v>5.5531406200626049E-2</v>
      </c>
      <c r="S759" s="18">
        <f t="shared" si="88"/>
        <v>-2.2426110808737576E-4</v>
      </c>
      <c r="T759" s="18">
        <f t="shared" si="89"/>
        <v>1.5973541303537786E-4</v>
      </c>
      <c r="U759" s="18">
        <f t="shared" si="90"/>
        <v>-3.2261682008538628E-5</v>
      </c>
    </row>
    <row r="760" spans="15:21" x14ac:dyDescent="0.25">
      <c r="O760" s="15">
        <v>742</v>
      </c>
      <c r="P760" s="15">
        <f t="shared" si="91"/>
        <v>5.5531406200626049E-2</v>
      </c>
      <c r="Q760" s="15">
        <f t="shared" si="92"/>
        <v>5.5531406205173522E-2</v>
      </c>
      <c r="R760" s="15">
        <f t="shared" si="87"/>
        <v>5.5531406202899786E-2</v>
      </c>
      <c r="S760" s="18">
        <f t="shared" si="88"/>
        <v>-3.2261682008538628E-5</v>
      </c>
      <c r="T760" s="18">
        <f t="shared" si="89"/>
        <v>1.5973541303537786E-4</v>
      </c>
      <c r="U760" s="18">
        <f t="shared" si="90"/>
        <v>6.3735001731402008E-5</v>
      </c>
    </row>
    <row r="761" spans="15:21" x14ac:dyDescent="0.25">
      <c r="O761" s="15">
        <v>743</v>
      </c>
      <c r="P761" s="15">
        <f t="shared" si="91"/>
        <v>5.5531406200626049E-2</v>
      </c>
      <c r="Q761" s="15">
        <f t="shared" si="92"/>
        <v>5.5531406202899786E-2</v>
      </c>
      <c r="R761" s="15">
        <f t="shared" si="87"/>
        <v>5.5531406201762917E-2</v>
      </c>
      <c r="S761" s="18">
        <f t="shared" si="88"/>
        <v>-3.2261682008538628E-5</v>
      </c>
      <c r="T761" s="18">
        <f t="shared" si="89"/>
        <v>6.3735001731402008E-5</v>
      </c>
      <c r="U761" s="18">
        <f t="shared" si="90"/>
        <v>1.5737591638753656E-5</v>
      </c>
    </row>
    <row r="762" spans="15:21" x14ac:dyDescent="0.25">
      <c r="O762" s="15">
        <v>744</v>
      </c>
      <c r="P762" s="15">
        <f t="shared" si="91"/>
        <v>5.5531406200626049E-2</v>
      </c>
      <c r="Q762" s="15">
        <f t="shared" si="92"/>
        <v>5.5531406201762917E-2</v>
      </c>
      <c r="R762" s="15">
        <f t="shared" si="87"/>
        <v>5.5531406201194483E-2</v>
      </c>
      <c r="S762" s="18">
        <f t="shared" si="88"/>
        <v>-3.2261682008538628E-5</v>
      </c>
      <c r="T762" s="18">
        <f t="shared" si="89"/>
        <v>1.5737591638753656E-5</v>
      </c>
      <c r="U762" s="18">
        <f t="shared" si="90"/>
        <v>-8.2643750829447526E-6</v>
      </c>
    </row>
    <row r="763" spans="15:21" x14ac:dyDescent="0.25">
      <c r="O763" s="15">
        <v>745</v>
      </c>
      <c r="P763" s="15">
        <f t="shared" si="91"/>
        <v>5.5531406201194483E-2</v>
      </c>
      <c r="Q763" s="15">
        <f t="shared" si="92"/>
        <v>5.5531406201762917E-2</v>
      </c>
      <c r="R763" s="15">
        <f t="shared" si="87"/>
        <v>5.55314062014787E-2</v>
      </c>
      <c r="S763" s="18">
        <f t="shared" si="88"/>
        <v>-8.2643750829447526E-6</v>
      </c>
      <c r="T763" s="18">
        <f t="shared" si="89"/>
        <v>1.5737591638753656E-5</v>
      </c>
      <c r="U763" s="18">
        <f t="shared" si="90"/>
        <v>3.8341636354743969E-6</v>
      </c>
    </row>
    <row r="764" spans="15:21" x14ac:dyDescent="0.25">
      <c r="O764" s="15">
        <v>746</v>
      </c>
      <c r="P764" s="15">
        <f t="shared" si="91"/>
        <v>5.5531406201194483E-2</v>
      </c>
      <c r="Q764" s="15">
        <f t="shared" si="92"/>
        <v>5.55314062014787E-2</v>
      </c>
      <c r="R764" s="15">
        <f t="shared" si="87"/>
        <v>5.5531406201336592E-2</v>
      </c>
      <c r="S764" s="18">
        <f t="shared" si="88"/>
        <v>-8.2643750829447526E-6</v>
      </c>
      <c r="T764" s="18">
        <f t="shared" si="89"/>
        <v>3.8341636354743969E-6</v>
      </c>
      <c r="U764" s="18">
        <f t="shared" si="90"/>
        <v>-2.2141739464132115E-6</v>
      </c>
    </row>
    <row r="765" spans="15:21" x14ac:dyDescent="0.25">
      <c r="O765" s="15">
        <v>747</v>
      </c>
      <c r="P765" s="15">
        <f t="shared" si="91"/>
        <v>5.5531406201336592E-2</v>
      </c>
      <c r="Q765" s="15">
        <f t="shared" si="92"/>
        <v>5.55314062014787E-2</v>
      </c>
      <c r="R765" s="15">
        <f t="shared" si="87"/>
        <v>5.5531406201407646E-2</v>
      </c>
      <c r="S765" s="18">
        <f t="shared" si="88"/>
        <v>-2.2141739464132115E-6</v>
      </c>
      <c r="T765" s="18">
        <f t="shared" si="89"/>
        <v>3.8341636354743969E-6</v>
      </c>
      <c r="U765" s="18">
        <f t="shared" si="90"/>
        <v>7.1383738031727262E-7</v>
      </c>
    </row>
    <row r="766" spans="15:21" x14ac:dyDescent="0.25">
      <c r="O766" s="15">
        <v>748</v>
      </c>
      <c r="P766" s="15">
        <f t="shared" si="91"/>
        <v>5.5531406201336592E-2</v>
      </c>
      <c r="Q766" s="15">
        <f t="shared" si="92"/>
        <v>5.5531406201407646E-2</v>
      </c>
      <c r="R766" s="15">
        <f t="shared" si="87"/>
        <v>5.5531406201372119E-2</v>
      </c>
      <c r="S766" s="18">
        <f t="shared" si="88"/>
        <v>-2.2141739464132115E-6</v>
      </c>
      <c r="T766" s="18">
        <f t="shared" si="89"/>
        <v>7.1383738031727262E-7</v>
      </c>
      <c r="U766" s="18">
        <f t="shared" si="90"/>
        <v>-6.5354470279999077E-7</v>
      </c>
    </row>
    <row r="767" spans="15:21" x14ac:dyDescent="0.25">
      <c r="O767" s="15">
        <v>749</v>
      </c>
      <c r="P767" s="15">
        <f t="shared" si="91"/>
        <v>5.5531406201372119E-2</v>
      </c>
      <c r="Q767" s="15">
        <f t="shared" si="92"/>
        <v>5.5531406201407646E-2</v>
      </c>
      <c r="R767" s="15">
        <f t="shared" si="87"/>
        <v>5.5531406201389882E-2</v>
      </c>
      <c r="S767" s="18">
        <f t="shared" si="88"/>
        <v>-6.5354470279999077E-7</v>
      </c>
      <c r="T767" s="18">
        <f t="shared" si="89"/>
        <v>7.1383738031727262E-7</v>
      </c>
      <c r="U767" s="18">
        <f t="shared" si="90"/>
        <v>3.0612227419624105E-8</v>
      </c>
    </row>
    <row r="768" spans="15:21" x14ac:dyDescent="0.25">
      <c r="O768" s="15">
        <v>750</v>
      </c>
      <c r="P768" s="15">
        <f t="shared" si="91"/>
        <v>5.5531406201372119E-2</v>
      </c>
      <c r="Q768" s="15">
        <f t="shared" si="92"/>
        <v>5.5531406201389882E-2</v>
      </c>
      <c r="R768" s="15">
        <f t="shared" si="87"/>
        <v>5.5531406201381001E-2</v>
      </c>
      <c r="S768" s="18">
        <f t="shared" si="88"/>
        <v>-6.5354470279999077E-7</v>
      </c>
      <c r="T768" s="18">
        <f t="shared" si="89"/>
        <v>3.0612227419624105E-8</v>
      </c>
      <c r="U768" s="18">
        <f t="shared" si="90"/>
        <v>-3.1053423299454153E-7</v>
      </c>
    </row>
    <row r="769" spans="15:21" x14ac:dyDescent="0.25">
      <c r="O769" s="15">
        <v>751</v>
      </c>
      <c r="P769" s="15">
        <f t="shared" si="91"/>
        <v>5.5531406201381001E-2</v>
      </c>
      <c r="Q769" s="15">
        <f t="shared" si="92"/>
        <v>5.5531406201389882E-2</v>
      </c>
      <c r="R769" s="15">
        <f t="shared" si="87"/>
        <v>5.5531406201385441E-2</v>
      </c>
      <c r="S769" s="18">
        <f t="shared" si="88"/>
        <v>-3.1053423299454153E-7</v>
      </c>
      <c r="T769" s="18">
        <f t="shared" si="89"/>
        <v>3.0612227419624105E-8</v>
      </c>
      <c r="U769" s="18">
        <f t="shared" si="90"/>
        <v>-2.3821530703571625E-7</v>
      </c>
    </row>
    <row r="770" spans="15:21" x14ac:dyDescent="0.25">
      <c r="O770" s="15">
        <v>752</v>
      </c>
      <c r="P770" s="15">
        <f t="shared" si="91"/>
        <v>5.5531406201385441E-2</v>
      </c>
      <c r="Q770" s="15">
        <f t="shared" si="92"/>
        <v>5.5531406201389882E-2</v>
      </c>
      <c r="R770" s="15">
        <f t="shared" si="87"/>
        <v>5.5531406201387662E-2</v>
      </c>
      <c r="S770" s="18">
        <f t="shared" si="88"/>
        <v>-2.3821530703571625E-7</v>
      </c>
      <c r="T770" s="18">
        <f t="shared" si="89"/>
        <v>3.0612227419624105E-8</v>
      </c>
      <c r="U770" s="18">
        <f t="shared" si="90"/>
        <v>-1.0403437045169994E-7</v>
      </c>
    </row>
    <row r="771" spans="15:21" x14ac:dyDescent="0.25">
      <c r="O771" s="15">
        <v>753</v>
      </c>
      <c r="P771" s="15">
        <f t="shared" si="91"/>
        <v>5.5531406201387662E-2</v>
      </c>
      <c r="Q771" s="15">
        <f t="shared" si="92"/>
        <v>5.5531406201389882E-2</v>
      </c>
      <c r="R771" s="15">
        <f t="shared" si="87"/>
        <v>5.5531406201388772E-2</v>
      </c>
      <c r="S771" s="18">
        <f t="shared" si="88"/>
        <v>-1.0403437045169994E-7</v>
      </c>
      <c r="T771" s="18">
        <f t="shared" si="89"/>
        <v>3.0612227419624105E-8</v>
      </c>
      <c r="U771" s="18">
        <f t="shared" si="90"/>
        <v>6.1310856835916638E-8</v>
      </c>
    </row>
    <row r="772" spans="15:21" x14ac:dyDescent="0.25">
      <c r="O772" s="15">
        <v>754</v>
      </c>
      <c r="P772" s="15">
        <f t="shared" si="91"/>
        <v>5.5531406201387662E-2</v>
      </c>
      <c r="Q772" s="15">
        <f t="shared" si="92"/>
        <v>5.5531406201388772E-2</v>
      </c>
      <c r="R772" s="15">
        <f t="shared" si="87"/>
        <v>5.5531406201388217E-2</v>
      </c>
      <c r="S772" s="18">
        <f t="shared" si="88"/>
        <v>-1.0403437045169994E-7</v>
      </c>
      <c r="T772" s="18">
        <f t="shared" si="89"/>
        <v>6.1310856835916638E-8</v>
      </c>
      <c r="U772" s="18">
        <f t="shared" si="90"/>
        <v>-1.2310601960052736E-7</v>
      </c>
    </row>
    <row r="773" spans="15:21" x14ac:dyDescent="0.25">
      <c r="O773" s="15">
        <v>755</v>
      </c>
      <c r="P773" s="15">
        <f t="shared" si="91"/>
        <v>5.5531406201388217E-2</v>
      </c>
      <c r="Q773" s="15">
        <f t="shared" si="92"/>
        <v>5.5531406201388772E-2</v>
      </c>
      <c r="R773" s="15">
        <f t="shared" si="87"/>
        <v>5.5531406201388495E-2</v>
      </c>
      <c r="S773" s="18">
        <f t="shared" si="88"/>
        <v>-1.2310601960052736E-7</v>
      </c>
      <c r="T773" s="18">
        <f t="shared" si="89"/>
        <v>6.1310856835916638E-8</v>
      </c>
      <c r="U773" s="18">
        <f t="shared" si="90"/>
        <v>-1.3054977898718789E-7</v>
      </c>
    </row>
    <row r="774" spans="15:21" x14ac:dyDescent="0.25">
      <c r="O774" s="15">
        <v>756</v>
      </c>
      <c r="P774" s="15">
        <f t="shared" si="91"/>
        <v>5.5531406201388495E-2</v>
      </c>
      <c r="Q774" s="15">
        <f t="shared" si="92"/>
        <v>5.5531406201388772E-2</v>
      </c>
      <c r="R774" s="15">
        <f t="shared" si="87"/>
        <v>5.5531406201388633E-2</v>
      </c>
      <c r="S774" s="18">
        <f t="shared" si="88"/>
        <v>-1.3054977898718789E-7</v>
      </c>
      <c r="T774" s="18">
        <f t="shared" si="89"/>
        <v>6.1310856835916638E-8</v>
      </c>
      <c r="U774" s="18">
        <f t="shared" si="90"/>
        <v>6.1310856835916638E-8</v>
      </c>
    </row>
    <row r="775" spans="15:21" x14ac:dyDescent="0.25">
      <c r="O775" s="15">
        <v>757</v>
      </c>
      <c r="P775" s="15">
        <f t="shared" si="91"/>
        <v>5.5531406201388495E-2</v>
      </c>
      <c r="Q775" s="15">
        <f t="shared" si="92"/>
        <v>5.5531406201388633E-2</v>
      </c>
      <c r="R775" s="15">
        <f t="shared" si="87"/>
        <v>5.5531406201388564E-2</v>
      </c>
      <c r="S775" s="18">
        <f t="shared" si="88"/>
        <v>-1.3054977898718789E-7</v>
      </c>
      <c r="T775" s="18">
        <f t="shared" si="89"/>
        <v>6.1310856835916638E-8</v>
      </c>
      <c r="U775" s="18">
        <f t="shared" si="90"/>
        <v>-1.3054977898718789E-7</v>
      </c>
    </row>
    <row r="776" spans="15:21" x14ac:dyDescent="0.25">
      <c r="O776" s="15">
        <v>758</v>
      </c>
      <c r="P776" s="15">
        <f t="shared" si="91"/>
        <v>5.5531406201388564E-2</v>
      </c>
      <c r="Q776" s="15">
        <f t="shared" si="92"/>
        <v>5.5531406201388633E-2</v>
      </c>
      <c r="R776" s="15">
        <f t="shared" si="87"/>
        <v>5.5531406201388599E-2</v>
      </c>
      <c r="S776" s="18">
        <f t="shared" si="88"/>
        <v>-1.3054977898718789E-7</v>
      </c>
      <c r="T776" s="18">
        <f t="shared" si="89"/>
        <v>6.1310856835916638E-8</v>
      </c>
      <c r="U776" s="18">
        <f t="shared" si="90"/>
        <v>-1.3054977898718789E-7</v>
      </c>
    </row>
    <row r="777" spans="15:21" x14ac:dyDescent="0.25">
      <c r="O777" s="15">
        <v>759</v>
      </c>
      <c r="P777" s="15">
        <f t="shared" si="91"/>
        <v>5.5531406201388599E-2</v>
      </c>
      <c r="Q777" s="15">
        <f t="shared" si="92"/>
        <v>5.5531406201388633E-2</v>
      </c>
      <c r="R777" s="15">
        <f t="shared" si="87"/>
        <v>5.5531406201388619E-2</v>
      </c>
      <c r="S777" s="18">
        <f t="shared" si="88"/>
        <v>-1.3054977898718789E-7</v>
      </c>
      <c r="T777" s="18">
        <f t="shared" si="89"/>
        <v>6.1310856835916638E-8</v>
      </c>
      <c r="U777" s="18">
        <f t="shared" si="90"/>
        <v>-1.3054977898718789E-7</v>
      </c>
    </row>
    <row r="778" spans="15:21" x14ac:dyDescent="0.25">
      <c r="O778" s="15">
        <v>760</v>
      </c>
      <c r="P778" s="15">
        <f t="shared" si="91"/>
        <v>5.5531406201388619E-2</v>
      </c>
      <c r="Q778" s="15">
        <f t="shared" si="92"/>
        <v>5.5531406201388633E-2</v>
      </c>
      <c r="R778" s="15">
        <f t="shared" si="87"/>
        <v>5.5531406201388626E-2</v>
      </c>
      <c r="S778" s="18">
        <f t="shared" si="88"/>
        <v>-1.3054977898718789E-7</v>
      </c>
      <c r="T778" s="18">
        <f t="shared" si="89"/>
        <v>6.1310856835916638E-8</v>
      </c>
      <c r="U778" s="18">
        <f t="shared" si="90"/>
        <v>-1.3054977898718789E-7</v>
      </c>
    </row>
    <row r="779" spans="15:21" x14ac:dyDescent="0.25">
      <c r="O779" s="15">
        <v>761</v>
      </c>
      <c r="P779" s="15">
        <f t="shared" si="91"/>
        <v>5.5531406201388626E-2</v>
      </c>
      <c r="Q779" s="15">
        <f t="shared" si="92"/>
        <v>5.5531406201388633E-2</v>
      </c>
      <c r="R779" s="15">
        <f t="shared" si="87"/>
        <v>5.5531406201388633E-2</v>
      </c>
      <c r="S779" s="18">
        <f t="shared" si="88"/>
        <v>-1.3054977898718789E-7</v>
      </c>
      <c r="T779" s="18">
        <f t="shared" si="89"/>
        <v>6.1310856835916638E-8</v>
      </c>
      <c r="U779" s="18">
        <f t="shared" si="90"/>
        <v>6.1310856835916638E-8</v>
      </c>
    </row>
    <row r="780" spans="15:21" x14ac:dyDescent="0.25">
      <c r="O780" s="15">
        <v>762</v>
      </c>
      <c r="P780" s="15">
        <f t="shared" si="91"/>
        <v>5.5531406201388626E-2</v>
      </c>
      <c r="Q780" s="15">
        <f t="shared" si="92"/>
        <v>5.5531406201388633E-2</v>
      </c>
      <c r="R780" s="15">
        <f t="shared" si="87"/>
        <v>5.5531406201388633E-2</v>
      </c>
      <c r="S780" s="18">
        <f t="shared" si="88"/>
        <v>-1.3054977898718789E-7</v>
      </c>
      <c r="T780" s="18">
        <f t="shared" si="89"/>
        <v>6.1310856835916638E-8</v>
      </c>
      <c r="U780" s="18">
        <f t="shared" si="90"/>
        <v>6.1310856835916638E-8</v>
      </c>
    </row>
    <row r="781" spans="15:21" x14ac:dyDescent="0.25">
      <c r="O781" s="15">
        <v>763</v>
      </c>
      <c r="P781" s="15">
        <f t="shared" si="91"/>
        <v>5.5531406201388626E-2</v>
      </c>
      <c r="Q781" s="15">
        <f t="shared" si="92"/>
        <v>5.5531406201388633E-2</v>
      </c>
      <c r="R781" s="15">
        <f t="shared" si="87"/>
        <v>5.5531406201388633E-2</v>
      </c>
      <c r="S781" s="18">
        <f t="shared" si="88"/>
        <v>-1.3054977898718789E-7</v>
      </c>
      <c r="T781" s="18">
        <f t="shared" si="89"/>
        <v>6.1310856835916638E-8</v>
      </c>
      <c r="U781" s="18">
        <f t="shared" si="90"/>
        <v>6.1310856835916638E-8</v>
      </c>
    </row>
    <row r="782" spans="15:21" x14ac:dyDescent="0.25">
      <c r="O782" s="15">
        <v>764</v>
      </c>
      <c r="P782" s="15">
        <f t="shared" si="91"/>
        <v>5.5531406201388626E-2</v>
      </c>
      <c r="Q782" s="15">
        <f t="shared" si="92"/>
        <v>5.5531406201388633E-2</v>
      </c>
      <c r="R782" s="15">
        <f t="shared" si="87"/>
        <v>5.5531406201388633E-2</v>
      </c>
      <c r="S782" s="18">
        <f t="shared" si="88"/>
        <v>-1.3054977898718789E-7</v>
      </c>
      <c r="T782" s="18">
        <f t="shared" si="89"/>
        <v>6.1310856835916638E-8</v>
      </c>
      <c r="U782" s="18">
        <f t="shared" si="90"/>
        <v>6.1310856835916638E-8</v>
      </c>
    </row>
    <row r="783" spans="15:21" x14ac:dyDescent="0.25">
      <c r="O783" s="15">
        <v>765</v>
      </c>
      <c r="P783" s="15">
        <f t="shared" si="91"/>
        <v>5.5531406201388626E-2</v>
      </c>
      <c r="Q783" s="15">
        <f t="shared" si="92"/>
        <v>5.5531406201388633E-2</v>
      </c>
      <c r="R783" s="15">
        <f t="shared" ref="R783:R846" si="93">(P783+Q783)/2</f>
        <v>5.5531406201388633E-2</v>
      </c>
      <c r="S783" s="18">
        <f t="shared" ref="S783:S846" si="94">$E$4-$E$10-$E$11*(1+P783)^(-$E$5/$L$9)-$E$13*(1+P783)^(-$H$13/$L$9)-$E$14*(1+P783)^(-$H$14/$L$9) +$E$24*((1-(1+P783)^(-$E$5/$L$9)))/(1-(1+P783)^(1/$L$9))+$E$17*((1-(1+P783)^(-$J$20/$M$4)))/(1-(1+P783)^(1/$M$4))+$E$18*((1-(1+P783)^(-$J$21/$M$5)))/(1-(1+P783)^(1/$M$5))+$E$19*((1-(1+P783)^(-$J$22/$M$6)))/(1-(1+P783)^(1/$M$6))+$E$20*((1-(1+P783)^(-$J$23/$M$7)))/(1-(1+P783)^(1/$M$7))+$E$21*((1-(1+P783)^(-$J$24/$M$8)))/(1-(1+P783)^(1/$M$8))</f>
        <v>-1.3054977898718789E-7</v>
      </c>
      <c r="T783" s="18">
        <f t="shared" ref="T783:T846" si="95">$E$4-$E$10-$E$11*(1+Q783)^(-$E$5/$L$9)-$E$13*(1+Q783)^(-$H$13/$L$9)-$E$14*(1+Q783)^(-$H$14/$L$9) +$E$24*((1-(1+Q783)^(-$E$5/$L$9)))/(1-(1+Q783)^(1/$L$9))+$E$17*((1-(1+Q783)^(-$J$20/$M$4)))/(1-(1+Q783)^(1/$M$4))+$E$18*((1-(1+Q783)^(-$J$21/$M$5)))/(1-(1+Q783)^(1/$M$5))+$E$19*((1-(1+Q783)^(-$J$22/$M$6)))/(1-(1+Q783)^(1/$M$6))+$E$20*((1-(1+Q783)^(-$J$23/$M$7)))/(1-(1+Q783)^(1/$M$7))+$E$21*((1-(1+Q783)^(-$J$24/$M$8)))/(1-(1+Q783)^(1/$M$8))</f>
        <v>6.1310856835916638E-8</v>
      </c>
      <c r="U783" s="18">
        <f t="shared" ref="U783:U846" si="96">$E$4-$E$10-$E$11*(1+R783)^(-$E$5/$L$9)-$E$13*(1+R783)^(-$H$13/$L$9)-$E$14*(1+R783)^(-$H$14/$L$9) +$E$24*((1-(1+R783)^(-$E$5/$L$9)))/(1-(1+R783)^(1/$L$9))+$E$17*((1-(1+R783)^(-$J$20/$M$4)))/(1-(1+R783)^(1/$M$4))+$E$18*((1-(1+R783)^(-$J$21/$M$5)))/(1-(1+R783)^(1/$M$5))+$E$19*((1-(1+R783)^(-$J$22/$M$6)))/(1-(1+R783)^(1/$M$6))+$E$20*((1-(1+R783)^(-$J$23/$M$7)))/(1-(1+R783)^(1/$M$7))+$E$21*((1-(1+R783)^(-$J$24/$M$8)))/(1-(1+R783)^(1/$M$8))</f>
        <v>6.1310856835916638E-8</v>
      </c>
    </row>
    <row r="784" spans="15:21" x14ac:dyDescent="0.25">
      <c r="O784" s="15">
        <v>766</v>
      </c>
      <c r="P784" s="15">
        <f t="shared" ref="P784:P818" si="97">IF(S783*U783&gt;=0,R783,P783)</f>
        <v>5.5531406201388626E-2</v>
      </c>
      <c r="Q784" s="15">
        <f t="shared" ref="Q784:Q818" si="98">IF(T783*U783&gt;=0,R783,Q783)</f>
        <v>5.5531406201388633E-2</v>
      </c>
      <c r="R784" s="15">
        <f t="shared" si="93"/>
        <v>5.5531406201388633E-2</v>
      </c>
      <c r="S784" s="18">
        <f t="shared" si="94"/>
        <v>-1.3054977898718789E-7</v>
      </c>
      <c r="T784" s="18">
        <f t="shared" si="95"/>
        <v>6.1310856835916638E-8</v>
      </c>
      <c r="U784" s="18">
        <f t="shared" si="96"/>
        <v>6.1310856835916638E-8</v>
      </c>
    </row>
    <row r="785" spans="15:21" x14ac:dyDescent="0.25">
      <c r="O785" s="15">
        <v>767</v>
      </c>
      <c r="P785" s="15">
        <f t="shared" si="97"/>
        <v>5.5531406201388626E-2</v>
      </c>
      <c r="Q785" s="15">
        <f t="shared" si="98"/>
        <v>5.5531406201388633E-2</v>
      </c>
      <c r="R785" s="15">
        <f t="shared" si="93"/>
        <v>5.5531406201388633E-2</v>
      </c>
      <c r="S785" s="18">
        <f t="shared" si="94"/>
        <v>-1.3054977898718789E-7</v>
      </c>
      <c r="T785" s="18">
        <f t="shared" si="95"/>
        <v>6.1310856835916638E-8</v>
      </c>
      <c r="U785" s="18">
        <f t="shared" si="96"/>
        <v>6.1310856835916638E-8</v>
      </c>
    </row>
    <row r="786" spans="15:21" x14ac:dyDescent="0.25">
      <c r="O786" s="15">
        <v>768</v>
      </c>
      <c r="P786" s="15">
        <f t="shared" si="97"/>
        <v>5.5531406201388626E-2</v>
      </c>
      <c r="Q786" s="15">
        <f t="shared" si="98"/>
        <v>5.5531406201388633E-2</v>
      </c>
      <c r="R786" s="15">
        <f t="shared" si="93"/>
        <v>5.5531406201388633E-2</v>
      </c>
      <c r="S786" s="18">
        <f t="shared" si="94"/>
        <v>-1.3054977898718789E-7</v>
      </c>
      <c r="T786" s="18">
        <f t="shared" si="95"/>
        <v>6.1310856835916638E-8</v>
      </c>
      <c r="U786" s="18">
        <f t="shared" si="96"/>
        <v>6.1310856835916638E-8</v>
      </c>
    </row>
    <row r="787" spans="15:21" x14ac:dyDescent="0.25">
      <c r="O787" s="15">
        <v>769</v>
      </c>
      <c r="P787" s="15">
        <f t="shared" si="97"/>
        <v>5.5531406201388626E-2</v>
      </c>
      <c r="Q787" s="15">
        <f t="shared" si="98"/>
        <v>5.5531406201388633E-2</v>
      </c>
      <c r="R787" s="15">
        <f t="shared" si="93"/>
        <v>5.5531406201388633E-2</v>
      </c>
      <c r="S787" s="18">
        <f t="shared" si="94"/>
        <v>-1.3054977898718789E-7</v>
      </c>
      <c r="T787" s="18">
        <f t="shared" si="95"/>
        <v>6.1310856835916638E-8</v>
      </c>
      <c r="U787" s="18">
        <f t="shared" si="96"/>
        <v>6.1310856835916638E-8</v>
      </c>
    </row>
    <row r="788" spans="15:21" x14ac:dyDescent="0.25">
      <c r="O788" s="15">
        <v>770</v>
      </c>
      <c r="P788" s="15">
        <f t="shared" si="97"/>
        <v>5.5531406201388626E-2</v>
      </c>
      <c r="Q788" s="15">
        <f t="shared" si="98"/>
        <v>5.5531406201388633E-2</v>
      </c>
      <c r="R788" s="15">
        <f t="shared" si="93"/>
        <v>5.5531406201388633E-2</v>
      </c>
      <c r="S788" s="18">
        <f t="shared" si="94"/>
        <v>-1.3054977898718789E-7</v>
      </c>
      <c r="T788" s="18">
        <f t="shared" si="95"/>
        <v>6.1310856835916638E-8</v>
      </c>
      <c r="U788" s="18">
        <f t="shared" si="96"/>
        <v>6.1310856835916638E-8</v>
      </c>
    </row>
    <row r="789" spans="15:21" x14ac:dyDescent="0.25">
      <c r="O789" s="15">
        <v>771</v>
      </c>
      <c r="P789" s="15">
        <f t="shared" si="97"/>
        <v>5.5531406201388626E-2</v>
      </c>
      <c r="Q789" s="15">
        <f t="shared" si="98"/>
        <v>5.5531406201388633E-2</v>
      </c>
      <c r="R789" s="15">
        <f t="shared" si="93"/>
        <v>5.5531406201388633E-2</v>
      </c>
      <c r="S789" s="18">
        <f t="shared" si="94"/>
        <v>-1.3054977898718789E-7</v>
      </c>
      <c r="T789" s="18">
        <f t="shared" si="95"/>
        <v>6.1310856835916638E-8</v>
      </c>
      <c r="U789" s="18">
        <f t="shared" si="96"/>
        <v>6.1310856835916638E-8</v>
      </c>
    </row>
    <row r="790" spans="15:21" x14ac:dyDescent="0.25">
      <c r="O790" s="15">
        <v>772</v>
      </c>
      <c r="P790" s="15">
        <f t="shared" si="97"/>
        <v>5.5531406201388626E-2</v>
      </c>
      <c r="Q790" s="15">
        <f t="shared" si="98"/>
        <v>5.5531406201388633E-2</v>
      </c>
      <c r="R790" s="15">
        <f t="shared" si="93"/>
        <v>5.5531406201388633E-2</v>
      </c>
      <c r="S790" s="18">
        <f t="shared" si="94"/>
        <v>-1.3054977898718789E-7</v>
      </c>
      <c r="T790" s="18">
        <f t="shared" si="95"/>
        <v>6.1310856835916638E-8</v>
      </c>
      <c r="U790" s="18">
        <f t="shared" si="96"/>
        <v>6.1310856835916638E-8</v>
      </c>
    </row>
    <row r="791" spans="15:21" x14ac:dyDescent="0.25">
      <c r="O791" s="15">
        <v>773</v>
      </c>
      <c r="P791" s="15">
        <f t="shared" si="97"/>
        <v>5.5531406201388626E-2</v>
      </c>
      <c r="Q791" s="15">
        <f t="shared" si="98"/>
        <v>5.5531406201388633E-2</v>
      </c>
      <c r="R791" s="15">
        <f t="shared" si="93"/>
        <v>5.5531406201388633E-2</v>
      </c>
      <c r="S791" s="18">
        <f t="shared" si="94"/>
        <v>-1.3054977898718789E-7</v>
      </c>
      <c r="T791" s="18">
        <f t="shared" si="95"/>
        <v>6.1310856835916638E-8</v>
      </c>
      <c r="U791" s="18">
        <f t="shared" si="96"/>
        <v>6.1310856835916638E-8</v>
      </c>
    </row>
    <row r="792" spans="15:21" x14ac:dyDescent="0.25">
      <c r="O792" s="15">
        <v>774</v>
      </c>
      <c r="P792" s="15">
        <f t="shared" si="97"/>
        <v>5.5531406201388626E-2</v>
      </c>
      <c r="Q792" s="15">
        <f t="shared" si="98"/>
        <v>5.5531406201388633E-2</v>
      </c>
      <c r="R792" s="15">
        <f t="shared" si="93"/>
        <v>5.5531406201388633E-2</v>
      </c>
      <c r="S792" s="18">
        <f t="shared" si="94"/>
        <v>-1.3054977898718789E-7</v>
      </c>
      <c r="T792" s="18">
        <f t="shared" si="95"/>
        <v>6.1310856835916638E-8</v>
      </c>
      <c r="U792" s="18">
        <f t="shared" si="96"/>
        <v>6.1310856835916638E-8</v>
      </c>
    </row>
    <row r="793" spans="15:21" x14ac:dyDescent="0.25">
      <c r="O793" s="15">
        <v>775</v>
      </c>
      <c r="P793" s="15">
        <f t="shared" si="97"/>
        <v>5.5531406201388626E-2</v>
      </c>
      <c r="Q793" s="15">
        <f t="shared" si="98"/>
        <v>5.5531406201388633E-2</v>
      </c>
      <c r="R793" s="15">
        <f t="shared" si="93"/>
        <v>5.5531406201388633E-2</v>
      </c>
      <c r="S793" s="18">
        <f t="shared" si="94"/>
        <v>-1.3054977898718789E-7</v>
      </c>
      <c r="T793" s="18">
        <f t="shared" si="95"/>
        <v>6.1310856835916638E-8</v>
      </c>
      <c r="U793" s="18">
        <f t="shared" si="96"/>
        <v>6.1310856835916638E-8</v>
      </c>
    </row>
    <row r="794" spans="15:21" x14ac:dyDescent="0.25">
      <c r="O794" s="15">
        <v>776</v>
      </c>
      <c r="P794" s="15">
        <f t="shared" si="97"/>
        <v>5.5531406201388626E-2</v>
      </c>
      <c r="Q794" s="15">
        <f t="shared" si="98"/>
        <v>5.5531406201388633E-2</v>
      </c>
      <c r="R794" s="15">
        <f t="shared" si="93"/>
        <v>5.5531406201388633E-2</v>
      </c>
      <c r="S794" s="18">
        <f t="shared" si="94"/>
        <v>-1.3054977898718789E-7</v>
      </c>
      <c r="T794" s="18">
        <f t="shared" si="95"/>
        <v>6.1310856835916638E-8</v>
      </c>
      <c r="U794" s="18">
        <f t="shared" si="96"/>
        <v>6.1310856835916638E-8</v>
      </c>
    </row>
    <row r="795" spans="15:21" x14ac:dyDescent="0.25">
      <c r="O795" s="15">
        <v>777</v>
      </c>
      <c r="P795" s="15">
        <f t="shared" si="97"/>
        <v>5.5531406201388626E-2</v>
      </c>
      <c r="Q795" s="15">
        <f t="shared" si="98"/>
        <v>5.5531406201388633E-2</v>
      </c>
      <c r="R795" s="15">
        <f t="shared" si="93"/>
        <v>5.5531406201388633E-2</v>
      </c>
      <c r="S795" s="18">
        <f t="shared" si="94"/>
        <v>-1.3054977898718789E-7</v>
      </c>
      <c r="T795" s="18">
        <f t="shared" si="95"/>
        <v>6.1310856835916638E-8</v>
      </c>
      <c r="U795" s="18">
        <f t="shared" si="96"/>
        <v>6.1310856835916638E-8</v>
      </c>
    </row>
    <row r="796" spans="15:21" x14ac:dyDescent="0.25">
      <c r="O796" s="15">
        <v>778</v>
      </c>
      <c r="P796" s="15">
        <f t="shared" si="97"/>
        <v>5.5531406201388626E-2</v>
      </c>
      <c r="Q796" s="15">
        <f t="shared" si="98"/>
        <v>5.5531406201388633E-2</v>
      </c>
      <c r="R796" s="15">
        <f t="shared" si="93"/>
        <v>5.5531406201388633E-2</v>
      </c>
      <c r="S796" s="18">
        <f t="shared" si="94"/>
        <v>-1.3054977898718789E-7</v>
      </c>
      <c r="T796" s="18">
        <f t="shared" si="95"/>
        <v>6.1310856835916638E-8</v>
      </c>
      <c r="U796" s="18">
        <f t="shared" si="96"/>
        <v>6.1310856835916638E-8</v>
      </c>
    </row>
    <row r="797" spans="15:21" x14ac:dyDescent="0.25">
      <c r="O797" s="15">
        <v>779</v>
      </c>
      <c r="P797" s="15">
        <f t="shared" si="97"/>
        <v>5.5531406201388626E-2</v>
      </c>
      <c r="Q797" s="15">
        <f t="shared" si="98"/>
        <v>5.5531406201388633E-2</v>
      </c>
      <c r="R797" s="15">
        <f t="shared" si="93"/>
        <v>5.5531406201388633E-2</v>
      </c>
      <c r="S797" s="18">
        <f t="shared" si="94"/>
        <v>-1.3054977898718789E-7</v>
      </c>
      <c r="T797" s="18">
        <f t="shared" si="95"/>
        <v>6.1310856835916638E-8</v>
      </c>
      <c r="U797" s="18">
        <f t="shared" si="96"/>
        <v>6.1310856835916638E-8</v>
      </c>
    </row>
    <row r="798" spans="15:21" x14ac:dyDescent="0.25">
      <c r="O798" s="15">
        <v>780</v>
      </c>
      <c r="P798" s="15">
        <f t="shared" si="97"/>
        <v>5.5531406201388626E-2</v>
      </c>
      <c r="Q798" s="15">
        <f t="shared" si="98"/>
        <v>5.5531406201388633E-2</v>
      </c>
      <c r="R798" s="15">
        <f t="shared" si="93"/>
        <v>5.5531406201388633E-2</v>
      </c>
      <c r="S798" s="18">
        <f t="shared" si="94"/>
        <v>-1.3054977898718789E-7</v>
      </c>
      <c r="T798" s="18">
        <f t="shared" si="95"/>
        <v>6.1310856835916638E-8</v>
      </c>
      <c r="U798" s="18">
        <f t="shared" si="96"/>
        <v>6.1310856835916638E-8</v>
      </c>
    </row>
    <row r="799" spans="15:21" x14ac:dyDescent="0.25">
      <c r="O799" s="15">
        <v>781</v>
      </c>
      <c r="P799" s="15">
        <f t="shared" si="97"/>
        <v>5.5531406201388626E-2</v>
      </c>
      <c r="Q799" s="15">
        <f t="shared" si="98"/>
        <v>5.5531406201388633E-2</v>
      </c>
      <c r="R799" s="15">
        <f t="shared" si="93"/>
        <v>5.5531406201388633E-2</v>
      </c>
      <c r="S799" s="18">
        <f t="shared" si="94"/>
        <v>-1.3054977898718789E-7</v>
      </c>
      <c r="T799" s="18">
        <f t="shared" si="95"/>
        <v>6.1310856835916638E-8</v>
      </c>
      <c r="U799" s="18">
        <f t="shared" si="96"/>
        <v>6.1310856835916638E-8</v>
      </c>
    </row>
    <row r="800" spans="15:21" x14ac:dyDescent="0.25">
      <c r="O800" s="15">
        <v>782</v>
      </c>
      <c r="P800" s="15">
        <f t="shared" si="97"/>
        <v>5.5531406201388626E-2</v>
      </c>
      <c r="Q800" s="15">
        <f t="shared" si="98"/>
        <v>5.5531406201388633E-2</v>
      </c>
      <c r="R800" s="15">
        <f t="shared" si="93"/>
        <v>5.5531406201388633E-2</v>
      </c>
      <c r="S800" s="18">
        <f t="shared" si="94"/>
        <v>-1.3054977898718789E-7</v>
      </c>
      <c r="T800" s="18">
        <f t="shared" si="95"/>
        <v>6.1310856835916638E-8</v>
      </c>
      <c r="U800" s="18">
        <f t="shared" si="96"/>
        <v>6.1310856835916638E-8</v>
      </c>
    </row>
    <row r="801" spans="15:21" x14ac:dyDescent="0.25">
      <c r="O801" s="15">
        <v>783</v>
      </c>
      <c r="P801" s="15">
        <f t="shared" si="97"/>
        <v>5.5531406201388626E-2</v>
      </c>
      <c r="Q801" s="15">
        <f t="shared" si="98"/>
        <v>5.5531406201388633E-2</v>
      </c>
      <c r="R801" s="15">
        <f t="shared" si="93"/>
        <v>5.5531406201388633E-2</v>
      </c>
      <c r="S801" s="18">
        <f t="shared" si="94"/>
        <v>-1.3054977898718789E-7</v>
      </c>
      <c r="T801" s="18">
        <f t="shared" si="95"/>
        <v>6.1310856835916638E-8</v>
      </c>
      <c r="U801" s="18">
        <f t="shared" si="96"/>
        <v>6.1310856835916638E-8</v>
      </c>
    </row>
    <row r="802" spans="15:21" x14ac:dyDescent="0.25">
      <c r="O802" s="15">
        <v>784</v>
      </c>
      <c r="P802" s="15">
        <f t="shared" si="97"/>
        <v>5.5531406201388626E-2</v>
      </c>
      <c r="Q802" s="15">
        <f t="shared" si="98"/>
        <v>5.5531406201388633E-2</v>
      </c>
      <c r="R802" s="15">
        <f t="shared" si="93"/>
        <v>5.5531406201388633E-2</v>
      </c>
      <c r="S802" s="18">
        <f t="shared" si="94"/>
        <v>-1.3054977898718789E-7</v>
      </c>
      <c r="T802" s="18">
        <f t="shared" si="95"/>
        <v>6.1310856835916638E-8</v>
      </c>
      <c r="U802" s="18">
        <f t="shared" si="96"/>
        <v>6.1310856835916638E-8</v>
      </c>
    </row>
    <row r="803" spans="15:21" x14ac:dyDescent="0.25">
      <c r="O803" s="15">
        <v>785</v>
      </c>
      <c r="P803" s="15">
        <f t="shared" si="97"/>
        <v>5.5531406201388626E-2</v>
      </c>
      <c r="Q803" s="15">
        <f t="shared" si="98"/>
        <v>5.5531406201388633E-2</v>
      </c>
      <c r="R803" s="15">
        <f t="shared" si="93"/>
        <v>5.5531406201388633E-2</v>
      </c>
      <c r="S803" s="18">
        <f t="shared" si="94"/>
        <v>-1.3054977898718789E-7</v>
      </c>
      <c r="T803" s="18">
        <f t="shared" si="95"/>
        <v>6.1310856835916638E-8</v>
      </c>
      <c r="U803" s="18">
        <f t="shared" si="96"/>
        <v>6.1310856835916638E-8</v>
      </c>
    </row>
    <row r="804" spans="15:21" x14ac:dyDescent="0.25">
      <c r="O804" s="15">
        <v>786</v>
      </c>
      <c r="P804" s="15">
        <f t="shared" si="97"/>
        <v>5.5531406201388626E-2</v>
      </c>
      <c r="Q804" s="15">
        <f t="shared" si="98"/>
        <v>5.5531406201388633E-2</v>
      </c>
      <c r="R804" s="15">
        <f t="shared" si="93"/>
        <v>5.5531406201388633E-2</v>
      </c>
      <c r="S804" s="18">
        <f t="shared" si="94"/>
        <v>-1.3054977898718789E-7</v>
      </c>
      <c r="T804" s="18">
        <f t="shared" si="95"/>
        <v>6.1310856835916638E-8</v>
      </c>
      <c r="U804" s="18">
        <f t="shared" si="96"/>
        <v>6.1310856835916638E-8</v>
      </c>
    </row>
    <row r="805" spans="15:21" x14ac:dyDescent="0.25">
      <c r="O805" s="15">
        <v>787</v>
      </c>
      <c r="P805" s="15">
        <f t="shared" si="97"/>
        <v>5.5531406201388626E-2</v>
      </c>
      <c r="Q805" s="15">
        <f t="shared" si="98"/>
        <v>5.5531406201388633E-2</v>
      </c>
      <c r="R805" s="15">
        <f t="shared" si="93"/>
        <v>5.5531406201388633E-2</v>
      </c>
      <c r="S805" s="18">
        <f t="shared" si="94"/>
        <v>-1.3054977898718789E-7</v>
      </c>
      <c r="T805" s="18">
        <f t="shared" si="95"/>
        <v>6.1310856835916638E-8</v>
      </c>
      <c r="U805" s="18">
        <f t="shared" si="96"/>
        <v>6.1310856835916638E-8</v>
      </c>
    </row>
    <row r="806" spans="15:21" x14ac:dyDescent="0.25">
      <c r="O806" s="15">
        <v>788</v>
      </c>
      <c r="P806" s="15">
        <f t="shared" si="97"/>
        <v>5.5531406201388626E-2</v>
      </c>
      <c r="Q806" s="15">
        <f t="shared" si="98"/>
        <v>5.5531406201388633E-2</v>
      </c>
      <c r="R806" s="15">
        <f t="shared" si="93"/>
        <v>5.5531406201388633E-2</v>
      </c>
      <c r="S806" s="18">
        <f t="shared" si="94"/>
        <v>-1.3054977898718789E-7</v>
      </c>
      <c r="T806" s="18">
        <f t="shared" si="95"/>
        <v>6.1310856835916638E-8</v>
      </c>
      <c r="U806" s="18">
        <f t="shared" si="96"/>
        <v>6.1310856835916638E-8</v>
      </c>
    </row>
    <row r="807" spans="15:21" x14ac:dyDescent="0.25">
      <c r="O807" s="15">
        <v>789</v>
      </c>
      <c r="P807" s="15">
        <f t="shared" si="97"/>
        <v>5.5531406201388626E-2</v>
      </c>
      <c r="Q807" s="15">
        <f t="shared" si="98"/>
        <v>5.5531406201388633E-2</v>
      </c>
      <c r="R807" s="15">
        <f t="shared" si="93"/>
        <v>5.5531406201388633E-2</v>
      </c>
      <c r="S807" s="18">
        <f t="shared" si="94"/>
        <v>-1.3054977898718789E-7</v>
      </c>
      <c r="T807" s="18">
        <f t="shared" si="95"/>
        <v>6.1310856835916638E-8</v>
      </c>
      <c r="U807" s="18">
        <f t="shared" si="96"/>
        <v>6.1310856835916638E-8</v>
      </c>
    </row>
    <row r="808" spans="15:21" x14ac:dyDescent="0.25">
      <c r="O808" s="15">
        <v>790</v>
      </c>
      <c r="P808" s="15">
        <f t="shared" si="97"/>
        <v>5.5531406201388626E-2</v>
      </c>
      <c r="Q808" s="15">
        <f t="shared" si="98"/>
        <v>5.5531406201388633E-2</v>
      </c>
      <c r="R808" s="15">
        <f t="shared" si="93"/>
        <v>5.5531406201388633E-2</v>
      </c>
      <c r="S808" s="18">
        <f t="shared" si="94"/>
        <v>-1.3054977898718789E-7</v>
      </c>
      <c r="T808" s="18">
        <f t="shared" si="95"/>
        <v>6.1310856835916638E-8</v>
      </c>
      <c r="U808" s="18">
        <f t="shared" si="96"/>
        <v>6.1310856835916638E-8</v>
      </c>
    </row>
    <row r="809" spans="15:21" x14ac:dyDescent="0.25">
      <c r="O809" s="15">
        <v>791</v>
      </c>
      <c r="P809" s="15">
        <f t="shared" si="97"/>
        <v>5.5531406201388626E-2</v>
      </c>
      <c r="Q809" s="15">
        <f t="shared" si="98"/>
        <v>5.5531406201388633E-2</v>
      </c>
      <c r="R809" s="15">
        <f t="shared" si="93"/>
        <v>5.5531406201388633E-2</v>
      </c>
      <c r="S809" s="18">
        <f t="shared" si="94"/>
        <v>-1.3054977898718789E-7</v>
      </c>
      <c r="T809" s="18">
        <f t="shared" si="95"/>
        <v>6.1310856835916638E-8</v>
      </c>
      <c r="U809" s="18">
        <f t="shared" si="96"/>
        <v>6.1310856835916638E-8</v>
      </c>
    </row>
    <row r="810" spans="15:21" x14ac:dyDescent="0.25">
      <c r="O810" s="15">
        <v>792</v>
      </c>
      <c r="P810" s="15">
        <f t="shared" si="97"/>
        <v>5.5531406201388626E-2</v>
      </c>
      <c r="Q810" s="15">
        <f t="shared" si="98"/>
        <v>5.5531406201388633E-2</v>
      </c>
      <c r="R810" s="15">
        <f t="shared" si="93"/>
        <v>5.5531406201388633E-2</v>
      </c>
      <c r="S810" s="18">
        <f t="shared" si="94"/>
        <v>-1.3054977898718789E-7</v>
      </c>
      <c r="T810" s="18">
        <f t="shared" si="95"/>
        <v>6.1310856835916638E-8</v>
      </c>
      <c r="U810" s="18">
        <f t="shared" si="96"/>
        <v>6.1310856835916638E-8</v>
      </c>
    </row>
    <row r="811" spans="15:21" x14ac:dyDescent="0.25">
      <c r="O811" s="15">
        <v>793</v>
      </c>
      <c r="P811" s="15">
        <f t="shared" si="97"/>
        <v>5.5531406201388626E-2</v>
      </c>
      <c r="Q811" s="15">
        <f t="shared" si="98"/>
        <v>5.5531406201388633E-2</v>
      </c>
      <c r="R811" s="15">
        <f t="shared" si="93"/>
        <v>5.5531406201388633E-2</v>
      </c>
      <c r="S811" s="18">
        <f t="shared" si="94"/>
        <v>-1.3054977898718789E-7</v>
      </c>
      <c r="T811" s="18">
        <f t="shared" si="95"/>
        <v>6.1310856835916638E-8</v>
      </c>
      <c r="U811" s="18">
        <f t="shared" si="96"/>
        <v>6.1310856835916638E-8</v>
      </c>
    </row>
    <row r="812" spans="15:21" x14ac:dyDescent="0.25">
      <c r="O812" s="15">
        <v>794</v>
      </c>
      <c r="P812" s="15">
        <f t="shared" si="97"/>
        <v>5.5531406201388626E-2</v>
      </c>
      <c r="Q812" s="15">
        <f t="shared" si="98"/>
        <v>5.5531406201388633E-2</v>
      </c>
      <c r="R812" s="15">
        <f t="shared" si="93"/>
        <v>5.5531406201388633E-2</v>
      </c>
      <c r="S812" s="18">
        <f t="shared" si="94"/>
        <v>-1.3054977898718789E-7</v>
      </c>
      <c r="T812" s="18">
        <f t="shared" si="95"/>
        <v>6.1310856835916638E-8</v>
      </c>
      <c r="U812" s="18">
        <f t="shared" si="96"/>
        <v>6.1310856835916638E-8</v>
      </c>
    </row>
    <row r="813" spans="15:21" x14ac:dyDescent="0.25">
      <c r="O813" s="15">
        <v>795</v>
      </c>
      <c r="P813" s="15">
        <f t="shared" si="97"/>
        <v>5.5531406201388626E-2</v>
      </c>
      <c r="Q813" s="15">
        <f t="shared" si="98"/>
        <v>5.5531406201388633E-2</v>
      </c>
      <c r="R813" s="15">
        <f t="shared" si="93"/>
        <v>5.5531406201388633E-2</v>
      </c>
      <c r="S813" s="18">
        <f t="shared" si="94"/>
        <v>-1.3054977898718789E-7</v>
      </c>
      <c r="T813" s="18">
        <f t="shared" si="95"/>
        <v>6.1310856835916638E-8</v>
      </c>
      <c r="U813" s="18">
        <f t="shared" si="96"/>
        <v>6.1310856835916638E-8</v>
      </c>
    </row>
    <row r="814" spans="15:21" x14ac:dyDescent="0.25">
      <c r="O814" s="15">
        <v>796</v>
      </c>
      <c r="P814" s="15">
        <f t="shared" si="97"/>
        <v>5.5531406201388626E-2</v>
      </c>
      <c r="Q814" s="15">
        <f t="shared" si="98"/>
        <v>5.5531406201388633E-2</v>
      </c>
      <c r="R814" s="15">
        <f t="shared" si="93"/>
        <v>5.5531406201388633E-2</v>
      </c>
      <c r="S814" s="18">
        <f t="shared" si="94"/>
        <v>-1.3054977898718789E-7</v>
      </c>
      <c r="T814" s="18">
        <f t="shared" si="95"/>
        <v>6.1310856835916638E-8</v>
      </c>
      <c r="U814" s="18">
        <f t="shared" si="96"/>
        <v>6.1310856835916638E-8</v>
      </c>
    </row>
    <row r="815" spans="15:21" x14ac:dyDescent="0.25">
      <c r="O815" s="15">
        <v>797</v>
      </c>
      <c r="P815" s="15">
        <f t="shared" si="97"/>
        <v>5.5531406201388626E-2</v>
      </c>
      <c r="Q815" s="15">
        <f t="shared" si="98"/>
        <v>5.5531406201388633E-2</v>
      </c>
      <c r="R815" s="15">
        <f t="shared" si="93"/>
        <v>5.5531406201388633E-2</v>
      </c>
      <c r="S815" s="18">
        <f t="shared" si="94"/>
        <v>-1.3054977898718789E-7</v>
      </c>
      <c r="T815" s="18">
        <f t="shared" si="95"/>
        <v>6.1310856835916638E-8</v>
      </c>
      <c r="U815" s="18">
        <f t="shared" si="96"/>
        <v>6.1310856835916638E-8</v>
      </c>
    </row>
    <row r="816" spans="15:21" x14ac:dyDescent="0.25">
      <c r="O816" s="15">
        <v>798</v>
      </c>
      <c r="P816" s="15">
        <f t="shared" si="97"/>
        <v>5.5531406201388626E-2</v>
      </c>
      <c r="Q816" s="15">
        <f t="shared" si="98"/>
        <v>5.5531406201388633E-2</v>
      </c>
      <c r="R816" s="15">
        <f t="shared" si="93"/>
        <v>5.5531406201388633E-2</v>
      </c>
      <c r="S816" s="18">
        <f t="shared" si="94"/>
        <v>-1.3054977898718789E-7</v>
      </c>
      <c r="T816" s="18">
        <f t="shared" si="95"/>
        <v>6.1310856835916638E-8</v>
      </c>
      <c r="U816" s="18">
        <f t="shared" si="96"/>
        <v>6.1310856835916638E-8</v>
      </c>
    </row>
    <row r="817" spans="15:21" x14ac:dyDescent="0.25">
      <c r="O817" s="15">
        <v>799</v>
      </c>
      <c r="P817" s="15">
        <f t="shared" si="97"/>
        <v>5.5531406201388626E-2</v>
      </c>
      <c r="Q817" s="15">
        <f t="shared" si="98"/>
        <v>5.5531406201388633E-2</v>
      </c>
      <c r="R817" s="15">
        <f t="shared" si="93"/>
        <v>5.5531406201388633E-2</v>
      </c>
      <c r="S817" s="18">
        <f t="shared" si="94"/>
        <v>-1.3054977898718789E-7</v>
      </c>
      <c r="T817" s="18">
        <f t="shared" si="95"/>
        <v>6.1310856835916638E-8</v>
      </c>
      <c r="U817" s="18">
        <f t="shared" si="96"/>
        <v>6.1310856835916638E-8</v>
      </c>
    </row>
    <row r="818" spans="15:21" x14ac:dyDescent="0.25">
      <c r="O818" s="15">
        <v>800</v>
      </c>
      <c r="P818" s="15">
        <f t="shared" si="97"/>
        <v>5.5531406201388626E-2</v>
      </c>
      <c r="Q818" s="15">
        <f t="shared" si="98"/>
        <v>5.5531406201388633E-2</v>
      </c>
      <c r="R818" s="15">
        <f t="shared" si="93"/>
        <v>5.5531406201388633E-2</v>
      </c>
      <c r="S818" s="18">
        <f t="shared" si="94"/>
        <v>-1.3054977898718789E-7</v>
      </c>
      <c r="T818" s="18">
        <f t="shared" si="95"/>
        <v>6.1310856835916638E-8</v>
      </c>
      <c r="U818" s="18">
        <f t="shared" si="96"/>
        <v>6.1310856835916638E-8</v>
      </c>
    </row>
    <row r="819" spans="15:21" x14ac:dyDescent="0.25">
      <c r="P819" s="15" t="s">
        <v>8</v>
      </c>
    </row>
    <row r="820" spans="15:21" x14ac:dyDescent="0.25">
      <c r="P820" s="15" t="s">
        <v>1</v>
      </c>
      <c r="Q820" s="15" t="s">
        <v>2</v>
      </c>
      <c r="R820" s="15" t="s">
        <v>3</v>
      </c>
      <c r="S820" s="15" t="s">
        <v>4</v>
      </c>
      <c r="T820" s="15" t="s">
        <v>5</v>
      </c>
      <c r="U820" s="15" t="s">
        <v>6</v>
      </c>
    </row>
    <row r="821" spans="15:21" x14ac:dyDescent="0.25">
      <c r="O821" s="15">
        <v>801</v>
      </c>
      <c r="P821" s="15">
        <v>1E-10</v>
      </c>
      <c r="Q821" s="15">
        <v>10</v>
      </c>
      <c r="R821" s="15">
        <f t="shared" ref="R821:R884" si="99">(P821+Q821)/2</f>
        <v>5.00000000005</v>
      </c>
      <c r="S821" s="18">
        <f t="shared" ref="S821:S884" si="100">$E$4-$E$10-$E$11*(1+P821)^(-$E$5/$L$9)-$E$13*(1+P821)^(-$H$13/$L$9)-$E$14*(1+P821)^(-$H$14/$L$9) +$E$24*((1-(1+P821)^(-$E$5/$L$9)))/(1-(1+P821)^(1/$L$9))+$E$17*((1-(1+P821)^(-$J$20/$M$4)))/(1-(1+P821)^(1/$M$4))+$E$18*((1-(1+P821)^(-$J$21/$M$5)))/(1-(1+P821)^(1/$M$5))+$E$19*((1-(1+P821)^(-$J$22/$M$6)))/(1-(1+P821)^(1/$M$6))+$E$20*((1-(1+P821)^(-$J$23/$M$7)))/(1-(1+P821)^(1/$M$7))+$E$21*((1-(1+P821)^(-$J$24/$M$8)))/(1-(1+P821)^(1/$M$8))</f>
        <v>-4096543.402922513</v>
      </c>
      <c r="T821" s="18">
        <f t="shared" ref="T821:T884" si="101">$E$4-$E$10-$E$11*(1+Q821)^(-$E$5/$L$9)-$E$13*(1+Q821)^(-$H$13/$L$9)-$E$14*(1+Q821)^(-$H$14/$L$9) +$E$24*((1-(1+Q821)^(-$E$5/$L$9)))/(1-(1+Q821)^(1/$L$9))+$E$17*((1-(1+Q821)^(-$J$20/$M$4)))/(1-(1+Q821)^(1/$M$4))+$E$18*((1-(1+Q821)^(-$J$21/$M$5)))/(1-(1+Q821)^(1/$M$5))+$E$19*((1-(1+Q821)^(-$J$22/$M$6)))/(1-(1+Q821)^(1/$M$6))+$E$20*((1-(1+Q821)^(-$J$23/$M$7)))/(1-(1+Q821)^(1/$M$7))+$E$21*((1-(1+Q821)^(-$J$24/$M$8)))/(1-(1+Q821)^(1/$M$8))</f>
        <v>3894207.2828773954</v>
      </c>
      <c r="U821" s="18">
        <f t="shared" ref="U821:U884" si="102">$E$4-$E$10-$E$11*(1+R821)^(-$E$5/$L$9)-$E$13*(1+R821)^(-$H$13/$L$9)-$E$14*(1+R821)^(-$H$14/$L$9) +$E$24*((1-(1+R821)^(-$E$5/$L$9)))/(1-(1+R821)^(1/$L$9))+$E$17*((1-(1+R821)^(-$J$20/$M$4)))/(1-(1+R821)^(1/$M$4))+$E$18*((1-(1+R821)^(-$J$21/$M$5)))/(1-(1+R821)^(1/$M$5))+$E$19*((1-(1+R821)^(-$J$22/$M$6)))/(1-(1+R821)^(1/$M$6))+$E$20*((1-(1+R821)^(-$J$23/$M$7)))/(1-(1+R821)^(1/$M$7))+$E$21*((1-(1+R821)^(-$J$24/$M$8)))/(1-(1+R821)^(1/$M$8))</f>
        <v>3856205.8539974457</v>
      </c>
    </row>
    <row r="822" spans="15:21" x14ac:dyDescent="0.25">
      <c r="O822" s="15">
        <v>802</v>
      </c>
      <c r="P822" s="15">
        <f t="shared" ref="P822:P885" si="103">IF(S821*U821&gt;=0,R821,P821)</f>
        <v>1E-10</v>
      </c>
      <c r="Q822" s="15">
        <f t="shared" ref="Q822:Q885" si="104">IF(T821*U821&gt;=0,R821,Q821)</f>
        <v>5.00000000005</v>
      </c>
      <c r="R822" s="15">
        <f t="shared" si="99"/>
        <v>2.500000000075</v>
      </c>
      <c r="S822" s="18">
        <f t="shared" si="100"/>
        <v>-4096543.402922513</v>
      </c>
      <c r="T822" s="18">
        <f t="shared" si="101"/>
        <v>3856205.8539974457</v>
      </c>
      <c r="U822" s="18">
        <f t="shared" si="102"/>
        <v>3791473.6705574365</v>
      </c>
    </row>
    <row r="823" spans="15:21" x14ac:dyDescent="0.25">
      <c r="O823" s="15">
        <v>803</v>
      </c>
      <c r="P823" s="15">
        <f t="shared" si="103"/>
        <v>1E-10</v>
      </c>
      <c r="Q823" s="15">
        <f t="shared" si="104"/>
        <v>2.500000000075</v>
      </c>
      <c r="R823" s="15">
        <f t="shared" si="99"/>
        <v>1.2500000000875</v>
      </c>
      <c r="S823" s="18">
        <f t="shared" si="100"/>
        <v>-4096543.402922513</v>
      </c>
      <c r="T823" s="18">
        <f t="shared" si="101"/>
        <v>3791473.6705574365</v>
      </c>
      <c r="U823" s="18">
        <f t="shared" si="102"/>
        <v>3674185.2838576422</v>
      </c>
    </row>
    <row r="824" spans="15:21" x14ac:dyDescent="0.25">
      <c r="O824" s="15">
        <v>804</v>
      </c>
      <c r="P824" s="15">
        <f t="shared" si="103"/>
        <v>1E-10</v>
      </c>
      <c r="Q824" s="15">
        <f t="shared" si="104"/>
        <v>1.2500000000875</v>
      </c>
      <c r="R824" s="15">
        <f t="shared" si="99"/>
        <v>0.62500000009375001</v>
      </c>
      <c r="S824" s="18">
        <f t="shared" si="100"/>
        <v>-4096543.402922513</v>
      </c>
      <c r="T824" s="18">
        <f t="shared" si="101"/>
        <v>3674185.2838576422</v>
      </c>
      <c r="U824" s="18">
        <f t="shared" si="102"/>
        <v>3451249.3171429066</v>
      </c>
    </row>
    <row r="825" spans="15:21" x14ac:dyDescent="0.25">
      <c r="O825" s="15">
        <v>805</v>
      </c>
      <c r="P825" s="15">
        <f t="shared" si="103"/>
        <v>1E-10</v>
      </c>
      <c r="Q825" s="15">
        <f t="shared" si="104"/>
        <v>0.62500000009375001</v>
      </c>
      <c r="R825" s="15">
        <f t="shared" si="99"/>
        <v>0.31250000009687501</v>
      </c>
      <c r="S825" s="18">
        <f t="shared" si="100"/>
        <v>-4096543.402922513</v>
      </c>
      <c r="T825" s="18">
        <f t="shared" si="101"/>
        <v>3451249.3171429066</v>
      </c>
      <c r="U825" s="18">
        <f t="shared" si="102"/>
        <v>3015194.1773318858</v>
      </c>
    </row>
    <row r="826" spans="15:21" x14ac:dyDescent="0.25">
      <c r="O826" s="15">
        <v>806</v>
      </c>
      <c r="P826" s="15">
        <f t="shared" si="103"/>
        <v>1E-10</v>
      </c>
      <c r="Q826" s="15">
        <f t="shared" si="104"/>
        <v>0.31250000009687501</v>
      </c>
      <c r="R826" s="15">
        <f t="shared" si="99"/>
        <v>0.15625000009843751</v>
      </c>
      <c r="S826" s="18">
        <f t="shared" si="100"/>
        <v>-4096543.402922513</v>
      </c>
      <c r="T826" s="18">
        <f t="shared" si="101"/>
        <v>3015194.1773318858</v>
      </c>
      <c r="U826" s="18">
        <f t="shared" si="102"/>
        <v>2172625.3949700431</v>
      </c>
    </row>
    <row r="827" spans="15:21" x14ac:dyDescent="0.25">
      <c r="O827" s="15">
        <v>807</v>
      </c>
      <c r="P827" s="15">
        <f t="shared" si="103"/>
        <v>1E-10</v>
      </c>
      <c r="Q827" s="15">
        <f t="shared" si="104"/>
        <v>0.15625000009843751</v>
      </c>
      <c r="R827" s="15">
        <f t="shared" si="99"/>
        <v>7.8125000099218758E-2</v>
      </c>
      <c r="S827" s="18">
        <f t="shared" si="100"/>
        <v>-4096543.402922513</v>
      </c>
      <c r="T827" s="18">
        <f t="shared" si="101"/>
        <v>2172625.3949700431</v>
      </c>
      <c r="U827" s="18">
        <f t="shared" si="102"/>
        <v>795277.15576752613</v>
      </c>
    </row>
    <row r="828" spans="15:21" x14ac:dyDescent="0.25">
      <c r="O828" s="15">
        <v>808</v>
      </c>
      <c r="P828" s="15">
        <f t="shared" si="103"/>
        <v>1E-10</v>
      </c>
      <c r="Q828" s="15">
        <f t="shared" si="104"/>
        <v>7.8125000099218758E-2</v>
      </c>
      <c r="R828" s="15">
        <f t="shared" si="99"/>
        <v>3.9062500099609376E-2</v>
      </c>
      <c r="S828" s="18">
        <f t="shared" si="100"/>
        <v>-4096543.402922513</v>
      </c>
      <c r="T828" s="18">
        <f t="shared" si="101"/>
        <v>795277.15576752613</v>
      </c>
      <c r="U828" s="18">
        <f t="shared" si="102"/>
        <v>-806130.79722869582</v>
      </c>
    </row>
    <row r="829" spans="15:21" x14ac:dyDescent="0.25">
      <c r="O829" s="15">
        <v>809</v>
      </c>
      <c r="P829" s="15">
        <f t="shared" si="103"/>
        <v>3.9062500099609376E-2</v>
      </c>
      <c r="Q829" s="15">
        <f t="shared" si="104"/>
        <v>7.8125000099218758E-2</v>
      </c>
      <c r="R829" s="15">
        <f t="shared" si="99"/>
        <v>5.8593750099414067E-2</v>
      </c>
      <c r="S829" s="18">
        <f t="shared" si="100"/>
        <v>-806130.79722869582</v>
      </c>
      <c r="T829" s="18">
        <f t="shared" si="101"/>
        <v>795277.15576752613</v>
      </c>
      <c r="U829" s="18">
        <f t="shared" si="102"/>
        <v>125998.37751938807</v>
      </c>
    </row>
    <row r="830" spans="15:21" x14ac:dyDescent="0.25">
      <c r="O830" s="15">
        <v>810</v>
      </c>
      <c r="P830" s="15">
        <f t="shared" si="103"/>
        <v>3.9062500099609376E-2</v>
      </c>
      <c r="Q830" s="15">
        <f t="shared" si="104"/>
        <v>5.8593750099414067E-2</v>
      </c>
      <c r="R830" s="15">
        <f t="shared" si="99"/>
        <v>4.8828125099511718E-2</v>
      </c>
      <c r="S830" s="18">
        <f t="shared" si="100"/>
        <v>-806130.79722869582</v>
      </c>
      <c r="T830" s="18">
        <f t="shared" si="101"/>
        <v>125998.37751938807</v>
      </c>
      <c r="U830" s="18">
        <f t="shared" si="102"/>
        <v>-300117.85427544912</v>
      </c>
    </row>
    <row r="831" spans="15:21" x14ac:dyDescent="0.25">
      <c r="O831" s="15">
        <v>811</v>
      </c>
      <c r="P831" s="15">
        <f t="shared" si="103"/>
        <v>4.8828125099511718E-2</v>
      </c>
      <c r="Q831" s="15">
        <f t="shared" si="104"/>
        <v>5.8593750099414067E-2</v>
      </c>
      <c r="R831" s="15">
        <f t="shared" si="99"/>
        <v>5.3710937599462896E-2</v>
      </c>
      <c r="S831" s="18">
        <f t="shared" si="100"/>
        <v>-300117.85427544912</v>
      </c>
      <c r="T831" s="18">
        <f t="shared" si="101"/>
        <v>125998.37751938807</v>
      </c>
      <c r="U831" s="18">
        <f t="shared" si="102"/>
        <v>-78089.717054340348</v>
      </c>
    </row>
    <row r="832" spans="15:21" x14ac:dyDescent="0.25">
      <c r="O832" s="15">
        <v>812</v>
      </c>
      <c r="P832" s="15">
        <f t="shared" si="103"/>
        <v>5.3710937599462896E-2</v>
      </c>
      <c r="Q832" s="15">
        <f t="shared" si="104"/>
        <v>5.8593750099414067E-2</v>
      </c>
      <c r="R832" s="15">
        <f t="shared" si="99"/>
        <v>5.6152343849438485E-2</v>
      </c>
      <c r="S832" s="18">
        <f t="shared" si="100"/>
        <v>-78089.717054340348</v>
      </c>
      <c r="T832" s="18">
        <f t="shared" si="101"/>
        <v>125998.37751938807</v>
      </c>
      <c r="U832" s="18">
        <f t="shared" si="102"/>
        <v>26082.431833555249</v>
      </c>
    </row>
    <row r="833" spans="15:21" x14ac:dyDescent="0.25">
      <c r="O833" s="15">
        <v>813</v>
      </c>
      <c r="P833" s="15">
        <f t="shared" si="103"/>
        <v>5.3710937599462896E-2</v>
      </c>
      <c r="Q833" s="15">
        <f t="shared" si="104"/>
        <v>5.6152343849438485E-2</v>
      </c>
      <c r="R833" s="15">
        <f t="shared" si="99"/>
        <v>5.4931640724450691E-2</v>
      </c>
      <c r="S833" s="18">
        <f t="shared" si="100"/>
        <v>-78089.717054340348</v>
      </c>
      <c r="T833" s="18">
        <f t="shared" si="101"/>
        <v>26082.431833555249</v>
      </c>
      <c r="U833" s="18">
        <f t="shared" si="102"/>
        <v>-25457.838380042806</v>
      </c>
    </row>
    <row r="834" spans="15:21" x14ac:dyDescent="0.25">
      <c r="O834" s="15">
        <v>814</v>
      </c>
      <c r="P834" s="15">
        <f t="shared" si="103"/>
        <v>5.4931640724450691E-2</v>
      </c>
      <c r="Q834" s="15">
        <f t="shared" si="104"/>
        <v>5.6152343849438485E-2</v>
      </c>
      <c r="R834" s="15">
        <f t="shared" si="99"/>
        <v>5.5541992286944591E-2</v>
      </c>
      <c r="S834" s="18">
        <f t="shared" si="100"/>
        <v>-25457.838380042806</v>
      </c>
      <c r="T834" s="18">
        <f t="shared" si="101"/>
        <v>26082.431833555249</v>
      </c>
      <c r="U834" s="18">
        <f t="shared" si="102"/>
        <v>446.99396819314325</v>
      </c>
    </row>
    <row r="835" spans="15:21" x14ac:dyDescent="0.25">
      <c r="O835" s="15">
        <v>815</v>
      </c>
      <c r="P835" s="15">
        <f t="shared" si="103"/>
        <v>5.4931640724450691E-2</v>
      </c>
      <c r="Q835" s="15">
        <f t="shared" si="104"/>
        <v>5.5541992286944591E-2</v>
      </c>
      <c r="R835" s="15">
        <f t="shared" si="99"/>
        <v>5.5236816505697645E-2</v>
      </c>
      <c r="S835" s="18">
        <f t="shared" si="100"/>
        <v>-25457.838380042806</v>
      </c>
      <c r="T835" s="18">
        <f t="shared" si="101"/>
        <v>446.99396819314325</v>
      </c>
      <c r="U835" s="18">
        <f t="shared" si="102"/>
        <v>-12471.530669613465</v>
      </c>
    </row>
    <row r="836" spans="15:21" x14ac:dyDescent="0.25">
      <c r="O836" s="15">
        <v>816</v>
      </c>
      <c r="P836" s="15">
        <f t="shared" si="103"/>
        <v>5.5236816505697645E-2</v>
      </c>
      <c r="Q836" s="15">
        <f t="shared" si="104"/>
        <v>5.5541992286944591E-2</v>
      </c>
      <c r="R836" s="15">
        <f t="shared" si="99"/>
        <v>5.5389404396321118E-2</v>
      </c>
      <c r="S836" s="18">
        <f t="shared" si="100"/>
        <v>-12471.530669613465</v>
      </c>
      <c r="T836" s="18">
        <f t="shared" si="101"/>
        <v>446.99396819314325</v>
      </c>
      <c r="U836" s="18">
        <f t="shared" si="102"/>
        <v>-6003.8227437936475</v>
      </c>
    </row>
    <row r="837" spans="15:21" x14ac:dyDescent="0.25">
      <c r="O837" s="15">
        <v>817</v>
      </c>
      <c r="P837" s="15">
        <f t="shared" si="103"/>
        <v>5.5389404396321118E-2</v>
      </c>
      <c r="Q837" s="15">
        <f t="shared" si="104"/>
        <v>5.5541992286944591E-2</v>
      </c>
      <c r="R837" s="15">
        <f t="shared" si="99"/>
        <v>5.5465698341632855E-2</v>
      </c>
      <c r="S837" s="18">
        <f t="shared" si="100"/>
        <v>-6003.8227437936475</v>
      </c>
      <c r="T837" s="18">
        <f t="shared" si="101"/>
        <v>446.99396819314325</v>
      </c>
      <c r="U837" s="18">
        <f t="shared" si="102"/>
        <v>-2776.3063849629848</v>
      </c>
    </row>
    <row r="838" spans="15:21" x14ac:dyDescent="0.25">
      <c r="O838" s="15">
        <v>818</v>
      </c>
      <c r="P838" s="15">
        <f t="shared" si="103"/>
        <v>5.5465698341632855E-2</v>
      </c>
      <c r="Q838" s="15">
        <f t="shared" si="104"/>
        <v>5.5541992286944591E-2</v>
      </c>
      <c r="R838" s="15">
        <f t="shared" si="99"/>
        <v>5.5503845314288723E-2</v>
      </c>
      <c r="S838" s="18">
        <f t="shared" si="100"/>
        <v>-2776.3063849629848</v>
      </c>
      <c r="T838" s="18">
        <f t="shared" si="101"/>
        <v>446.99396819314325</v>
      </c>
      <c r="U838" s="18">
        <f t="shared" si="102"/>
        <v>-1164.1296318378991</v>
      </c>
    </row>
    <row r="839" spans="15:21" x14ac:dyDescent="0.25">
      <c r="O839" s="15">
        <v>819</v>
      </c>
      <c r="P839" s="15">
        <f t="shared" si="103"/>
        <v>5.5503845314288723E-2</v>
      </c>
      <c r="Q839" s="15">
        <f t="shared" si="104"/>
        <v>5.5541992286944591E-2</v>
      </c>
      <c r="R839" s="15">
        <f t="shared" si="99"/>
        <v>5.5522918800616661E-2</v>
      </c>
      <c r="S839" s="18">
        <f t="shared" si="100"/>
        <v>-1164.1296318378991</v>
      </c>
      <c r="T839" s="18">
        <f t="shared" si="101"/>
        <v>446.99396819314325</v>
      </c>
      <c r="U839" s="18">
        <f t="shared" si="102"/>
        <v>-358.43624065257518</v>
      </c>
    </row>
    <row r="840" spans="15:21" x14ac:dyDescent="0.25">
      <c r="O840" s="15">
        <v>820</v>
      </c>
      <c r="P840" s="15">
        <f t="shared" si="103"/>
        <v>5.5522918800616661E-2</v>
      </c>
      <c r="Q840" s="15">
        <f t="shared" si="104"/>
        <v>5.5541992286944591E-2</v>
      </c>
      <c r="R840" s="15">
        <f t="shared" si="99"/>
        <v>5.5532455543780626E-2</v>
      </c>
      <c r="S840" s="18">
        <f t="shared" si="100"/>
        <v>-358.43624065257518</v>
      </c>
      <c r="T840" s="18">
        <f t="shared" si="101"/>
        <v>446.99396819314325</v>
      </c>
      <c r="U840" s="18">
        <f t="shared" si="102"/>
        <v>44.311754848723922</v>
      </c>
    </row>
    <row r="841" spans="15:21" x14ac:dyDescent="0.25">
      <c r="O841" s="15">
        <v>821</v>
      </c>
      <c r="P841" s="15">
        <f t="shared" si="103"/>
        <v>5.5522918800616661E-2</v>
      </c>
      <c r="Q841" s="15">
        <f t="shared" si="104"/>
        <v>5.5532455543780626E-2</v>
      </c>
      <c r="R841" s="15">
        <f t="shared" si="99"/>
        <v>5.5527687172198643E-2</v>
      </c>
      <c r="S841" s="18">
        <f t="shared" si="100"/>
        <v>-358.43624065257518</v>
      </c>
      <c r="T841" s="18">
        <f t="shared" si="101"/>
        <v>44.311754848723922</v>
      </c>
      <c r="U841" s="18">
        <f t="shared" si="102"/>
        <v>-157.05401933347866</v>
      </c>
    </row>
    <row r="842" spans="15:21" x14ac:dyDescent="0.25">
      <c r="O842" s="15">
        <v>822</v>
      </c>
      <c r="P842" s="15">
        <f t="shared" si="103"/>
        <v>5.5527687172198643E-2</v>
      </c>
      <c r="Q842" s="15">
        <f t="shared" si="104"/>
        <v>5.5532455543780626E-2</v>
      </c>
      <c r="R842" s="15">
        <f t="shared" si="99"/>
        <v>5.5530071357989638E-2</v>
      </c>
      <c r="S842" s="18">
        <f t="shared" si="100"/>
        <v>-157.05401933347866</v>
      </c>
      <c r="T842" s="18">
        <f t="shared" si="101"/>
        <v>44.311754848723922</v>
      </c>
      <c r="U842" s="18">
        <f t="shared" si="102"/>
        <v>-56.369076355117159</v>
      </c>
    </row>
    <row r="843" spans="15:21" x14ac:dyDescent="0.25">
      <c r="O843" s="15">
        <v>823</v>
      </c>
      <c r="P843" s="15">
        <f t="shared" si="103"/>
        <v>5.5530071357989638E-2</v>
      </c>
      <c r="Q843" s="15">
        <f t="shared" si="104"/>
        <v>5.5532455543780626E-2</v>
      </c>
      <c r="R843" s="15">
        <f t="shared" si="99"/>
        <v>5.5531263450885132E-2</v>
      </c>
      <c r="S843" s="18">
        <f t="shared" si="100"/>
        <v>-56.369076355117159</v>
      </c>
      <c r="T843" s="18">
        <f t="shared" si="101"/>
        <v>44.311754848723922</v>
      </c>
      <c r="U843" s="18">
        <f t="shared" si="102"/>
        <v>-6.0281466950696085</v>
      </c>
    </row>
    <row r="844" spans="15:21" x14ac:dyDescent="0.25">
      <c r="O844" s="15">
        <v>824</v>
      </c>
      <c r="P844" s="15">
        <f t="shared" si="103"/>
        <v>5.5531263450885132E-2</v>
      </c>
      <c r="Q844" s="15">
        <f t="shared" si="104"/>
        <v>5.5532455543780626E-2</v>
      </c>
      <c r="R844" s="15">
        <f t="shared" si="99"/>
        <v>5.5531859497332879E-2</v>
      </c>
      <c r="S844" s="18">
        <f t="shared" si="100"/>
        <v>-6.0281466950696085</v>
      </c>
      <c r="T844" s="18">
        <f t="shared" si="101"/>
        <v>44.311754848723922</v>
      </c>
      <c r="U844" s="18">
        <f t="shared" si="102"/>
        <v>19.14193263652578</v>
      </c>
    </row>
    <row r="845" spans="15:21" x14ac:dyDescent="0.25">
      <c r="O845" s="15">
        <v>825</v>
      </c>
      <c r="P845" s="15">
        <f t="shared" si="103"/>
        <v>5.5531263450885132E-2</v>
      </c>
      <c r="Q845" s="15">
        <f t="shared" si="104"/>
        <v>5.5531859497332879E-2</v>
      </c>
      <c r="R845" s="15">
        <f t="shared" si="99"/>
        <v>5.5531561474109009E-2</v>
      </c>
      <c r="S845" s="18">
        <f t="shared" si="100"/>
        <v>-6.0281466950696085</v>
      </c>
      <c r="T845" s="18">
        <f t="shared" si="101"/>
        <v>19.14193263652578</v>
      </c>
      <c r="U845" s="18">
        <f t="shared" si="102"/>
        <v>6.5569249377172127</v>
      </c>
    </row>
    <row r="846" spans="15:21" x14ac:dyDescent="0.25">
      <c r="O846" s="15">
        <v>826</v>
      </c>
      <c r="P846" s="15">
        <f t="shared" si="103"/>
        <v>5.5531263450885132E-2</v>
      </c>
      <c r="Q846" s="15">
        <f t="shared" si="104"/>
        <v>5.5531561474109009E-2</v>
      </c>
      <c r="R846" s="15">
        <f t="shared" si="99"/>
        <v>5.5531412462497071E-2</v>
      </c>
      <c r="S846" s="18">
        <f t="shared" si="100"/>
        <v>-6.0281466950696085</v>
      </c>
      <c r="T846" s="18">
        <f t="shared" si="101"/>
        <v>6.5569249377172127</v>
      </c>
      <c r="U846" s="18">
        <f t="shared" si="102"/>
        <v>0.26439706673954788</v>
      </c>
    </row>
    <row r="847" spans="15:21" x14ac:dyDescent="0.25">
      <c r="O847" s="15">
        <v>827</v>
      </c>
      <c r="P847" s="15">
        <f t="shared" si="103"/>
        <v>5.5531263450885132E-2</v>
      </c>
      <c r="Q847" s="15">
        <f t="shared" si="104"/>
        <v>5.5531412462497071E-2</v>
      </c>
      <c r="R847" s="15">
        <f t="shared" si="99"/>
        <v>5.5531337956691101E-2</v>
      </c>
      <c r="S847" s="18">
        <f t="shared" si="100"/>
        <v>-6.0281466950696085</v>
      </c>
      <c r="T847" s="18">
        <f t="shared" si="101"/>
        <v>0.26439706673954788</v>
      </c>
      <c r="U847" s="18">
        <f t="shared" si="102"/>
        <v>-2.881872878510876</v>
      </c>
    </row>
    <row r="848" spans="15:21" x14ac:dyDescent="0.25">
      <c r="O848" s="15">
        <v>828</v>
      </c>
      <c r="P848" s="15">
        <f t="shared" si="103"/>
        <v>5.5531337956691101E-2</v>
      </c>
      <c r="Q848" s="15">
        <f t="shared" si="104"/>
        <v>5.5531412462497071E-2</v>
      </c>
      <c r="R848" s="15">
        <f t="shared" si="99"/>
        <v>5.5531375209594086E-2</v>
      </c>
      <c r="S848" s="18">
        <f t="shared" si="100"/>
        <v>-2.881872878510876</v>
      </c>
      <c r="T848" s="18">
        <f t="shared" si="101"/>
        <v>0.26439706673954788</v>
      </c>
      <c r="U848" s="18">
        <f t="shared" si="102"/>
        <v>-1.3087372517161384</v>
      </c>
    </row>
    <row r="849" spans="15:21" x14ac:dyDescent="0.25">
      <c r="O849" s="15">
        <v>829</v>
      </c>
      <c r="P849" s="15">
        <f t="shared" si="103"/>
        <v>5.5531375209594086E-2</v>
      </c>
      <c r="Q849" s="15">
        <f t="shared" si="104"/>
        <v>5.5531412462497071E-2</v>
      </c>
      <c r="R849" s="15">
        <f t="shared" si="99"/>
        <v>5.5531393836045578E-2</v>
      </c>
      <c r="S849" s="18">
        <f t="shared" si="100"/>
        <v>-1.3087372517161384</v>
      </c>
      <c r="T849" s="18">
        <f t="shared" si="101"/>
        <v>0.26439706673954788</v>
      </c>
      <c r="U849" s="18">
        <f t="shared" si="102"/>
        <v>-0.52216988075042536</v>
      </c>
    </row>
    <row r="850" spans="15:21" x14ac:dyDescent="0.25">
      <c r="O850" s="15">
        <v>830</v>
      </c>
      <c r="P850" s="15">
        <f t="shared" si="103"/>
        <v>5.5531393836045578E-2</v>
      </c>
      <c r="Q850" s="15">
        <f t="shared" si="104"/>
        <v>5.5531412462497071E-2</v>
      </c>
      <c r="R850" s="15">
        <f t="shared" si="99"/>
        <v>5.5531403149271324E-2</v>
      </c>
      <c r="S850" s="18">
        <f t="shared" si="100"/>
        <v>-0.52216988075042536</v>
      </c>
      <c r="T850" s="18">
        <f t="shared" si="101"/>
        <v>0.26439706673954788</v>
      </c>
      <c r="U850" s="18">
        <f t="shared" si="102"/>
        <v>-0.12888637811010994</v>
      </c>
    </row>
    <row r="851" spans="15:21" x14ac:dyDescent="0.25">
      <c r="O851" s="15">
        <v>831</v>
      </c>
      <c r="P851" s="15">
        <f t="shared" si="103"/>
        <v>5.5531403149271324E-2</v>
      </c>
      <c r="Q851" s="15">
        <f t="shared" si="104"/>
        <v>5.5531412462497071E-2</v>
      </c>
      <c r="R851" s="15">
        <f t="shared" si="99"/>
        <v>5.5531407805884198E-2</v>
      </c>
      <c r="S851" s="18">
        <f t="shared" si="100"/>
        <v>-0.12888637811010994</v>
      </c>
      <c r="T851" s="18">
        <f t="shared" si="101"/>
        <v>0.26439706673954788</v>
      </c>
      <c r="U851" s="18">
        <f t="shared" si="102"/>
        <v>6.7755447696981719E-2</v>
      </c>
    </row>
    <row r="852" spans="15:21" x14ac:dyDescent="0.25">
      <c r="O852" s="15">
        <v>832</v>
      </c>
      <c r="P852" s="15">
        <f t="shared" si="103"/>
        <v>5.5531403149271324E-2</v>
      </c>
      <c r="Q852" s="15">
        <f t="shared" si="104"/>
        <v>5.5531407805884198E-2</v>
      </c>
      <c r="R852" s="15">
        <f t="shared" si="99"/>
        <v>5.5531405477577761E-2</v>
      </c>
      <c r="S852" s="18">
        <f t="shared" si="100"/>
        <v>-0.12888637811010994</v>
      </c>
      <c r="T852" s="18">
        <f t="shared" si="101"/>
        <v>6.7755447696981719E-2</v>
      </c>
      <c r="U852" s="18">
        <f t="shared" si="102"/>
        <v>-3.0565462876893434E-2</v>
      </c>
    </row>
    <row r="853" spans="15:21" x14ac:dyDescent="0.25">
      <c r="O853" s="15">
        <v>833</v>
      </c>
      <c r="P853" s="15">
        <f t="shared" si="103"/>
        <v>5.5531405477577761E-2</v>
      </c>
      <c r="Q853" s="15">
        <f t="shared" si="104"/>
        <v>5.5531407805884198E-2</v>
      </c>
      <c r="R853" s="15">
        <f t="shared" si="99"/>
        <v>5.5531406641730979E-2</v>
      </c>
      <c r="S853" s="18">
        <f t="shared" si="100"/>
        <v>-3.0565462876893434E-2</v>
      </c>
      <c r="T853" s="18">
        <f t="shared" si="101"/>
        <v>6.7755447696981719E-2</v>
      </c>
      <c r="U853" s="18">
        <f t="shared" si="102"/>
        <v>1.8594893689623859E-2</v>
      </c>
    </row>
    <row r="854" spans="15:21" x14ac:dyDescent="0.25">
      <c r="O854" s="15">
        <v>834</v>
      </c>
      <c r="P854" s="15">
        <f t="shared" si="103"/>
        <v>5.5531405477577761E-2</v>
      </c>
      <c r="Q854" s="15">
        <f t="shared" si="104"/>
        <v>5.5531406641730979E-2</v>
      </c>
      <c r="R854" s="15">
        <f t="shared" si="99"/>
        <v>5.553140605965437E-2</v>
      </c>
      <c r="S854" s="18">
        <f t="shared" si="100"/>
        <v>-3.0565462876893434E-2</v>
      </c>
      <c r="T854" s="18">
        <f t="shared" si="101"/>
        <v>1.8594893689623859E-2</v>
      </c>
      <c r="U854" s="18">
        <f t="shared" si="102"/>
        <v>-5.9851868049918266E-3</v>
      </c>
    </row>
    <row r="855" spans="15:21" x14ac:dyDescent="0.25">
      <c r="O855" s="15">
        <v>835</v>
      </c>
      <c r="P855" s="15">
        <f t="shared" si="103"/>
        <v>5.553140605965437E-2</v>
      </c>
      <c r="Q855" s="15">
        <f t="shared" si="104"/>
        <v>5.5531406641730979E-2</v>
      </c>
      <c r="R855" s="15">
        <f t="shared" si="99"/>
        <v>5.5531406350692675E-2</v>
      </c>
      <c r="S855" s="18">
        <f t="shared" si="100"/>
        <v>-5.9851868049918266E-3</v>
      </c>
      <c r="T855" s="18">
        <f t="shared" si="101"/>
        <v>1.8594893689623859E-2</v>
      </c>
      <c r="U855" s="18">
        <f t="shared" si="102"/>
        <v>6.3048541405805736E-3</v>
      </c>
    </row>
    <row r="856" spans="15:21" x14ac:dyDescent="0.25">
      <c r="O856" s="15">
        <v>836</v>
      </c>
      <c r="P856" s="15">
        <f t="shared" si="103"/>
        <v>5.553140605965437E-2</v>
      </c>
      <c r="Q856" s="15">
        <f t="shared" si="104"/>
        <v>5.5531406350692675E-2</v>
      </c>
      <c r="R856" s="15">
        <f t="shared" si="99"/>
        <v>5.5531406205173522E-2</v>
      </c>
      <c r="S856" s="18">
        <f t="shared" si="100"/>
        <v>-5.9851868049918266E-3</v>
      </c>
      <c r="T856" s="18">
        <f t="shared" si="101"/>
        <v>6.3048541405805736E-3</v>
      </c>
      <c r="U856" s="18">
        <f t="shared" si="102"/>
        <v>1.5973541303537786E-4</v>
      </c>
    </row>
    <row r="857" spans="15:21" x14ac:dyDescent="0.25">
      <c r="O857" s="15">
        <v>837</v>
      </c>
      <c r="P857" s="15">
        <f t="shared" si="103"/>
        <v>5.553140605965437E-2</v>
      </c>
      <c r="Q857" s="15">
        <f t="shared" si="104"/>
        <v>5.5531406205173522E-2</v>
      </c>
      <c r="R857" s="15">
        <f t="shared" si="99"/>
        <v>5.5531406132413946E-2</v>
      </c>
      <c r="S857" s="18">
        <f t="shared" si="100"/>
        <v>-5.9851868049918266E-3</v>
      </c>
      <c r="T857" s="18">
        <f t="shared" si="101"/>
        <v>1.5973541303537786E-4</v>
      </c>
      <c r="U857" s="18">
        <f t="shared" si="102"/>
        <v>-2.9128244168532547E-3</v>
      </c>
    </row>
    <row r="858" spans="15:21" x14ac:dyDescent="0.25">
      <c r="O858" s="15">
        <v>838</v>
      </c>
      <c r="P858" s="15">
        <f t="shared" si="103"/>
        <v>5.5531406132413946E-2</v>
      </c>
      <c r="Q858" s="15">
        <f t="shared" si="104"/>
        <v>5.5531406205173522E-2</v>
      </c>
      <c r="R858" s="15">
        <f t="shared" si="99"/>
        <v>5.5531406168793734E-2</v>
      </c>
      <c r="S858" s="18">
        <f t="shared" si="100"/>
        <v>-2.9128244168532547E-3</v>
      </c>
      <c r="T858" s="18">
        <f t="shared" si="101"/>
        <v>1.5973541303537786E-4</v>
      </c>
      <c r="U858" s="18">
        <f t="shared" si="102"/>
        <v>-1.3764448494839598E-3</v>
      </c>
    </row>
    <row r="859" spans="15:21" x14ac:dyDescent="0.25">
      <c r="O859" s="15">
        <v>839</v>
      </c>
      <c r="P859" s="15">
        <f t="shared" si="103"/>
        <v>5.5531406168793734E-2</v>
      </c>
      <c r="Q859" s="15">
        <f t="shared" si="104"/>
        <v>5.5531406205173522E-2</v>
      </c>
      <c r="R859" s="15">
        <f t="shared" si="99"/>
        <v>5.5531406186983628E-2</v>
      </c>
      <c r="S859" s="18">
        <f t="shared" si="100"/>
        <v>-1.3764448494839598E-3</v>
      </c>
      <c r="T859" s="18">
        <f t="shared" si="101"/>
        <v>1.5973541303537786E-4</v>
      </c>
      <c r="U859" s="18">
        <f t="shared" si="102"/>
        <v>-6.0825809396192199E-4</v>
      </c>
    </row>
    <row r="860" spans="15:21" x14ac:dyDescent="0.25">
      <c r="O860" s="15">
        <v>840</v>
      </c>
      <c r="P860" s="15">
        <f t="shared" si="103"/>
        <v>5.5531406186983628E-2</v>
      </c>
      <c r="Q860" s="15">
        <f t="shared" si="104"/>
        <v>5.5531406205173522E-2</v>
      </c>
      <c r="R860" s="15">
        <f t="shared" si="99"/>
        <v>5.5531406196078575E-2</v>
      </c>
      <c r="S860" s="18">
        <f t="shared" si="100"/>
        <v>-6.0825809396192199E-4</v>
      </c>
      <c r="T860" s="18">
        <f t="shared" si="101"/>
        <v>1.5973541303537786E-4</v>
      </c>
      <c r="U860" s="18">
        <f t="shared" si="102"/>
        <v>-2.2426110808737576E-4</v>
      </c>
    </row>
    <row r="861" spans="15:21" x14ac:dyDescent="0.25">
      <c r="O861" s="15">
        <v>841</v>
      </c>
      <c r="P861" s="15">
        <f t="shared" si="103"/>
        <v>5.5531406196078575E-2</v>
      </c>
      <c r="Q861" s="15">
        <f t="shared" si="104"/>
        <v>5.5531406205173522E-2</v>
      </c>
      <c r="R861" s="15">
        <f t="shared" si="99"/>
        <v>5.5531406200626049E-2</v>
      </c>
      <c r="S861" s="18">
        <f t="shared" si="100"/>
        <v>-2.2426110808737576E-4</v>
      </c>
      <c r="T861" s="18">
        <f t="shared" si="101"/>
        <v>1.5973541303537786E-4</v>
      </c>
      <c r="U861" s="18">
        <f t="shared" si="102"/>
        <v>-3.2261682008538628E-5</v>
      </c>
    </row>
    <row r="862" spans="15:21" x14ac:dyDescent="0.25">
      <c r="O862" s="15">
        <v>842</v>
      </c>
      <c r="P862" s="15">
        <f t="shared" si="103"/>
        <v>5.5531406200626049E-2</v>
      </c>
      <c r="Q862" s="15">
        <f t="shared" si="104"/>
        <v>5.5531406205173522E-2</v>
      </c>
      <c r="R862" s="15">
        <f t="shared" si="99"/>
        <v>5.5531406202899786E-2</v>
      </c>
      <c r="S862" s="18">
        <f t="shared" si="100"/>
        <v>-3.2261682008538628E-5</v>
      </c>
      <c r="T862" s="18">
        <f t="shared" si="101"/>
        <v>1.5973541303537786E-4</v>
      </c>
      <c r="U862" s="18">
        <f t="shared" si="102"/>
        <v>6.3735001731402008E-5</v>
      </c>
    </row>
    <row r="863" spans="15:21" x14ac:dyDescent="0.25">
      <c r="O863" s="15">
        <v>843</v>
      </c>
      <c r="P863" s="15">
        <f t="shared" si="103"/>
        <v>5.5531406200626049E-2</v>
      </c>
      <c r="Q863" s="15">
        <f t="shared" si="104"/>
        <v>5.5531406202899786E-2</v>
      </c>
      <c r="R863" s="15">
        <f t="shared" si="99"/>
        <v>5.5531406201762917E-2</v>
      </c>
      <c r="S863" s="18">
        <f t="shared" si="100"/>
        <v>-3.2261682008538628E-5</v>
      </c>
      <c r="T863" s="18">
        <f t="shared" si="101"/>
        <v>6.3735001731402008E-5</v>
      </c>
      <c r="U863" s="18">
        <f t="shared" si="102"/>
        <v>1.5737591638753656E-5</v>
      </c>
    </row>
    <row r="864" spans="15:21" x14ac:dyDescent="0.25">
      <c r="O864" s="15">
        <v>844</v>
      </c>
      <c r="P864" s="15">
        <f t="shared" si="103"/>
        <v>5.5531406200626049E-2</v>
      </c>
      <c r="Q864" s="15">
        <f t="shared" si="104"/>
        <v>5.5531406201762917E-2</v>
      </c>
      <c r="R864" s="15">
        <f t="shared" si="99"/>
        <v>5.5531406201194483E-2</v>
      </c>
      <c r="S864" s="18">
        <f t="shared" si="100"/>
        <v>-3.2261682008538628E-5</v>
      </c>
      <c r="T864" s="18">
        <f t="shared" si="101"/>
        <v>1.5737591638753656E-5</v>
      </c>
      <c r="U864" s="18">
        <f t="shared" si="102"/>
        <v>-8.2643750829447526E-6</v>
      </c>
    </row>
    <row r="865" spans="15:21" x14ac:dyDescent="0.25">
      <c r="O865" s="15">
        <v>845</v>
      </c>
      <c r="P865" s="15">
        <f t="shared" si="103"/>
        <v>5.5531406201194483E-2</v>
      </c>
      <c r="Q865" s="15">
        <f t="shared" si="104"/>
        <v>5.5531406201762917E-2</v>
      </c>
      <c r="R865" s="15">
        <f t="shared" si="99"/>
        <v>5.55314062014787E-2</v>
      </c>
      <c r="S865" s="18">
        <f t="shared" si="100"/>
        <v>-8.2643750829447526E-6</v>
      </c>
      <c r="T865" s="18">
        <f t="shared" si="101"/>
        <v>1.5737591638753656E-5</v>
      </c>
      <c r="U865" s="18">
        <f t="shared" si="102"/>
        <v>3.8341636354743969E-6</v>
      </c>
    </row>
    <row r="866" spans="15:21" x14ac:dyDescent="0.25">
      <c r="O866" s="15">
        <v>846</v>
      </c>
      <c r="P866" s="15">
        <f t="shared" si="103"/>
        <v>5.5531406201194483E-2</v>
      </c>
      <c r="Q866" s="15">
        <f t="shared" si="104"/>
        <v>5.55314062014787E-2</v>
      </c>
      <c r="R866" s="15">
        <f t="shared" si="99"/>
        <v>5.5531406201336592E-2</v>
      </c>
      <c r="S866" s="18">
        <f t="shared" si="100"/>
        <v>-8.2643750829447526E-6</v>
      </c>
      <c r="T866" s="18">
        <f t="shared" si="101"/>
        <v>3.8341636354743969E-6</v>
      </c>
      <c r="U866" s="18">
        <f t="shared" si="102"/>
        <v>-2.2141739464132115E-6</v>
      </c>
    </row>
    <row r="867" spans="15:21" x14ac:dyDescent="0.25">
      <c r="O867" s="15">
        <v>847</v>
      </c>
      <c r="P867" s="15">
        <f t="shared" si="103"/>
        <v>5.5531406201336592E-2</v>
      </c>
      <c r="Q867" s="15">
        <f t="shared" si="104"/>
        <v>5.55314062014787E-2</v>
      </c>
      <c r="R867" s="15">
        <f t="shared" si="99"/>
        <v>5.5531406201407646E-2</v>
      </c>
      <c r="S867" s="18">
        <f t="shared" si="100"/>
        <v>-2.2141739464132115E-6</v>
      </c>
      <c r="T867" s="18">
        <f t="shared" si="101"/>
        <v>3.8341636354743969E-6</v>
      </c>
      <c r="U867" s="18">
        <f t="shared" si="102"/>
        <v>7.1383738031727262E-7</v>
      </c>
    </row>
    <row r="868" spans="15:21" x14ac:dyDescent="0.25">
      <c r="O868" s="15">
        <v>848</v>
      </c>
      <c r="P868" s="15">
        <f t="shared" si="103"/>
        <v>5.5531406201336592E-2</v>
      </c>
      <c r="Q868" s="15">
        <f t="shared" si="104"/>
        <v>5.5531406201407646E-2</v>
      </c>
      <c r="R868" s="15">
        <f t="shared" si="99"/>
        <v>5.5531406201372119E-2</v>
      </c>
      <c r="S868" s="18">
        <f t="shared" si="100"/>
        <v>-2.2141739464132115E-6</v>
      </c>
      <c r="T868" s="18">
        <f t="shared" si="101"/>
        <v>7.1383738031727262E-7</v>
      </c>
      <c r="U868" s="18">
        <f t="shared" si="102"/>
        <v>-6.5354470279999077E-7</v>
      </c>
    </row>
    <row r="869" spans="15:21" x14ac:dyDescent="0.25">
      <c r="O869" s="15">
        <v>849</v>
      </c>
      <c r="P869" s="15">
        <f t="shared" si="103"/>
        <v>5.5531406201372119E-2</v>
      </c>
      <c r="Q869" s="15">
        <f t="shared" si="104"/>
        <v>5.5531406201407646E-2</v>
      </c>
      <c r="R869" s="15">
        <f t="shared" si="99"/>
        <v>5.5531406201389882E-2</v>
      </c>
      <c r="S869" s="18">
        <f t="shared" si="100"/>
        <v>-6.5354470279999077E-7</v>
      </c>
      <c r="T869" s="18">
        <f t="shared" si="101"/>
        <v>7.1383738031727262E-7</v>
      </c>
      <c r="U869" s="18">
        <f t="shared" si="102"/>
        <v>3.0612227419624105E-8</v>
      </c>
    </row>
    <row r="870" spans="15:21" x14ac:dyDescent="0.25">
      <c r="O870" s="15">
        <v>850</v>
      </c>
      <c r="P870" s="15">
        <f t="shared" si="103"/>
        <v>5.5531406201372119E-2</v>
      </c>
      <c r="Q870" s="15">
        <f t="shared" si="104"/>
        <v>5.5531406201389882E-2</v>
      </c>
      <c r="R870" s="15">
        <f t="shared" si="99"/>
        <v>5.5531406201381001E-2</v>
      </c>
      <c r="S870" s="18">
        <f t="shared" si="100"/>
        <v>-6.5354470279999077E-7</v>
      </c>
      <c r="T870" s="18">
        <f t="shared" si="101"/>
        <v>3.0612227419624105E-8</v>
      </c>
      <c r="U870" s="18">
        <f t="shared" si="102"/>
        <v>-3.1053423299454153E-7</v>
      </c>
    </row>
    <row r="871" spans="15:21" x14ac:dyDescent="0.25">
      <c r="O871" s="15">
        <v>851</v>
      </c>
      <c r="P871" s="15">
        <f t="shared" si="103"/>
        <v>5.5531406201381001E-2</v>
      </c>
      <c r="Q871" s="15">
        <f t="shared" si="104"/>
        <v>5.5531406201389882E-2</v>
      </c>
      <c r="R871" s="15">
        <f t="shared" si="99"/>
        <v>5.5531406201385441E-2</v>
      </c>
      <c r="S871" s="18">
        <f t="shared" si="100"/>
        <v>-3.1053423299454153E-7</v>
      </c>
      <c r="T871" s="18">
        <f t="shared" si="101"/>
        <v>3.0612227419624105E-8</v>
      </c>
      <c r="U871" s="18">
        <f t="shared" si="102"/>
        <v>-2.3821530703571625E-7</v>
      </c>
    </row>
    <row r="872" spans="15:21" x14ac:dyDescent="0.25">
      <c r="O872" s="15">
        <v>852</v>
      </c>
      <c r="P872" s="15">
        <f t="shared" si="103"/>
        <v>5.5531406201385441E-2</v>
      </c>
      <c r="Q872" s="15">
        <f t="shared" si="104"/>
        <v>5.5531406201389882E-2</v>
      </c>
      <c r="R872" s="15">
        <f t="shared" si="99"/>
        <v>5.5531406201387662E-2</v>
      </c>
      <c r="S872" s="18">
        <f t="shared" si="100"/>
        <v>-2.3821530703571625E-7</v>
      </c>
      <c r="T872" s="18">
        <f t="shared" si="101"/>
        <v>3.0612227419624105E-8</v>
      </c>
      <c r="U872" s="18">
        <f t="shared" si="102"/>
        <v>-1.0403437045169994E-7</v>
      </c>
    </row>
    <row r="873" spans="15:21" x14ac:dyDescent="0.25">
      <c r="O873" s="15">
        <v>853</v>
      </c>
      <c r="P873" s="15">
        <f t="shared" si="103"/>
        <v>5.5531406201387662E-2</v>
      </c>
      <c r="Q873" s="15">
        <f t="shared" si="104"/>
        <v>5.5531406201389882E-2</v>
      </c>
      <c r="R873" s="15">
        <f t="shared" si="99"/>
        <v>5.5531406201388772E-2</v>
      </c>
      <c r="S873" s="18">
        <f t="shared" si="100"/>
        <v>-1.0403437045169994E-7</v>
      </c>
      <c r="T873" s="18">
        <f t="shared" si="101"/>
        <v>3.0612227419624105E-8</v>
      </c>
      <c r="U873" s="18">
        <f t="shared" si="102"/>
        <v>6.1310856835916638E-8</v>
      </c>
    </row>
    <row r="874" spans="15:21" x14ac:dyDescent="0.25">
      <c r="O874" s="15">
        <v>854</v>
      </c>
      <c r="P874" s="15">
        <f t="shared" si="103"/>
        <v>5.5531406201387662E-2</v>
      </c>
      <c r="Q874" s="15">
        <f t="shared" si="104"/>
        <v>5.5531406201388772E-2</v>
      </c>
      <c r="R874" s="15">
        <f t="shared" si="99"/>
        <v>5.5531406201388217E-2</v>
      </c>
      <c r="S874" s="18">
        <f t="shared" si="100"/>
        <v>-1.0403437045169994E-7</v>
      </c>
      <c r="T874" s="18">
        <f t="shared" si="101"/>
        <v>6.1310856835916638E-8</v>
      </c>
      <c r="U874" s="18">
        <f t="shared" si="102"/>
        <v>-1.2310601960052736E-7</v>
      </c>
    </row>
    <row r="875" spans="15:21" x14ac:dyDescent="0.25">
      <c r="O875" s="15">
        <v>855</v>
      </c>
      <c r="P875" s="15">
        <f t="shared" si="103"/>
        <v>5.5531406201388217E-2</v>
      </c>
      <c r="Q875" s="15">
        <f t="shared" si="104"/>
        <v>5.5531406201388772E-2</v>
      </c>
      <c r="R875" s="15">
        <f t="shared" si="99"/>
        <v>5.5531406201388495E-2</v>
      </c>
      <c r="S875" s="18">
        <f t="shared" si="100"/>
        <v>-1.2310601960052736E-7</v>
      </c>
      <c r="T875" s="18">
        <f t="shared" si="101"/>
        <v>6.1310856835916638E-8</v>
      </c>
      <c r="U875" s="18">
        <f t="shared" si="102"/>
        <v>-1.3054977898718789E-7</v>
      </c>
    </row>
    <row r="876" spans="15:21" x14ac:dyDescent="0.25">
      <c r="O876" s="15">
        <v>856</v>
      </c>
      <c r="P876" s="15">
        <f t="shared" si="103"/>
        <v>5.5531406201388495E-2</v>
      </c>
      <c r="Q876" s="15">
        <f t="shared" si="104"/>
        <v>5.5531406201388772E-2</v>
      </c>
      <c r="R876" s="15">
        <f t="shared" si="99"/>
        <v>5.5531406201388633E-2</v>
      </c>
      <c r="S876" s="18">
        <f t="shared" si="100"/>
        <v>-1.3054977898718789E-7</v>
      </c>
      <c r="T876" s="18">
        <f t="shared" si="101"/>
        <v>6.1310856835916638E-8</v>
      </c>
      <c r="U876" s="18">
        <f t="shared" si="102"/>
        <v>6.1310856835916638E-8</v>
      </c>
    </row>
    <row r="877" spans="15:21" x14ac:dyDescent="0.25">
      <c r="O877" s="15">
        <v>857</v>
      </c>
      <c r="P877" s="15">
        <f t="shared" si="103"/>
        <v>5.5531406201388495E-2</v>
      </c>
      <c r="Q877" s="15">
        <f t="shared" si="104"/>
        <v>5.5531406201388633E-2</v>
      </c>
      <c r="R877" s="15">
        <f t="shared" si="99"/>
        <v>5.5531406201388564E-2</v>
      </c>
      <c r="S877" s="18">
        <f t="shared" si="100"/>
        <v>-1.3054977898718789E-7</v>
      </c>
      <c r="T877" s="18">
        <f t="shared" si="101"/>
        <v>6.1310856835916638E-8</v>
      </c>
      <c r="U877" s="18">
        <f t="shared" si="102"/>
        <v>-1.3054977898718789E-7</v>
      </c>
    </row>
    <row r="878" spans="15:21" x14ac:dyDescent="0.25">
      <c r="O878" s="15">
        <v>858</v>
      </c>
      <c r="P878" s="15">
        <f t="shared" si="103"/>
        <v>5.5531406201388564E-2</v>
      </c>
      <c r="Q878" s="15">
        <f t="shared" si="104"/>
        <v>5.5531406201388633E-2</v>
      </c>
      <c r="R878" s="15">
        <f t="shared" si="99"/>
        <v>5.5531406201388599E-2</v>
      </c>
      <c r="S878" s="18">
        <f t="shared" si="100"/>
        <v>-1.3054977898718789E-7</v>
      </c>
      <c r="T878" s="18">
        <f t="shared" si="101"/>
        <v>6.1310856835916638E-8</v>
      </c>
      <c r="U878" s="18">
        <f t="shared" si="102"/>
        <v>-1.3054977898718789E-7</v>
      </c>
    </row>
    <row r="879" spans="15:21" x14ac:dyDescent="0.25">
      <c r="O879" s="15">
        <v>859</v>
      </c>
      <c r="P879" s="15">
        <f t="shared" si="103"/>
        <v>5.5531406201388599E-2</v>
      </c>
      <c r="Q879" s="15">
        <f t="shared" si="104"/>
        <v>5.5531406201388633E-2</v>
      </c>
      <c r="R879" s="15">
        <f t="shared" si="99"/>
        <v>5.5531406201388619E-2</v>
      </c>
      <c r="S879" s="18">
        <f t="shared" si="100"/>
        <v>-1.3054977898718789E-7</v>
      </c>
      <c r="T879" s="18">
        <f t="shared" si="101"/>
        <v>6.1310856835916638E-8</v>
      </c>
      <c r="U879" s="18">
        <f t="shared" si="102"/>
        <v>-1.3054977898718789E-7</v>
      </c>
    </row>
    <row r="880" spans="15:21" x14ac:dyDescent="0.25">
      <c r="O880" s="15">
        <v>860</v>
      </c>
      <c r="P880" s="15">
        <f t="shared" si="103"/>
        <v>5.5531406201388619E-2</v>
      </c>
      <c r="Q880" s="15">
        <f t="shared" si="104"/>
        <v>5.5531406201388633E-2</v>
      </c>
      <c r="R880" s="15">
        <f t="shared" si="99"/>
        <v>5.5531406201388626E-2</v>
      </c>
      <c r="S880" s="18">
        <f t="shared" si="100"/>
        <v>-1.3054977898718789E-7</v>
      </c>
      <c r="T880" s="18">
        <f t="shared" si="101"/>
        <v>6.1310856835916638E-8</v>
      </c>
      <c r="U880" s="18">
        <f t="shared" si="102"/>
        <v>-1.3054977898718789E-7</v>
      </c>
    </row>
    <row r="881" spans="15:21" x14ac:dyDescent="0.25">
      <c r="O881" s="15">
        <v>861</v>
      </c>
      <c r="P881" s="15">
        <f t="shared" si="103"/>
        <v>5.5531406201388626E-2</v>
      </c>
      <c r="Q881" s="15">
        <f t="shared" si="104"/>
        <v>5.5531406201388633E-2</v>
      </c>
      <c r="R881" s="15">
        <f t="shared" si="99"/>
        <v>5.5531406201388633E-2</v>
      </c>
      <c r="S881" s="18">
        <f t="shared" si="100"/>
        <v>-1.3054977898718789E-7</v>
      </c>
      <c r="T881" s="18">
        <f t="shared" si="101"/>
        <v>6.1310856835916638E-8</v>
      </c>
      <c r="U881" s="18">
        <f t="shared" si="102"/>
        <v>6.1310856835916638E-8</v>
      </c>
    </row>
    <row r="882" spans="15:21" x14ac:dyDescent="0.25">
      <c r="O882" s="15">
        <v>862</v>
      </c>
      <c r="P882" s="15">
        <f t="shared" si="103"/>
        <v>5.5531406201388626E-2</v>
      </c>
      <c r="Q882" s="15">
        <f t="shared" si="104"/>
        <v>5.5531406201388633E-2</v>
      </c>
      <c r="R882" s="15">
        <f t="shared" si="99"/>
        <v>5.5531406201388633E-2</v>
      </c>
      <c r="S882" s="18">
        <f t="shared" si="100"/>
        <v>-1.3054977898718789E-7</v>
      </c>
      <c r="T882" s="18">
        <f t="shared" si="101"/>
        <v>6.1310856835916638E-8</v>
      </c>
      <c r="U882" s="18">
        <f t="shared" si="102"/>
        <v>6.1310856835916638E-8</v>
      </c>
    </row>
    <row r="883" spans="15:21" x14ac:dyDescent="0.25">
      <c r="O883" s="15">
        <v>863</v>
      </c>
      <c r="P883" s="15">
        <f t="shared" si="103"/>
        <v>5.5531406201388626E-2</v>
      </c>
      <c r="Q883" s="15">
        <f t="shared" si="104"/>
        <v>5.5531406201388633E-2</v>
      </c>
      <c r="R883" s="15">
        <f t="shared" si="99"/>
        <v>5.5531406201388633E-2</v>
      </c>
      <c r="S883" s="18">
        <f t="shared" si="100"/>
        <v>-1.3054977898718789E-7</v>
      </c>
      <c r="T883" s="18">
        <f t="shared" si="101"/>
        <v>6.1310856835916638E-8</v>
      </c>
      <c r="U883" s="18">
        <f t="shared" si="102"/>
        <v>6.1310856835916638E-8</v>
      </c>
    </row>
    <row r="884" spans="15:21" x14ac:dyDescent="0.25">
      <c r="O884" s="15">
        <v>864</v>
      </c>
      <c r="P884" s="15">
        <f t="shared" si="103"/>
        <v>5.5531406201388626E-2</v>
      </c>
      <c r="Q884" s="15">
        <f t="shared" si="104"/>
        <v>5.5531406201388633E-2</v>
      </c>
      <c r="R884" s="15">
        <f t="shared" si="99"/>
        <v>5.5531406201388633E-2</v>
      </c>
      <c r="S884" s="18">
        <f t="shared" si="100"/>
        <v>-1.3054977898718789E-7</v>
      </c>
      <c r="T884" s="18">
        <f t="shared" si="101"/>
        <v>6.1310856835916638E-8</v>
      </c>
      <c r="U884" s="18">
        <f t="shared" si="102"/>
        <v>6.1310856835916638E-8</v>
      </c>
    </row>
    <row r="885" spans="15:21" x14ac:dyDescent="0.25">
      <c r="O885" s="15">
        <v>865</v>
      </c>
      <c r="P885" s="15">
        <f t="shared" si="103"/>
        <v>5.5531406201388626E-2</v>
      </c>
      <c r="Q885" s="15">
        <f t="shared" si="104"/>
        <v>5.5531406201388633E-2</v>
      </c>
      <c r="R885" s="15">
        <f t="shared" ref="R885:R948" si="105">(P885+Q885)/2</f>
        <v>5.5531406201388633E-2</v>
      </c>
      <c r="S885" s="18">
        <f t="shared" ref="S885:S948" si="106">$E$4-$E$10-$E$11*(1+P885)^(-$E$5/$L$9)-$E$13*(1+P885)^(-$H$13/$L$9)-$E$14*(1+P885)^(-$H$14/$L$9) +$E$24*((1-(1+P885)^(-$E$5/$L$9)))/(1-(1+P885)^(1/$L$9))+$E$17*((1-(1+P885)^(-$J$20/$M$4)))/(1-(1+P885)^(1/$M$4))+$E$18*((1-(1+P885)^(-$J$21/$M$5)))/(1-(1+P885)^(1/$M$5))+$E$19*((1-(1+P885)^(-$J$22/$M$6)))/(1-(1+P885)^(1/$M$6))+$E$20*((1-(1+P885)^(-$J$23/$M$7)))/(1-(1+P885)^(1/$M$7))+$E$21*((1-(1+P885)^(-$J$24/$M$8)))/(1-(1+P885)^(1/$M$8))</f>
        <v>-1.3054977898718789E-7</v>
      </c>
      <c r="T885" s="18">
        <f t="shared" ref="T885:T948" si="107">$E$4-$E$10-$E$11*(1+Q885)^(-$E$5/$L$9)-$E$13*(1+Q885)^(-$H$13/$L$9)-$E$14*(1+Q885)^(-$H$14/$L$9) +$E$24*((1-(1+Q885)^(-$E$5/$L$9)))/(1-(1+Q885)^(1/$L$9))+$E$17*((1-(1+Q885)^(-$J$20/$M$4)))/(1-(1+Q885)^(1/$M$4))+$E$18*((1-(1+Q885)^(-$J$21/$M$5)))/(1-(1+Q885)^(1/$M$5))+$E$19*((1-(1+Q885)^(-$J$22/$M$6)))/(1-(1+Q885)^(1/$M$6))+$E$20*((1-(1+Q885)^(-$J$23/$M$7)))/(1-(1+Q885)^(1/$M$7))+$E$21*((1-(1+Q885)^(-$J$24/$M$8)))/(1-(1+Q885)^(1/$M$8))</f>
        <v>6.1310856835916638E-8</v>
      </c>
      <c r="U885" s="18">
        <f t="shared" ref="U885:U948" si="108">$E$4-$E$10-$E$11*(1+R885)^(-$E$5/$L$9)-$E$13*(1+R885)^(-$H$13/$L$9)-$E$14*(1+R885)^(-$H$14/$L$9) +$E$24*((1-(1+R885)^(-$E$5/$L$9)))/(1-(1+R885)^(1/$L$9))+$E$17*((1-(1+R885)^(-$J$20/$M$4)))/(1-(1+R885)^(1/$M$4))+$E$18*((1-(1+R885)^(-$J$21/$M$5)))/(1-(1+R885)^(1/$M$5))+$E$19*((1-(1+R885)^(-$J$22/$M$6)))/(1-(1+R885)^(1/$M$6))+$E$20*((1-(1+R885)^(-$J$23/$M$7)))/(1-(1+R885)^(1/$M$7))+$E$21*((1-(1+R885)^(-$J$24/$M$8)))/(1-(1+R885)^(1/$M$8))</f>
        <v>6.1310856835916638E-8</v>
      </c>
    </row>
    <row r="886" spans="15:21" x14ac:dyDescent="0.25">
      <c r="O886" s="15">
        <v>866</v>
      </c>
      <c r="P886" s="15">
        <f t="shared" ref="P886:P920" si="109">IF(S885*U885&gt;=0,R885,P885)</f>
        <v>5.5531406201388626E-2</v>
      </c>
      <c r="Q886" s="15">
        <f t="shared" ref="Q886:Q920" si="110">IF(T885*U885&gt;=0,R885,Q885)</f>
        <v>5.5531406201388633E-2</v>
      </c>
      <c r="R886" s="15">
        <f t="shared" si="105"/>
        <v>5.5531406201388633E-2</v>
      </c>
      <c r="S886" s="18">
        <f t="shared" si="106"/>
        <v>-1.3054977898718789E-7</v>
      </c>
      <c r="T886" s="18">
        <f t="shared" si="107"/>
        <v>6.1310856835916638E-8</v>
      </c>
      <c r="U886" s="18">
        <f t="shared" si="108"/>
        <v>6.1310856835916638E-8</v>
      </c>
    </row>
    <row r="887" spans="15:21" x14ac:dyDescent="0.25">
      <c r="O887" s="15">
        <v>867</v>
      </c>
      <c r="P887" s="15">
        <f t="shared" si="109"/>
        <v>5.5531406201388626E-2</v>
      </c>
      <c r="Q887" s="15">
        <f t="shared" si="110"/>
        <v>5.5531406201388633E-2</v>
      </c>
      <c r="R887" s="15">
        <f t="shared" si="105"/>
        <v>5.5531406201388633E-2</v>
      </c>
      <c r="S887" s="18">
        <f t="shared" si="106"/>
        <v>-1.3054977898718789E-7</v>
      </c>
      <c r="T887" s="18">
        <f t="shared" si="107"/>
        <v>6.1310856835916638E-8</v>
      </c>
      <c r="U887" s="18">
        <f t="shared" si="108"/>
        <v>6.1310856835916638E-8</v>
      </c>
    </row>
    <row r="888" spans="15:21" x14ac:dyDescent="0.25">
      <c r="O888" s="15">
        <v>868</v>
      </c>
      <c r="P888" s="15">
        <f t="shared" si="109"/>
        <v>5.5531406201388626E-2</v>
      </c>
      <c r="Q888" s="15">
        <f t="shared" si="110"/>
        <v>5.5531406201388633E-2</v>
      </c>
      <c r="R888" s="15">
        <f t="shared" si="105"/>
        <v>5.5531406201388633E-2</v>
      </c>
      <c r="S888" s="18">
        <f t="shared" si="106"/>
        <v>-1.3054977898718789E-7</v>
      </c>
      <c r="T888" s="18">
        <f t="shared" si="107"/>
        <v>6.1310856835916638E-8</v>
      </c>
      <c r="U888" s="18">
        <f t="shared" si="108"/>
        <v>6.1310856835916638E-8</v>
      </c>
    </row>
    <row r="889" spans="15:21" x14ac:dyDescent="0.25">
      <c r="O889" s="15">
        <v>869</v>
      </c>
      <c r="P889" s="15">
        <f t="shared" si="109"/>
        <v>5.5531406201388626E-2</v>
      </c>
      <c r="Q889" s="15">
        <f t="shared" si="110"/>
        <v>5.5531406201388633E-2</v>
      </c>
      <c r="R889" s="15">
        <f t="shared" si="105"/>
        <v>5.5531406201388633E-2</v>
      </c>
      <c r="S889" s="18">
        <f t="shared" si="106"/>
        <v>-1.3054977898718789E-7</v>
      </c>
      <c r="T889" s="18">
        <f t="shared" si="107"/>
        <v>6.1310856835916638E-8</v>
      </c>
      <c r="U889" s="18">
        <f t="shared" si="108"/>
        <v>6.1310856835916638E-8</v>
      </c>
    </row>
    <row r="890" spans="15:21" x14ac:dyDescent="0.25">
      <c r="O890" s="15">
        <v>870</v>
      </c>
      <c r="P890" s="15">
        <f t="shared" si="109"/>
        <v>5.5531406201388626E-2</v>
      </c>
      <c r="Q890" s="15">
        <f t="shared" si="110"/>
        <v>5.5531406201388633E-2</v>
      </c>
      <c r="R890" s="15">
        <f t="shared" si="105"/>
        <v>5.5531406201388633E-2</v>
      </c>
      <c r="S890" s="18">
        <f t="shared" si="106"/>
        <v>-1.3054977898718789E-7</v>
      </c>
      <c r="T890" s="18">
        <f t="shared" si="107"/>
        <v>6.1310856835916638E-8</v>
      </c>
      <c r="U890" s="18">
        <f t="shared" si="108"/>
        <v>6.1310856835916638E-8</v>
      </c>
    </row>
    <row r="891" spans="15:21" x14ac:dyDescent="0.25">
      <c r="O891" s="15">
        <v>871</v>
      </c>
      <c r="P891" s="15">
        <f t="shared" si="109"/>
        <v>5.5531406201388626E-2</v>
      </c>
      <c r="Q891" s="15">
        <f t="shared" si="110"/>
        <v>5.5531406201388633E-2</v>
      </c>
      <c r="R891" s="15">
        <f t="shared" si="105"/>
        <v>5.5531406201388633E-2</v>
      </c>
      <c r="S891" s="18">
        <f t="shared" si="106"/>
        <v>-1.3054977898718789E-7</v>
      </c>
      <c r="T891" s="18">
        <f t="shared" si="107"/>
        <v>6.1310856835916638E-8</v>
      </c>
      <c r="U891" s="18">
        <f t="shared" si="108"/>
        <v>6.1310856835916638E-8</v>
      </c>
    </row>
    <row r="892" spans="15:21" x14ac:dyDescent="0.25">
      <c r="O892" s="15">
        <v>872</v>
      </c>
      <c r="P892" s="15">
        <f t="shared" si="109"/>
        <v>5.5531406201388626E-2</v>
      </c>
      <c r="Q892" s="15">
        <f t="shared" si="110"/>
        <v>5.5531406201388633E-2</v>
      </c>
      <c r="R892" s="15">
        <f t="shared" si="105"/>
        <v>5.5531406201388633E-2</v>
      </c>
      <c r="S892" s="18">
        <f t="shared" si="106"/>
        <v>-1.3054977898718789E-7</v>
      </c>
      <c r="T892" s="18">
        <f t="shared" si="107"/>
        <v>6.1310856835916638E-8</v>
      </c>
      <c r="U892" s="18">
        <f t="shared" si="108"/>
        <v>6.1310856835916638E-8</v>
      </c>
    </row>
    <row r="893" spans="15:21" x14ac:dyDescent="0.25">
      <c r="O893" s="15">
        <v>873</v>
      </c>
      <c r="P893" s="15">
        <f t="shared" si="109"/>
        <v>5.5531406201388626E-2</v>
      </c>
      <c r="Q893" s="15">
        <f t="shared" si="110"/>
        <v>5.5531406201388633E-2</v>
      </c>
      <c r="R893" s="15">
        <f t="shared" si="105"/>
        <v>5.5531406201388633E-2</v>
      </c>
      <c r="S893" s="18">
        <f t="shared" si="106"/>
        <v>-1.3054977898718789E-7</v>
      </c>
      <c r="T893" s="18">
        <f t="shared" si="107"/>
        <v>6.1310856835916638E-8</v>
      </c>
      <c r="U893" s="18">
        <f t="shared" si="108"/>
        <v>6.1310856835916638E-8</v>
      </c>
    </row>
    <row r="894" spans="15:21" x14ac:dyDescent="0.25">
      <c r="O894" s="15">
        <v>874</v>
      </c>
      <c r="P894" s="15">
        <f t="shared" si="109"/>
        <v>5.5531406201388626E-2</v>
      </c>
      <c r="Q894" s="15">
        <f t="shared" si="110"/>
        <v>5.5531406201388633E-2</v>
      </c>
      <c r="R894" s="15">
        <f t="shared" si="105"/>
        <v>5.5531406201388633E-2</v>
      </c>
      <c r="S894" s="18">
        <f t="shared" si="106"/>
        <v>-1.3054977898718789E-7</v>
      </c>
      <c r="T894" s="18">
        <f t="shared" si="107"/>
        <v>6.1310856835916638E-8</v>
      </c>
      <c r="U894" s="18">
        <f t="shared" si="108"/>
        <v>6.1310856835916638E-8</v>
      </c>
    </row>
    <row r="895" spans="15:21" x14ac:dyDescent="0.25">
      <c r="O895" s="15">
        <v>875</v>
      </c>
      <c r="P895" s="15">
        <f t="shared" si="109"/>
        <v>5.5531406201388626E-2</v>
      </c>
      <c r="Q895" s="15">
        <f t="shared" si="110"/>
        <v>5.5531406201388633E-2</v>
      </c>
      <c r="R895" s="15">
        <f t="shared" si="105"/>
        <v>5.5531406201388633E-2</v>
      </c>
      <c r="S895" s="18">
        <f t="shared" si="106"/>
        <v>-1.3054977898718789E-7</v>
      </c>
      <c r="T895" s="18">
        <f t="shared" si="107"/>
        <v>6.1310856835916638E-8</v>
      </c>
      <c r="U895" s="18">
        <f t="shared" si="108"/>
        <v>6.1310856835916638E-8</v>
      </c>
    </row>
    <row r="896" spans="15:21" x14ac:dyDescent="0.25">
      <c r="O896" s="15">
        <v>876</v>
      </c>
      <c r="P896" s="15">
        <f t="shared" si="109"/>
        <v>5.5531406201388626E-2</v>
      </c>
      <c r="Q896" s="15">
        <f t="shared" si="110"/>
        <v>5.5531406201388633E-2</v>
      </c>
      <c r="R896" s="15">
        <f t="shared" si="105"/>
        <v>5.5531406201388633E-2</v>
      </c>
      <c r="S896" s="18">
        <f t="shared" si="106"/>
        <v>-1.3054977898718789E-7</v>
      </c>
      <c r="T896" s="18">
        <f t="shared" si="107"/>
        <v>6.1310856835916638E-8</v>
      </c>
      <c r="U896" s="18">
        <f t="shared" si="108"/>
        <v>6.1310856835916638E-8</v>
      </c>
    </row>
    <row r="897" spans="15:21" x14ac:dyDescent="0.25">
      <c r="O897" s="15">
        <v>877</v>
      </c>
      <c r="P897" s="15">
        <f t="shared" si="109"/>
        <v>5.5531406201388626E-2</v>
      </c>
      <c r="Q897" s="15">
        <f t="shared" si="110"/>
        <v>5.5531406201388633E-2</v>
      </c>
      <c r="R897" s="15">
        <f t="shared" si="105"/>
        <v>5.5531406201388633E-2</v>
      </c>
      <c r="S897" s="18">
        <f t="shared" si="106"/>
        <v>-1.3054977898718789E-7</v>
      </c>
      <c r="T897" s="18">
        <f t="shared" si="107"/>
        <v>6.1310856835916638E-8</v>
      </c>
      <c r="U897" s="18">
        <f t="shared" si="108"/>
        <v>6.1310856835916638E-8</v>
      </c>
    </row>
    <row r="898" spans="15:21" x14ac:dyDescent="0.25">
      <c r="O898" s="15">
        <v>878</v>
      </c>
      <c r="P898" s="15">
        <f t="shared" si="109"/>
        <v>5.5531406201388626E-2</v>
      </c>
      <c r="Q898" s="15">
        <f t="shared" si="110"/>
        <v>5.5531406201388633E-2</v>
      </c>
      <c r="R898" s="15">
        <f t="shared" si="105"/>
        <v>5.5531406201388633E-2</v>
      </c>
      <c r="S898" s="18">
        <f t="shared" si="106"/>
        <v>-1.3054977898718789E-7</v>
      </c>
      <c r="T898" s="18">
        <f t="shared" si="107"/>
        <v>6.1310856835916638E-8</v>
      </c>
      <c r="U898" s="18">
        <f t="shared" si="108"/>
        <v>6.1310856835916638E-8</v>
      </c>
    </row>
    <row r="899" spans="15:21" x14ac:dyDescent="0.25">
      <c r="O899" s="15">
        <v>879</v>
      </c>
      <c r="P899" s="15">
        <f t="shared" si="109"/>
        <v>5.5531406201388626E-2</v>
      </c>
      <c r="Q899" s="15">
        <f t="shared" si="110"/>
        <v>5.5531406201388633E-2</v>
      </c>
      <c r="R899" s="15">
        <f t="shared" si="105"/>
        <v>5.5531406201388633E-2</v>
      </c>
      <c r="S899" s="18">
        <f t="shared" si="106"/>
        <v>-1.3054977898718789E-7</v>
      </c>
      <c r="T899" s="18">
        <f t="shared" si="107"/>
        <v>6.1310856835916638E-8</v>
      </c>
      <c r="U899" s="18">
        <f t="shared" si="108"/>
        <v>6.1310856835916638E-8</v>
      </c>
    </row>
    <row r="900" spans="15:21" x14ac:dyDescent="0.25">
      <c r="O900" s="15">
        <v>880</v>
      </c>
      <c r="P900" s="15">
        <f t="shared" si="109"/>
        <v>5.5531406201388626E-2</v>
      </c>
      <c r="Q900" s="15">
        <f t="shared" si="110"/>
        <v>5.5531406201388633E-2</v>
      </c>
      <c r="R900" s="15">
        <f t="shared" si="105"/>
        <v>5.5531406201388633E-2</v>
      </c>
      <c r="S900" s="18">
        <f t="shared" si="106"/>
        <v>-1.3054977898718789E-7</v>
      </c>
      <c r="T900" s="18">
        <f t="shared" si="107"/>
        <v>6.1310856835916638E-8</v>
      </c>
      <c r="U900" s="18">
        <f t="shared" si="108"/>
        <v>6.1310856835916638E-8</v>
      </c>
    </row>
    <row r="901" spans="15:21" x14ac:dyDescent="0.25">
      <c r="O901" s="15">
        <v>881</v>
      </c>
      <c r="P901" s="15">
        <f t="shared" si="109"/>
        <v>5.5531406201388626E-2</v>
      </c>
      <c r="Q901" s="15">
        <f t="shared" si="110"/>
        <v>5.5531406201388633E-2</v>
      </c>
      <c r="R901" s="15">
        <f t="shared" si="105"/>
        <v>5.5531406201388633E-2</v>
      </c>
      <c r="S901" s="18">
        <f t="shared" si="106"/>
        <v>-1.3054977898718789E-7</v>
      </c>
      <c r="T901" s="18">
        <f t="shared" si="107"/>
        <v>6.1310856835916638E-8</v>
      </c>
      <c r="U901" s="18">
        <f t="shared" si="108"/>
        <v>6.1310856835916638E-8</v>
      </c>
    </row>
    <row r="902" spans="15:21" x14ac:dyDescent="0.25">
      <c r="O902" s="15">
        <v>882</v>
      </c>
      <c r="P902" s="15">
        <f t="shared" si="109"/>
        <v>5.5531406201388626E-2</v>
      </c>
      <c r="Q902" s="15">
        <f t="shared" si="110"/>
        <v>5.5531406201388633E-2</v>
      </c>
      <c r="R902" s="15">
        <f t="shared" si="105"/>
        <v>5.5531406201388633E-2</v>
      </c>
      <c r="S902" s="18">
        <f t="shared" si="106"/>
        <v>-1.3054977898718789E-7</v>
      </c>
      <c r="T902" s="18">
        <f t="shared" si="107"/>
        <v>6.1310856835916638E-8</v>
      </c>
      <c r="U902" s="18">
        <f t="shared" si="108"/>
        <v>6.1310856835916638E-8</v>
      </c>
    </row>
    <row r="903" spans="15:21" x14ac:dyDescent="0.25">
      <c r="O903" s="15">
        <v>883</v>
      </c>
      <c r="P903" s="15">
        <f t="shared" si="109"/>
        <v>5.5531406201388626E-2</v>
      </c>
      <c r="Q903" s="15">
        <f t="shared" si="110"/>
        <v>5.5531406201388633E-2</v>
      </c>
      <c r="R903" s="15">
        <f t="shared" si="105"/>
        <v>5.5531406201388633E-2</v>
      </c>
      <c r="S903" s="18">
        <f t="shared" si="106"/>
        <v>-1.3054977898718789E-7</v>
      </c>
      <c r="T903" s="18">
        <f t="shared" si="107"/>
        <v>6.1310856835916638E-8</v>
      </c>
      <c r="U903" s="18">
        <f t="shared" si="108"/>
        <v>6.1310856835916638E-8</v>
      </c>
    </row>
    <row r="904" spans="15:21" x14ac:dyDescent="0.25">
      <c r="O904" s="15">
        <v>884</v>
      </c>
      <c r="P904" s="15">
        <f t="shared" si="109"/>
        <v>5.5531406201388626E-2</v>
      </c>
      <c r="Q904" s="15">
        <f t="shared" si="110"/>
        <v>5.5531406201388633E-2</v>
      </c>
      <c r="R904" s="15">
        <f t="shared" si="105"/>
        <v>5.5531406201388633E-2</v>
      </c>
      <c r="S904" s="18">
        <f t="shared" si="106"/>
        <v>-1.3054977898718789E-7</v>
      </c>
      <c r="T904" s="18">
        <f t="shared" si="107"/>
        <v>6.1310856835916638E-8</v>
      </c>
      <c r="U904" s="18">
        <f t="shared" si="108"/>
        <v>6.1310856835916638E-8</v>
      </c>
    </row>
    <row r="905" spans="15:21" x14ac:dyDescent="0.25">
      <c r="O905" s="15">
        <v>885</v>
      </c>
      <c r="P905" s="15">
        <f t="shared" si="109"/>
        <v>5.5531406201388626E-2</v>
      </c>
      <c r="Q905" s="15">
        <f t="shared" si="110"/>
        <v>5.5531406201388633E-2</v>
      </c>
      <c r="R905" s="15">
        <f t="shared" si="105"/>
        <v>5.5531406201388633E-2</v>
      </c>
      <c r="S905" s="18">
        <f t="shared" si="106"/>
        <v>-1.3054977898718789E-7</v>
      </c>
      <c r="T905" s="18">
        <f t="shared" si="107"/>
        <v>6.1310856835916638E-8</v>
      </c>
      <c r="U905" s="18">
        <f t="shared" si="108"/>
        <v>6.1310856835916638E-8</v>
      </c>
    </row>
    <row r="906" spans="15:21" x14ac:dyDescent="0.25">
      <c r="O906" s="15">
        <v>886</v>
      </c>
      <c r="P906" s="15">
        <f t="shared" si="109"/>
        <v>5.5531406201388626E-2</v>
      </c>
      <c r="Q906" s="15">
        <f t="shared" si="110"/>
        <v>5.5531406201388633E-2</v>
      </c>
      <c r="R906" s="15">
        <f t="shared" si="105"/>
        <v>5.5531406201388633E-2</v>
      </c>
      <c r="S906" s="18">
        <f t="shared" si="106"/>
        <v>-1.3054977898718789E-7</v>
      </c>
      <c r="T906" s="18">
        <f t="shared" si="107"/>
        <v>6.1310856835916638E-8</v>
      </c>
      <c r="U906" s="18">
        <f t="shared" si="108"/>
        <v>6.1310856835916638E-8</v>
      </c>
    </row>
    <row r="907" spans="15:21" x14ac:dyDescent="0.25">
      <c r="O907" s="15">
        <v>887</v>
      </c>
      <c r="P907" s="15">
        <f t="shared" si="109"/>
        <v>5.5531406201388626E-2</v>
      </c>
      <c r="Q907" s="15">
        <f t="shared" si="110"/>
        <v>5.5531406201388633E-2</v>
      </c>
      <c r="R907" s="15">
        <f t="shared" si="105"/>
        <v>5.5531406201388633E-2</v>
      </c>
      <c r="S907" s="18">
        <f t="shared" si="106"/>
        <v>-1.3054977898718789E-7</v>
      </c>
      <c r="T907" s="18">
        <f t="shared" si="107"/>
        <v>6.1310856835916638E-8</v>
      </c>
      <c r="U907" s="18">
        <f t="shared" si="108"/>
        <v>6.1310856835916638E-8</v>
      </c>
    </row>
    <row r="908" spans="15:21" x14ac:dyDescent="0.25">
      <c r="O908" s="15">
        <v>888</v>
      </c>
      <c r="P908" s="15">
        <f t="shared" si="109"/>
        <v>5.5531406201388626E-2</v>
      </c>
      <c r="Q908" s="15">
        <f t="shared" si="110"/>
        <v>5.5531406201388633E-2</v>
      </c>
      <c r="R908" s="15">
        <f t="shared" si="105"/>
        <v>5.5531406201388633E-2</v>
      </c>
      <c r="S908" s="18">
        <f t="shared" si="106"/>
        <v>-1.3054977898718789E-7</v>
      </c>
      <c r="T908" s="18">
        <f t="shared" si="107"/>
        <v>6.1310856835916638E-8</v>
      </c>
      <c r="U908" s="18">
        <f t="shared" si="108"/>
        <v>6.1310856835916638E-8</v>
      </c>
    </row>
    <row r="909" spans="15:21" x14ac:dyDescent="0.25">
      <c r="O909" s="15">
        <v>889</v>
      </c>
      <c r="P909" s="15">
        <f t="shared" si="109"/>
        <v>5.5531406201388626E-2</v>
      </c>
      <c r="Q909" s="15">
        <f t="shared" si="110"/>
        <v>5.5531406201388633E-2</v>
      </c>
      <c r="R909" s="15">
        <f t="shared" si="105"/>
        <v>5.5531406201388633E-2</v>
      </c>
      <c r="S909" s="18">
        <f t="shared" si="106"/>
        <v>-1.3054977898718789E-7</v>
      </c>
      <c r="T909" s="18">
        <f t="shared" si="107"/>
        <v>6.1310856835916638E-8</v>
      </c>
      <c r="U909" s="18">
        <f t="shared" si="108"/>
        <v>6.1310856835916638E-8</v>
      </c>
    </row>
    <row r="910" spans="15:21" x14ac:dyDescent="0.25">
      <c r="O910" s="15">
        <v>890</v>
      </c>
      <c r="P910" s="15">
        <f t="shared" si="109"/>
        <v>5.5531406201388626E-2</v>
      </c>
      <c r="Q910" s="15">
        <f t="shared" si="110"/>
        <v>5.5531406201388633E-2</v>
      </c>
      <c r="R910" s="15">
        <f t="shared" si="105"/>
        <v>5.5531406201388633E-2</v>
      </c>
      <c r="S910" s="18">
        <f t="shared" si="106"/>
        <v>-1.3054977898718789E-7</v>
      </c>
      <c r="T910" s="18">
        <f t="shared" si="107"/>
        <v>6.1310856835916638E-8</v>
      </c>
      <c r="U910" s="18">
        <f t="shared" si="108"/>
        <v>6.1310856835916638E-8</v>
      </c>
    </row>
    <row r="911" spans="15:21" x14ac:dyDescent="0.25">
      <c r="O911" s="15">
        <v>891</v>
      </c>
      <c r="P911" s="15">
        <f t="shared" si="109"/>
        <v>5.5531406201388626E-2</v>
      </c>
      <c r="Q911" s="15">
        <f t="shared" si="110"/>
        <v>5.5531406201388633E-2</v>
      </c>
      <c r="R911" s="15">
        <f t="shared" si="105"/>
        <v>5.5531406201388633E-2</v>
      </c>
      <c r="S911" s="18">
        <f t="shared" si="106"/>
        <v>-1.3054977898718789E-7</v>
      </c>
      <c r="T911" s="18">
        <f t="shared" si="107"/>
        <v>6.1310856835916638E-8</v>
      </c>
      <c r="U911" s="18">
        <f t="shared" si="108"/>
        <v>6.1310856835916638E-8</v>
      </c>
    </row>
    <row r="912" spans="15:21" x14ac:dyDescent="0.25">
      <c r="O912" s="15">
        <v>892</v>
      </c>
      <c r="P912" s="15">
        <f t="shared" si="109"/>
        <v>5.5531406201388626E-2</v>
      </c>
      <c r="Q912" s="15">
        <f t="shared" si="110"/>
        <v>5.5531406201388633E-2</v>
      </c>
      <c r="R912" s="15">
        <f t="shared" si="105"/>
        <v>5.5531406201388633E-2</v>
      </c>
      <c r="S912" s="18">
        <f t="shared" si="106"/>
        <v>-1.3054977898718789E-7</v>
      </c>
      <c r="T912" s="18">
        <f t="shared" si="107"/>
        <v>6.1310856835916638E-8</v>
      </c>
      <c r="U912" s="18">
        <f t="shared" si="108"/>
        <v>6.1310856835916638E-8</v>
      </c>
    </row>
    <row r="913" spans="15:21" x14ac:dyDescent="0.25">
      <c r="O913" s="15">
        <v>893</v>
      </c>
      <c r="P913" s="15">
        <f t="shared" si="109"/>
        <v>5.5531406201388626E-2</v>
      </c>
      <c r="Q913" s="15">
        <f t="shared" si="110"/>
        <v>5.5531406201388633E-2</v>
      </c>
      <c r="R913" s="15">
        <f t="shared" si="105"/>
        <v>5.5531406201388633E-2</v>
      </c>
      <c r="S913" s="18">
        <f t="shared" si="106"/>
        <v>-1.3054977898718789E-7</v>
      </c>
      <c r="T913" s="18">
        <f t="shared" si="107"/>
        <v>6.1310856835916638E-8</v>
      </c>
      <c r="U913" s="18">
        <f t="shared" si="108"/>
        <v>6.1310856835916638E-8</v>
      </c>
    </row>
    <row r="914" spans="15:21" x14ac:dyDescent="0.25">
      <c r="O914" s="15">
        <v>894</v>
      </c>
      <c r="P914" s="15">
        <f t="shared" si="109"/>
        <v>5.5531406201388626E-2</v>
      </c>
      <c r="Q914" s="15">
        <f t="shared" si="110"/>
        <v>5.5531406201388633E-2</v>
      </c>
      <c r="R914" s="15">
        <f t="shared" si="105"/>
        <v>5.5531406201388633E-2</v>
      </c>
      <c r="S914" s="18">
        <f t="shared" si="106"/>
        <v>-1.3054977898718789E-7</v>
      </c>
      <c r="T914" s="18">
        <f t="shared" si="107"/>
        <v>6.1310856835916638E-8</v>
      </c>
      <c r="U914" s="18">
        <f t="shared" si="108"/>
        <v>6.1310856835916638E-8</v>
      </c>
    </row>
    <row r="915" spans="15:21" x14ac:dyDescent="0.25">
      <c r="O915" s="15">
        <v>895</v>
      </c>
      <c r="P915" s="15">
        <f t="shared" si="109"/>
        <v>5.5531406201388626E-2</v>
      </c>
      <c r="Q915" s="15">
        <f t="shared" si="110"/>
        <v>5.5531406201388633E-2</v>
      </c>
      <c r="R915" s="15">
        <f t="shared" si="105"/>
        <v>5.5531406201388633E-2</v>
      </c>
      <c r="S915" s="18">
        <f t="shared" si="106"/>
        <v>-1.3054977898718789E-7</v>
      </c>
      <c r="T915" s="18">
        <f t="shared" si="107"/>
        <v>6.1310856835916638E-8</v>
      </c>
      <c r="U915" s="18">
        <f t="shared" si="108"/>
        <v>6.1310856835916638E-8</v>
      </c>
    </row>
    <row r="916" spans="15:21" x14ac:dyDescent="0.25">
      <c r="O916" s="15">
        <v>896</v>
      </c>
      <c r="P916" s="15">
        <f t="shared" si="109"/>
        <v>5.5531406201388626E-2</v>
      </c>
      <c r="Q916" s="15">
        <f t="shared" si="110"/>
        <v>5.5531406201388633E-2</v>
      </c>
      <c r="R916" s="15">
        <f t="shared" si="105"/>
        <v>5.5531406201388633E-2</v>
      </c>
      <c r="S916" s="18">
        <f t="shared" si="106"/>
        <v>-1.3054977898718789E-7</v>
      </c>
      <c r="T916" s="18">
        <f t="shared" si="107"/>
        <v>6.1310856835916638E-8</v>
      </c>
      <c r="U916" s="18">
        <f t="shared" si="108"/>
        <v>6.1310856835916638E-8</v>
      </c>
    </row>
    <row r="917" spans="15:21" x14ac:dyDescent="0.25">
      <c r="O917" s="15">
        <v>897</v>
      </c>
      <c r="P917" s="15">
        <f t="shared" si="109"/>
        <v>5.5531406201388626E-2</v>
      </c>
      <c r="Q917" s="15">
        <f t="shared" si="110"/>
        <v>5.5531406201388633E-2</v>
      </c>
      <c r="R917" s="15">
        <f t="shared" si="105"/>
        <v>5.5531406201388633E-2</v>
      </c>
      <c r="S917" s="18">
        <f t="shared" si="106"/>
        <v>-1.3054977898718789E-7</v>
      </c>
      <c r="T917" s="18">
        <f t="shared" si="107"/>
        <v>6.1310856835916638E-8</v>
      </c>
      <c r="U917" s="18">
        <f t="shared" si="108"/>
        <v>6.1310856835916638E-8</v>
      </c>
    </row>
    <row r="918" spans="15:21" x14ac:dyDescent="0.25">
      <c r="O918" s="15">
        <v>898</v>
      </c>
      <c r="P918" s="15">
        <f t="shared" si="109"/>
        <v>5.5531406201388626E-2</v>
      </c>
      <c r="Q918" s="15">
        <f t="shared" si="110"/>
        <v>5.5531406201388633E-2</v>
      </c>
      <c r="R918" s="15">
        <f t="shared" si="105"/>
        <v>5.5531406201388633E-2</v>
      </c>
      <c r="S918" s="18">
        <f t="shared" si="106"/>
        <v>-1.3054977898718789E-7</v>
      </c>
      <c r="T918" s="18">
        <f t="shared" si="107"/>
        <v>6.1310856835916638E-8</v>
      </c>
      <c r="U918" s="18">
        <f t="shared" si="108"/>
        <v>6.1310856835916638E-8</v>
      </c>
    </row>
    <row r="919" spans="15:21" x14ac:dyDescent="0.25">
      <c r="O919" s="15">
        <v>899</v>
      </c>
      <c r="P919" s="15">
        <f t="shared" si="109"/>
        <v>5.5531406201388626E-2</v>
      </c>
      <c r="Q919" s="15">
        <f t="shared" si="110"/>
        <v>5.5531406201388633E-2</v>
      </c>
      <c r="R919" s="15">
        <f t="shared" si="105"/>
        <v>5.5531406201388633E-2</v>
      </c>
      <c r="S919" s="18">
        <f t="shared" si="106"/>
        <v>-1.3054977898718789E-7</v>
      </c>
      <c r="T919" s="18">
        <f t="shared" si="107"/>
        <v>6.1310856835916638E-8</v>
      </c>
      <c r="U919" s="18">
        <f t="shared" si="108"/>
        <v>6.1310856835916638E-8</v>
      </c>
    </row>
    <row r="920" spans="15:21" x14ac:dyDescent="0.25">
      <c r="O920" s="15">
        <v>900</v>
      </c>
      <c r="P920" s="15">
        <f t="shared" si="109"/>
        <v>5.5531406201388626E-2</v>
      </c>
      <c r="Q920" s="15">
        <f t="shared" si="110"/>
        <v>5.5531406201388633E-2</v>
      </c>
      <c r="R920" s="15">
        <f t="shared" si="105"/>
        <v>5.5531406201388633E-2</v>
      </c>
      <c r="S920" s="18">
        <f t="shared" si="106"/>
        <v>-1.3054977898718789E-7</v>
      </c>
      <c r="T920" s="18">
        <f t="shared" si="107"/>
        <v>6.1310856835916638E-8</v>
      </c>
      <c r="U920" s="18">
        <f t="shared" si="108"/>
        <v>6.1310856835916638E-8</v>
      </c>
    </row>
    <row r="921" spans="15:21" x14ac:dyDescent="0.25">
      <c r="P921" s="15" t="s">
        <v>8</v>
      </c>
    </row>
    <row r="922" spans="15:21" x14ac:dyDescent="0.25">
      <c r="P922" s="15" t="s">
        <v>1</v>
      </c>
      <c r="Q922" s="15" t="s">
        <v>2</v>
      </c>
      <c r="R922" s="15" t="s">
        <v>3</v>
      </c>
      <c r="S922" s="15" t="s">
        <v>4</v>
      </c>
      <c r="T922" s="15" t="s">
        <v>5</v>
      </c>
      <c r="U922" s="15" t="s">
        <v>6</v>
      </c>
    </row>
    <row r="923" spans="15:21" x14ac:dyDescent="0.25">
      <c r="O923" s="15">
        <v>901</v>
      </c>
      <c r="P923" s="15">
        <v>1E-10</v>
      </c>
      <c r="Q923" s="15">
        <v>10</v>
      </c>
      <c r="R923" s="15">
        <f t="shared" ref="R923:R986" si="111">(P923+Q923)/2</f>
        <v>5.00000000005</v>
      </c>
      <c r="S923" s="18">
        <f t="shared" ref="S923:S986" si="112">$E$4-$E$10-$E$11*(1+P923)^(-$E$5/$L$9)-$E$13*(1+P923)^(-$H$13/$L$9)-$E$14*(1+P923)^(-$H$14/$L$9) +$E$24*((1-(1+P923)^(-$E$5/$L$9)))/(1-(1+P923)^(1/$L$9))+$E$17*((1-(1+P923)^(-$J$20/$M$4)))/(1-(1+P923)^(1/$M$4))+$E$18*((1-(1+P923)^(-$J$21/$M$5)))/(1-(1+P923)^(1/$M$5))+$E$19*((1-(1+P923)^(-$J$22/$M$6)))/(1-(1+P923)^(1/$M$6))+$E$20*((1-(1+P923)^(-$J$23/$M$7)))/(1-(1+P923)^(1/$M$7))+$E$21*((1-(1+P923)^(-$J$24/$M$8)))/(1-(1+P923)^(1/$M$8))</f>
        <v>-4096543.402922513</v>
      </c>
      <c r="T923" s="18">
        <f t="shared" ref="T923:T986" si="113">$E$4-$E$10-$E$11*(1+Q923)^(-$E$5/$L$9)-$E$13*(1+Q923)^(-$H$13/$L$9)-$E$14*(1+Q923)^(-$H$14/$L$9) +$E$24*((1-(1+Q923)^(-$E$5/$L$9)))/(1-(1+Q923)^(1/$L$9))+$E$17*((1-(1+Q923)^(-$J$20/$M$4)))/(1-(1+Q923)^(1/$M$4))+$E$18*((1-(1+Q923)^(-$J$21/$M$5)))/(1-(1+Q923)^(1/$M$5))+$E$19*((1-(1+Q923)^(-$J$22/$M$6)))/(1-(1+Q923)^(1/$M$6))+$E$20*((1-(1+Q923)^(-$J$23/$M$7)))/(1-(1+Q923)^(1/$M$7))+$E$21*((1-(1+Q923)^(-$J$24/$M$8)))/(1-(1+Q923)^(1/$M$8))</f>
        <v>3894207.2828773954</v>
      </c>
      <c r="U923" s="18">
        <f t="shared" ref="U923:U986" si="114">$E$4-$E$10-$E$11*(1+R923)^(-$E$5/$L$9)-$E$13*(1+R923)^(-$H$13/$L$9)-$E$14*(1+R923)^(-$H$14/$L$9) +$E$24*((1-(1+R923)^(-$E$5/$L$9)))/(1-(1+R923)^(1/$L$9))+$E$17*((1-(1+R923)^(-$J$20/$M$4)))/(1-(1+R923)^(1/$M$4))+$E$18*((1-(1+R923)^(-$J$21/$M$5)))/(1-(1+R923)^(1/$M$5))+$E$19*((1-(1+R923)^(-$J$22/$M$6)))/(1-(1+R923)^(1/$M$6))+$E$20*((1-(1+R923)^(-$J$23/$M$7)))/(1-(1+R923)^(1/$M$7))+$E$21*((1-(1+R923)^(-$J$24/$M$8)))/(1-(1+R923)^(1/$M$8))</f>
        <v>3856205.8539974457</v>
      </c>
    </row>
    <row r="924" spans="15:21" x14ac:dyDescent="0.25">
      <c r="O924" s="15">
        <v>902</v>
      </c>
      <c r="P924" s="15">
        <f t="shared" ref="P924:P987" si="115">IF(S923*U923&gt;=0,R923,P923)</f>
        <v>1E-10</v>
      </c>
      <c r="Q924" s="15">
        <f t="shared" ref="Q924:Q987" si="116">IF(T923*U923&gt;=0,R923,Q923)</f>
        <v>5.00000000005</v>
      </c>
      <c r="R924" s="15">
        <f t="shared" si="111"/>
        <v>2.500000000075</v>
      </c>
      <c r="S924" s="18">
        <f t="shared" si="112"/>
        <v>-4096543.402922513</v>
      </c>
      <c r="T924" s="18">
        <f t="shared" si="113"/>
        <v>3856205.8539974457</v>
      </c>
      <c r="U924" s="18">
        <f t="shared" si="114"/>
        <v>3791473.6705574365</v>
      </c>
    </row>
    <row r="925" spans="15:21" x14ac:dyDescent="0.25">
      <c r="O925" s="15">
        <v>903</v>
      </c>
      <c r="P925" s="15">
        <f t="shared" si="115"/>
        <v>1E-10</v>
      </c>
      <c r="Q925" s="15">
        <f t="shared" si="116"/>
        <v>2.500000000075</v>
      </c>
      <c r="R925" s="15">
        <f t="shared" si="111"/>
        <v>1.2500000000875</v>
      </c>
      <c r="S925" s="18">
        <f t="shared" si="112"/>
        <v>-4096543.402922513</v>
      </c>
      <c r="T925" s="18">
        <f t="shared" si="113"/>
        <v>3791473.6705574365</v>
      </c>
      <c r="U925" s="18">
        <f t="shared" si="114"/>
        <v>3674185.2838576422</v>
      </c>
    </row>
    <row r="926" spans="15:21" x14ac:dyDescent="0.25">
      <c r="O926" s="15">
        <v>904</v>
      </c>
      <c r="P926" s="15">
        <f t="shared" si="115"/>
        <v>1E-10</v>
      </c>
      <c r="Q926" s="15">
        <f t="shared" si="116"/>
        <v>1.2500000000875</v>
      </c>
      <c r="R926" s="15">
        <f t="shared" si="111"/>
        <v>0.62500000009375001</v>
      </c>
      <c r="S926" s="18">
        <f t="shared" si="112"/>
        <v>-4096543.402922513</v>
      </c>
      <c r="T926" s="18">
        <f t="shared" si="113"/>
        <v>3674185.2838576422</v>
      </c>
      <c r="U926" s="18">
        <f t="shared" si="114"/>
        <v>3451249.3171429066</v>
      </c>
    </row>
    <row r="927" spans="15:21" x14ac:dyDescent="0.25">
      <c r="O927" s="15">
        <v>905</v>
      </c>
      <c r="P927" s="15">
        <f t="shared" si="115"/>
        <v>1E-10</v>
      </c>
      <c r="Q927" s="15">
        <f t="shared" si="116"/>
        <v>0.62500000009375001</v>
      </c>
      <c r="R927" s="15">
        <f t="shared" si="111"/>
        <v>0.31250000009687501</v>
      </c>
      <c r="S927" s="18">
        <f t="shared" si="112"/>
        <v>-4096543.402922513</v>
      </c>
      <c r="T927" s="18">
        <f t="shared" si="113"/>
        <v>3451249.3171429066</v>
      </c>
      <c r="U927" s="18">
        <f t="shared" si="114"/>
        <v>3015194.1773318858</v>
      </c>
    </row>
    <row r="928" spans="15:21" x14ac:dyDescent="0.25">
      <c r="O928" s="15">
        <v>906</v>
      </c>
      <c r="P928" s="15">
        <f t="shared" si="115"/>
        <v>1E-10</v>
      </c>
      <c r="Q928" s="15">
        <f t="shared" si="116"/>
        <v>0.31250000009687501</v>
      </c>
      <c r="R928" s="15">
        <f t="shared" si="111"/>
        <v>0.15625000009843751</v>
      </c>
      <c r="S928" s="18">
        <f t="shared" si="112"/>
        <v>-4096543.402922513</v>
      </c>
      <c r="T928" s="18">
        <f t="shared" si="113"/>
        <v>3015194.1773318858</v>
      </c>
      <c r="U928" s="18">
        <f t="shared" si="114"/>
        <v>2172625.3949700431</v>
      </c>
    </row>
    <row r="929" spans="15:21" x14ac:dyDescent="0.25">
      <c r="O929" s="15">
        <v>907</v>
      </c>
      <c r="P929" s="15">
        <f t="shared" si="115"/>
        <v>1E-10</v>
      </c>
      <c r="Q929" s="15">
        <f t="shared" si="116"/>
        <v>0.15625000009843751</v>
      </c>
      <c r="R929" s="15">
        <f t="shared" si="111"/>
        <v>7.8125000099218758E-2</v>
      </c>
      <c r="S929" s="18">
        <f t="shared" si="112"/>
        <v>-4096543.402922513</v>
      </c>
      <c r="T929" s="18">
        <f t="shared" si="113"/>
        <v>2172625.3949700431</v>
      </c>
      <c r="U929" s="18">
        <f t="shared" si="114"/>
        <v>795277.15576752613</v>
      </c>
    </row>
    <row r="930" spans="15:21" x14ac:dyDescent="0.25">
      <c r="O930" s="15">
        <v>908</v>
      </c>
      <c r="P930" s="15">
        <f t="shared" si="115"/>
        <v>1E-10</v>
      </c>
      <c r="Q930" s="15">
        <f t="shared" si="116"/>
        <v>7.8125000099218758E-2</v>
      </c>
      <c r="R930" s="15">
        <f t="shared" si="111"/>
        <v>3.9062500099609376E-2</v>
      </c>
      <c r="S930" s="18">
        <f t="shared" si="112"/>
        <v>-4096543.402922513</v>
      </c>
      <c r="T930" s="18">
        <f t="shared" si="113"/>
        <v>795277.15576752613</v>
      </c>
      <c r="U930" s="18">
        <f t="shared" si="114"/>
        <v>-806130.79722869582</v>
      </c>
    </row>
    <row r="931" spans="15:21" x14ac:dyDescent="0.25">
      <c r="O931" s="15">
        <v>909</v>
      </c>
      <c r="P931" s="15">
        <f t="shared" si="115"/>
        <v>3.9062500099609376E-2</v>
      </c>
      <c r="Q931" s="15">
        <f t="shared" si="116"/>
        <v>7.8125000099218758E-2</v>
      </c>
      <c r="R931" s="15">
        <f t="shared" si="111"/>
        <v>5.8593750099414067E-2</v>
      </c>
      <c r="S931" s="18">
        <f t="shared" si="112"/>
        <v>-806130.79722869582</v>
      </c>
      <c r="T931" s="18">
        <f t="shared" si="113"/>
        <v>795277.15576752613</v>
      </c>
      <c r="U931" s="18">
        <f t="shared" si="114"/>
        <v>125998.37751938807</v>
      </c>
    </row>
    <row r="932" spans="15:21" x14ac:dyDescent="0.25">
      <c r="O932" s="15">
        <v>910</v>
      </c>
      <c r="P932" s="15">
        <f t="shared" si="115"/>
        <v>3.9062500099609376E-2</v>
      </c>
      <c r="Q932" s="15">
        <f t="shared" si="116"/>
        <v>5.8593750099414067E-2</v>
      </c>
      <c r="R932" s="15">
        <f t="shared" si="111"/>
        <v>4.8828125099511718E-2</v>
      </c>
      <c r="S932" s="18">
        <f t="shared" si="112"/>
        <v>-806130.79722869582</v>
      </c>
      <c r="T932" s="18">
        <f t="shared" si="113"/>
        <v>125998.37751938807</v>
      </c>
      <c r="U932" s="18">
        <f t="shared" si="114"/>
        <v>-300117.85427544912</v>
      </c>
    </row>
    <row r="933" spans="15:21" x14ac:dyDescent="0.25">
      <c r="O933" s="15">
        <v>911</v>
      </c>
      <c r="P933" s="15">
        <f t="shared" si="115"/>
        <v>4.8828125099511718E-2</v>
      </c>
      <c r="Q933" s="15">
        <f t="shared" si="116"/>
        <v>5.8593750099414067E-2</v>
      </c>
      <c r="R933" s="15">
        <f t="shared" si="111"/>
        <v>5.3710937599462896E-2</v>
      </c>
      <c r="S933" s="18">
        <f t="shared" si="112"/>
        <v>-300117.85427544912</v>
      </c>
      <c r="T933" s="18">
        <f t="shared" si="113"/>
        <v>125998.37751938807</v>
      </c>
      <c r="U933" s="18">
        <f t="shared" si="114"/>
        <v>-78089.717054340348</v>
      </c>
    </row>
    <row r="934" spans="15:21" x14ac:dyDescent="0.25">
      <c r="O934" s="15">
        <v>912</v>
      </c>
      <c r="P934" s="15">
        <f t="shared" si="115"/>
        <v>5.3710937599462896E-2</v>
      </c>
      <c r="Q934" s="15">
        <f t="shared" si="116"/>
        <v>5.8593750099414067E-2</v>
      </c>
      <c r="R934" s="15">
        <f t="shared" si="111"/>
        <v>5.6152343849438485E-2</v>
      </c>
      <c r="S934" s="18">
        <f t="shared" si="112"/>
        <v>-78089.717054340348</v>
      </c>
      <c r="T934" s="18">
        <f t="shared" si="113"/>
        <v>125998.37751938807</v>
      </c>
      <c r="U934" s="18">
        <f t="shared" si="114"/>
        <v>26082.431833555249</v>
      </c>
    </row>
    <row r="935" spans="15:21" x14ac:dyDescent="0.25">
      <c r="O935" s="15">
        <v>913</v>
      </c>
      <c r="P935" s="15">
        <f t="shared" si="115"/>
        <v>5.3710937599462896E-2</v>
      </c>
      <c r="Q935" s="15">
        <f t="shared" si="116"/>
        <v>5.6152343849438485E-2</v>
      </c>
      <c r="R935" s="15">
        <f t="shared" si="111"/>
        <v>5.4931640724450691E-2</v>
      </c>
      <c r="S935" s="18">
        <f t="shared" si="112"/>
        <v>-78089.717054340348</v>
      </c>
      <c r="T935" s="18">
        <f t="shared" si="113"/>
        <v>26082.431833555249</v>
      </c>
      <c r="U935" s="18">
        <f t="shared" si="114"/>
        <v>-25457.838380042806</v>
      </c>
    </row>
    <row r="936" spans="15:21" x14ac:dyDescent="0.25">
      <c r="O936" s="15">
        <v>914</v>
      </c>
      <c r="P936" s="15">
        <f t="shared" si="115"/>
        <v>5.4931640724450691E-2</v>
      </c>
      <c r="Q936" s="15">
        <f t="shared" si="116"/>
        <v>5.6152343849438485E-2</v>
      </c>
      <c r="R936" s="15">
        <f t="shared" si="111"/>
        <v>5.5541992286944591E-2</v>
      </c>
      <c r="S936" s="18">
        <f t="shared" si="112"/>
        <v>-25457.838380042806</v>
      </c>
      <c r="T936" s="18">
        <f t="shared" si="113"/>
        <v>26082.431833555249</v>
      </c>
      <c r="U936" s="18">
        <f t="shared" si="114"/>
        <v>446.99396819314325</v>
      </c>
    </row>
    <row r="937" spans="15:21" x14ac:dyDescent="0.25">
      <c r="O937" s="15">
        <v>915</v>
      </c>
      <c r="P937" s="15">
        <f t="shared" si="115"/>
        <v>5.4931640724450691E-2</v>
      </c>
      <c r="Q937" s="15">
        <f t="shared" si="116"/>
        <v>5.5541992286944591E-2</v>
      </c>
      <c r="R937" s="15">
        <f t="shared" si="111"/>
        <v>5.5236816505697645E-2</v>
      </c>
      <c r="S937" s="18">
        <f t="shared" si="112"/>
        <v>-25457.838380042806</v>
      </c>
      <c r="T937" s="18">
        <f t="shared" si="113"/>
        <v>446.99396819314325</v>
      </c>
      <c r="U937" s="18">
        <f t="shared" si="114"/>
        <v>-12471.530669613465</v>
      </c>
    </row>
    <row r="938" spans="15:21" x14ac:dyDescent="0.25">
      <c r="O938" s="15">
        <v>916</v>
      </c>
      <c r="P938" s="15">
        <f t="shared" si="115"/>
        <v>5.5236816505697645E-2</v>
      </c>
      <c r="Q938" s="15">
        <f t="shared" si="116"/>
        <v>5.5541992286944591E-2</v>
      </c>
      <c r="R938" s="15">
        <f t="shared" si="111"/>
        <v>5.5389404396321118E-2</v>
      </c>
      <c r="S938" s="18">
        <f t="shared" si="112"/>
        <v>-12471.530669613465</v>
      </c>
      <c r="T938" s="18">
        <f t="shared" si="113"/>
        <v>446.99396819314325</v>
      </c>
      <c r="U938" s="18">
        <f t="shared" si="114"/>
        <v>-6003.8227437936475</v>
      </c>
    </row>
    <row r="939" spans="15:21" x14ac:dyDescent="0.25">
      <c r="O939" s="15">
        <v>917</v>
      </c>
      <c r="P939" s="15">
        <f t="shared" si="115"/>
        <v>5.5389404396321118E-2</v>
      </c>
      <c r="Q939" s="15">
        <f t="shared" si="116"/>
        <v>5.5541992286944591E-2</v>
      </c>
      <c r="R939" s="15">
        <f t="shared" si="111"/>
        <v>5.5465698341632855E-2</v>
      </c>
      <c r="S939" s="18">
        <f t="shared" si="112"/>
        <v>-6003.8227437936475</v>
      </c>
      <c r="T939" s="18">
        <f t="shared" si="113"/>
        <v>446.99396819314325</v>
      </c>
      <c r="U939" s="18">
        <f t="shared" si="114"/>
        <v>-2776.3063849629848</v>
      </c>
    </row>
    <row r="940" spans="15:21" x14ac:dyDescent="0.25">
      <c r="O940" s="15">
        <v>918</v>
      </c>
      <c r="P940" s="15">
        <f t="shared" si="115"/>
        <v>5.5465698341632855E-2</v>
      </c>
      <c r="Q940" s="15">
        <f t="shared" si="116"/>
        <v>5.5541992286944591E-2</v>
      </c>
      <c r="R940" s="15">
        <f t="shared" si="111"/>
        <v>5.5503845314288723E-2</v>
      </c>
      <c r="S940" s="18">
        <f t="shared" si="112"/>
        <v>-2776.3063849629848</v>
      </c>
      <c r="T940" s="18">
        <f t="shared" si="113"/>
        <v>446.99396819314325</v>
      </c>
      <c r="U940" s="18">
        <f t="shared" si="114"/>
        <v>-1164.1296318378991</v>
      </c>
    </row>
    <row r="941" spans="15:21" x14ac:dyDescent="0.25">
      <c r="O941" s="15">
        <v>919</v>
      </c>
      <c r="P941" s="15">
        <f t="shared" si="115"/>
        <v>5.5503845314288723E-2</v>
      </c>
      <c r="Q941" s="15">
        <f t="shared" si="116"/>
        <v>5.5541992286944591E-2</v>
      </c>
      <c r="R941" s="15">
        <f t="shared" si="111"/>
        <v>5.5522918800616661E-2</v>
      </c>
      <c r="S941" s="18">
        <f t="shared" si="112"/>
        <v>-1164.1296318378991</v>
      </c>
      <c r="T941" s="18">
        <f t="shared" si="113"/>
        <v>446.99396819314325</v>
      </c>
      <c r="U941" s="18">
        <f t="shared" si="114"/>
        <v>-358.43624065257518</v>
      </c>
    </row>
    <row r="942" spans="15:21" x14ac:dyDescent="0.25">
      <c r="O942" s="15">
        <v>920</v>
      </c>
      <c r="P942" s="15">
        <f t="shared" si="115"/>
        <v>5.5522918800616661E-2</v>
      </c>
      <c r="Q942" s="15">
        <f t="shared" si="116"/>
        <v>5.5541992286944591E-2</v>
      </c>
      <c r="R942" s="15">
        <f t="shared" si="111"/>
        <v>5.5532455543780626E-2</v>
      </c>
      <c r="S942" s="18">
        <f t="shared" si="112"/>
        <v>-358.43624065257518</v>
      </c>
      <c r="T942" s="18">
        <f t="shared" si="113"/>
        <v>446.99396819314325</v>
      </c>
      <c r="U942" s="18">
        <f t="shared" si="114"/>
        <v>44.311754848723922</v>
      </c>
    </row>
    <row r="943" spans="15:21" x14ac:dyDescent="0.25">
      <c r="O943" s="15">
        <v>921</v>
      </c>
      <c r="P943" s="15">
        <f t="shared" si="115"/>
        <v>5.5522918800616661E-2</v>
      </c>
      <c r="Q943" s="15">
        <f t="shared" si="116"/>
        <v>5.5532455543780626E-2</v>
      </c>
      <c r="R943" s="15">
        <f t="shared" si="111"/>
        <v>5.5527687172198643E-2</v>
      </c>
      <c r="S943" s="18">
        <f t="shared" si="112"/>
        <v>-358.43624065257518</v>
      </c>
      <c r="T943" s="18">
        <f t="shared" si="113"/>
        <v>44.311754848723922</v>
      </c>
      <c r="U943" s="18">
        <f t="shared" si="114"/>
        <v>-157.05401933347866</v>
      </c>
    </row>
    <row r="944" spans="15:21" x14ac:dyDescent="0.25">
      <c r="O944" s="15">
        <v>922</v>
      </c>
      <c r="P944" s="15">
        <f t="shared" si="115"/>
        <v>5.5527687172198643E-2</v>
      </c>
      <c r="Q944" s="15">
        <f t="shared" si="116"/>
        <v>5.5532455543780626E-2</v>
      </c>
      <c r="R944" s="15">
        <f t="shared" si="111"/>
        <v>5.5530071357989638E-2</v>
      </c>
      <c r="S944" s="18">
        <f t="shared" si="112"/>
        <v>-157.05401933347866</v>
      </c>
      <c r="T944" s="18">
        <f t="shared" si="113"/>
        <v>44.311754848723922</v>
      </c>
      <c r="U944" s="18">
        <f t="shared" si="114"/>
        <v>-56.369076355117159</v>
      </c>
    </row>
    <row r="945" spans="15:21" x14ac:dyDescent="0.25">
      <c r="O945" s="15">
        <v>923</v>
      </c>
      <c r="P945" s="15">
        <f t="shared" si="115"/>
        <v>5.5530071357989638E-2</v>
      </c>
      <c r="Q945" s="15">
        <f t="shared" si="116"/>
        <v>5.5532455543780626E-2</v>
      </c>
      <c r="R945" s="15">
        <f t="shared" si="111"/>
        <v>5.5531263450885132E-2</v>
      </c>
      <c r="S945" s="18">
        <f t="shared" si="112"/>
        <v>-56.369076355117159</v>
      </c>
      <c r="T945" s="18">
        <f t="shared" si="113"/>
        <v>44.311754848723922</v>
      </c>
      <c r="U945" s="18">
        <f t="shared" si="114"/>
        <v>-6.0281466950696085</v>
      </c>
    </row>
    <row r="946" spans="15:21" x14ac:dyDescent="0.25">
      <c r="O946" s="15">
        <v>924</v>
      </c>
      <c r="P946" s="15">
        <f t="shared" si="115"/>
        <v>5.5531263450885132E-2</v>
      </c>
      <c r="Q946" s="15">
        <f t="shared" si="116"/>
        <v>5.5532455543780626E-2</v>
      </c>
      <c r="R946" s="15">
        <f t="shared" si="111"/>
        <v>5.5531859497332879E-2</v>
      </c>
      <c r="S946" s="18">
        <f t="shared" si="112"/>
        <v>-6.0281466950696085</v>
      </c>
      <c r="T946" s="18">
        <f t="shared" si="113"/>
        <v>44.311754848723922</v>
      </c>
      <c r="U946" s="18">
        <f t="shared" si="114"/>
        <v>19.14193263652578</v>
      </c>
    </row>
    <row r="947" spans="15:21" x14ac:dyDescent="0.25">
      <c r="O947" s="15">
        <v>925</v>
      </c>
      <c r="P947" s="15">
        <f t="shared" si="115"/>
        <v>5.5531263450885132E-2</v>
      </c>
      <c r="Q947" s="15">
        <f t="shared" si="116"/>
        <v>5.5531859497332879E-2</v>
      </c>
      <c r="R947" s="15">
        <f t="shared" si="111"/>
        <v>5.5531561474109009E-2</v>
      </c>
      <c r="S947" s="18">
        <f t="shared" si="112"/>
        <v>-6.0281466950696085</v>
      </c>
      <c r="T947" s="18">
        <f t="shared" si="113"/>
        <v>19.14193263652578</v>
      </c>
      <c r="U947" s="18">
        <f t="shared" si="114"/>
        <v>6.5569249377172127</v>
      </c>
    </row>
    <row r="948" spans="15:21" x14ac:dyDescent="0.25">
      <c r="O948" s="15">
        <v>926</v>
      </c>
      <c r="P948" s="15">
        <f t="shared" si="115"/>
        <v>5.5531263450885132E-2</v>
      </c>
      <c r="Q948" s="15">
        <f t="shared" si="116"/>
        <v>5.5531561474109009E-2</v>
      </c>
      <c r="R948" s="15">
        <f t="shared" si="111"/>
        <v>5.5531412462497071E-2</v>
      </c>
      <c r="S948" s="18">
        <f t="shared" si="112"/>
        <v>-6.0281466950696085</v>
      </c>
      <c r="T948" s="18">
        <f t="shared" si="113"/>
        <v>6.5569249377172127</v>
      </c>
      <c r="U948" s="18">
        <f t="shared" si="114"/>
        <v>0.26439706673954788</v>
      </c>
    </row>
    <row r="949" spans="15:21" x14ac:dyDescent="0.25">
      <c r="O949" s="15">
        <v>927</v>
      </c>
      <c r="P949" s="15">
        <f t="shared" si="115"/>
        <v>5.5531263450885132E-2</v>
      </c>
      <c r="Q949" s="15">
        <f t="shared" si="116"/>
        <v>5.5531412462497071E-2</v>
      </c>
      <c r="R949" s="15">
        <f t="shared" si="111"/>
        <v>5.5531337956691101E-2</v>
      </c>
      <c r="S949" s="18">
        <f t="shared" si="112"/>
        <v>-6.0281466950696085</v>
      </c>
      <c r="T949" s="18">
        <f t="shared" si="113"/>
        <v>0.26439706673954788</v>
      </c>
      <c r="U949" s="18">
        <f t="shared" si="114"/>
        <v>-2.881872878510876</v>
      </c>
    </row>
    <row r="950" spans="15:21" x14ac:dyDescent="0.25">
      <c r="O950" s="15">
        <v>928</v>
      </c>
      <c r="P950" s="15">
        <f t="shared" si="115"/>
        <v>5.5531337956691101E-2</v>
      </c>
      <c r="Q950" s="15">
        <f t="shared" si="116"/>
        <v>5.5531412462497071E-2</v>
      </c>
      <c r="R950" s="15">
        <f t="shared" si="111"/>
        <v>5.5531375209594086E-2</v>
      </c>
      <c r="S950" s="18">
        <f t="shared" si="112"/>
        <v>-2.881872878510876</v>
      </c>
      <c r="T950" s="18">
        <f t="shared" si="113"/>
        <v>0.26439706673954788</v>
      </c>
      <c r="U950" s="18">
        <f t="shared" si="114"/>
        <v>-1.3087372517161384</v>
      </c>
    </row>
    <row r="951" spans="15:21" x14ac:dyDescent="0.25">
      <c r="O951" s="15">
        <v>929</v>
      </c>
      <c r="P951" s="15">
        <f t="shared" si="115"/>
        <v>5.5531375209594086E-2</v>
      </c>
      <c r="Q951" s="15">
        <f t="shared" si="116"/>
        <v>5.5531412462497071E-2</v>
      </c>
      <c r="R951" s="15">
        <f t="shared" si="111"/>
        <v>5.5531393836045578E-2</v>
      </c>
      <c r="S951" s="18">
        <f t="shared" si="112"/>
        <v>-1.3087372517161384</v>
      </c>
      <c r="T951" s="18">
        <f t="shared" si="113"/>
        <v>0.26439706673954788</v>
      </c>
      <c r="U951" s="18">
        <f t="shared" si="114"/>
        <v>-0.52216988075042536</v>
      </c>
    </row>
    <row r="952" spans="15:21" x14ac:dyDescent="0.25">
      <c r="O952" s="15">
        <v>930</v>
      </c>
      <c r="P952" s="15">
        <f t="shared" si="115"/>
        <v>5.5531393836045578E-2</v>
      </c>
      <c r="Q952" s="15">
        <f t="shared" si="116"/>
        <v>5.5531412462497071E-2</v>
      </c>
      <c r="R952" s="15">
        <f t="shared" si="111"/>
        <v>5.5531403149271324E-2</v>
      </c>
      <c r="S952" s="18">
        <f t="shared" si="112"/>
        <v>-0.52216988075042536</v>
      </c>
      <c r="T952" s="18">
        <f t="shared" si="113"/>
        <v>0.26439706673954788</v>
      </c>
      <c r="U952" s="18">
        <f t="shared" si="114"/>
        <v>-0.12888637811010994</v>
      </c>
    </row>
    <row r="953" spans="15:21" x14ac:dyDescent="0.25">
      <c r="O953" s="15">
        <v>931</v>
      </c>
      <c r="P953" s="15">
        <f t="shared" si="115"/>
        <v>5.5531403149271324E-2</v>
      </c>
      <c r="Q953" s="15">
        <f t="shared" si="116"/>
        <v>5.5531412462497071E-2</v>
      </c>
      <c r="R953" s="15">
        <f t="shared" si="111"/>
        <v>5.5531407805884198E-2</v>
      </c>
      <c r="S953" s="18">
        <f t="shared" si="112"/>
        <v>-0.12888637811010994</v>
      </c>
      <c r="T953" s="18">
        <f t="shared" si="113"/>
        <v>0.26439706673954788</v>
      </c>
      <c r="U953" s="18">
        <f t="shared" si="114"/>
        <v>6.7755447696981719E-2</v>
      </c>
    </row>
    <row r="954" spans="15:21" x14ac:dyDescent="0.25">
      <c r="O954" s="15">
        <v>932</v>
      </c>
      <c r="P954" s="15">
        <f t="shared" si="115"/>
        <v>5.5531403149271324E-2</v>
      </c>
      <c r="Q954" s="15">
        <f t="shared" si="116"/>
        <v>5.5531407805884198E-2</v>
      </c>
      <c r="R954" s="15">
        <f t="shared" si="111"/>
        <v>5.5531405477577761E-2</v>
      </c>
      <c r="S954" s="18">
        <f t="shared" si="112"/>
        <v>-0.12888637811010994</v>
      </c>
      <c r="T954" s="18">
        <f t="shared" si="113"/>
        <v>6.7755447696981719E-2</v>
      </c>
      <c r="U954" s="18">
        <f t="shared" si="114"/>
        <v>-3.0565462876893434E-2</v>
      </c>
    </row>
    <row r="955" spans="15:21" x14ac:dyDescent="0.25">
      <c r="O955" s="15">
        <v>933</v>
      </c>
      <c r="P955" s="15">
        <f t="shared" si="115"/>
        <v>5.5531405477577761E-2</v>
      </c>
      <c r="Q955" s="15">
        <f t="shared" si="116"/>
        <v>5.5531407805884198E-2</v>
      </c>
      <c r="R955" s="15">
        <f t="shared" si="111"/>
        <v>5.5531406641730979E-2</v>
      </c>
      <c r="S955" s="18">
        <f t="shared" si="112"/>
        <v>-3.0565462876893434E-2</v>
      </c>
      <c r="T955" s="18">
        <f t="shared" si="113"/>
        <v>6.7755447696981719E-2</v>
      </c>
      <c r="U955" s="18">
        <f t="shared" si="114"/>
        <v>1.8594893689623859E-2</v>
      </c>
    </row>
    <row r="956" spans="15:21" x14ac:dyDescent="0.25">
      <c r="O956" s="15">
        <v>934</v>
      </c>
      <c r="P956" s="15">
        <f t="shared" si="115"/>
        <v>5.5531405477577761E-2</v>
      </c>
      <c r="Q956" s="15">
        <f t="shared" si="116"/>
        <v>5.5531406641730979E-2</v>
      </c>
      <c r="R956" s="15">
        <f t="shared" si="111"/>
        <v>5.553140605965437E-2</v>
      </c>
      <c r="S956" s="18">
        <f t="shared" si="112"/>
        <v>-3.0565462876893434E-2</v>
      </c>
      <c r="T956" s="18">
        <f t="shared" si="113"/>
        <v>1.8594893689623859E-2</v>
      </c>
      <c r="U956" s="18">
        <f t="shared" si="114"/>
        <v>-5.9851868049918266E-3</v>
      </c>
    </row>
    <row r="957" spans="15:21" x14ac:dyDescent="0.25">
      <c r="O957" s="15">
        <v>935</v>
      </c>
      <c r="P957" s="15">
        <f t="shared" si="115"/>
        <v>5.553140605965437E-2</v>
      </c>
      <c r="Q957" s="15">
        <f t="shared" si="116"/>
        <v>5.5531406641730979E-2</v>
      </c>
      <c r="R957" s="15">
        <f t="shared" si="111"/>
        <v>5.5531406350692675E-2</v>
      </c>
      <c r="S957" s="18">
        <f t="shared" si="112"/>
        <v>-5.9851868049918266E-3</v>
      </c>
      <c r="T957" s="18">
        <f t="shared" si="113"/>
        <v>1.8594893689623859E-2</v>
      </c>
      <c r="U957" s="18">
        <f t="shared" si="114"/>
        <v>6.3048541405805736E-3</v>
      </c>
    </row>
    <row r="958" spans="15:21" x14ac:dyDescent="0.25">
      <c r="O958" s="15">
        <v>936</v>
      </c>
      <c r="P958" s="15">
        <f t="shared" si="115"/>
        <v>5.553140605965437E-2</v>
      </c>
      <c r="Q958" s="15">
        <f t="shared" si="116"/>
        <v>5.5531406350692675E-2</v>
      </c>
      <c r="R958" s="15">
        <f t="shared" si="111"/>
        <v>5.5531406205173522E-2</v>
      </c>
      <c r="S958" s="18">
        <f t="shared" si="112"/>
        <v>-5.9851868049918266E-3</v>
      </c>
      <c r="T958" s="18">
        <f t="shared" si="113"/>
        <v>6.3048541405805736E-3</v>
      </c>
      <c r="U958" s="18">
        <f t="shared" si="114"/>
        <v>1.5973541303537786E-4</v>
      </c>
    </row>
    <row r="959" spans="15:21" x14ac:dyDescent="0.25">
      <c r="O959" s="15">
        <v>937</v>
      </c>
      <c r="P959" s="15">
        <f t="shared" si="115"/>
        <v>5.553140605965437E-2</v>
      </c>
      <c r="Q959" s="15">
        <f t="shared" si="116"/>
        <v>5.5531406205173522E-2</v>
      </c>
      <c r="R959" s="15">
        <f t="shared" si="111"/>
        <v>5.5531406132413946E-2</v>
      </c>
      <c r="S959" s="18">
        <f t="shared" si="112"/>
        <v>-5.9851868049918266E-3</v>
      </c>
      <c r="T959" s="18">
        <f t="shared" si="113"/>
        <v>1.5973541303537786E-4</v>
      </c>
      <c r="U959" s="18">
        <f t="shared" si="114"/>
        <v>-2.9128244168532547E-3</v>
      </c>
    </row>
    <row r="960" spans="15:21" x14ac:dyDescent="0.25">
      <c r="O960" s="15">
        <v>938</v>
      </c>
      <c r="P960" s="15">
        <f t="shared" si="115"/>
        <v>5.5531406132413946E-2</v>
      </c>
      <c r="Q960" s="15">
        <f t="shared" si="116"/>
        <v>5.5531406205173522E-2</v>
      </c>
      <c r="R960" s="15">
        <f t="shared" si="111"/>
        <v>5.5531406168793734E-2</v>
      </c>
      <c r="S960" s="18">
        <f t="shared" si="112"/>
        <v>-2.9128244168532547E-3</v>
      </c>
      <c r="T960" s="18">
        <f t="shared" si="113"/>
        <v>1.5973541303537786E-4</v>
      </c>
      <c r="U960" s="18">
        <f t="shared" si="114"/>
        <v>-1.3764448494839598E-3</v>
      </c>
    </row>
    <row r="961" spans="15:21" x14ac:dyDescent="0.25">
      <c r="O961" s="15">
        <v>939</v>
      </c>
      <c r="P961" s="15">
        <f t="shared" si="115"/>
        <v>5.5531406168793734E-2</v>
      </c>
      <c r="Q961" s="15">
        <f t="shared" si="116"/>
        <v>5.5531406205173522E-2</v>
      </c>
      <c r="R961" s="15">
        <f t="shared" si="111"/>
        <v>5.5531406186983628E-2</v>
      </c>
      <c r="S961" s="18">
        <f t="shared" si="112"/>
        <v>-1.3764448494839598E-3</v>
      </c>
      <c r="T961" s="18">
        <f t="shared" si="113"/>
        <v>1.5973541303537786E-4</v>
      </c>
      <c r="U961" s="18">
        <f t="shared" si="114"/>
        <v>-6.0825809396192199E-4</v>
      </c>
    </row>
    <row r="962" spans="15:21" x14ac:dyDescent="0.25">
      <c r="O962" s="15">
        <v>940</v>
      </c>
      <c r="P962" s="15">
        <f t="shared" si="115"/>
        <v>5.5531406186983628E-2</v>
      </c>
      <c r="Q962" s="15">
        <f t="shared" si="116"/>
        <v>5.5531406205173522E-2</v>
      </c>
      <c r="R962" s="15">
        <f t="shared" si="111"/>
        <v>5.5531406196078575E-2</v>
      </c>
      <c r="S962" s="18">
        <f t="shared" si="112"/>
        <v>-6.0825809396192199E-4</v>
      </c>
      <c r="T962" s="18">
        <f t="shared" si="113"/>
        <v>1.5973541303537786E-4</v>
      </c>
      <c r="U962" s="18">
        <f t="shared" si="114"/>
        <v>-2.2426110808737576E-4</v>
      </c>
    </row>
    <row r="963" spans="15:21" x14ac:dyDescent="0.25">
      <c r="O963" s="15">
        <v>941</v>
      </c>
      <c r="P963" s="15">
        <f t="shared" si="115"/>
        <v>5.5531406196078575E-2</v>
      </c>
      <c r="Q963" s="15">
        <f t="shared" si="116"/>
        <v>5.5531406205173522E-2</v>
      </c>
      <c r="R963" s="15">
        <f t="shared" si="111"/>
        <v>5.5531406200626049E-2</v>
      </c>
      <c r="S963" s="18">
        <f t="shared" si="112"/>
        <v>-2.2426110808737576E-4</v>
      </c>
      <c r="T963" s="18">
        <f t="shared" si="113"/>
        <v>1.5973541303537786E-4</v>
      </c>
      <c r="U963" s="18">
        <f t="shared" si="114"/>
        <v>-3.2261682008538628E-5</v>
      </c>
    </row>
    <row r="964" spans="15:21" x14ac:dyDescent="0.25">
      <c r="O964" s="15">
        <v>942</v>
      </c>
      <c r="P964" s="15">
        <f t="shared" si="115"/>
        <v>5.5531406200626049E-2</v>
      </c>
      <c r="Q964" s="15">
        <f t="shared" si="116"/>
        <v>5.5531406205173522E-2</v>
      </c>
      <c r="R964" s="15">
        <f t="shared" si="111"/>
        <v>5.5531406202899786E-2</v>
      </c>
      <c r="S964" s="18">
        <f t="shared" si="112"/>
        <v>-3.2261682008538628E-5</v>
      </c>
      <c r="T964" s="18">
        <f t="shared" si="113"/>
        <v>1.5973541303537786E-4</v>
      </c>
      <c r="U964" s="18">
        <f t="shared" si="114"/>
        <v>6.3735001731402008E-5</v>
      </c>
    </row>
    <row r="965" spans="15:21" x14ac:dyDescent="0.25">
      <c r="O965" s="15">
        <v>943</v>
      </c>
      <c r="P965" s="15">
        <f t="shared" si="115"/>
        <v>5.5531406200626049E-2</v>
      </c>
      <c r="Q965" s="15">
        <f t="shared" si="116"/>
        <v>5.5531406202899786E-2</v>
      </c>
      <c r="R965" s="15">
        <f t="shared" si="111"/>
        <v>5.5531406201762917E-2</v>
      </c>
      <c r="S965" s="18">
        <f t="shared" si="112"/>
        <v>-3.2261682008538628E-5</v>
      </c>
      <c r="T965" s="18">
        <f t="shared" si="113"/>
        <v>6.3735001731402008E-5</v>
      </c>
      <c r="U965" s="18">
        <f t="shared" si="114"/>
        <v>1.5737591638753656E-5</v>
      </c>
    </row>
    <row r="966" spans="15:21" x14ac:dyDescent="0.25">
      <c r="O966" s="15">
        <v>944</v>
      </c>
      <c r="P966" s="15">
        <f t="shared" si="115"/>
        <v>5.5531406200626049E-2</v>
      </c>
      <c r="Q966" s="15">
        <f t="shared" si="116"/>
        <v>5.5531406201762917E-2</v>
      </c>
      <c r="R966" s="15">
        <f t="shared" si="111"/>
        <v>5.5531406201194483E-2</v>
      </c>
      <c r="S966" s="18">
        <f t="shared" si="112"/>
        <v>-3.2261682008538628E-5</v>
      </c>
      <c r="T966" s="18">
        <f t="shared" si="113"/>
        <v>1.5737591638753656E-5</v>
      </c>
      <c r="U966" s="18">
        <f t="shared" si="114"/>
        <v>-8.2643750829447526E-6</v>
      </c>
    </row>
    <row r="967" spans="15:21" x14ac:dyDescent="0.25">
      <c r="O967" s="15">
        <v>945</v>
      </c>
      <c r="P967" s="15">
        <f t="shared" si="115"/>
        <v>5.5531406201194483E-2</v>
      </c>
      <c r="Q967" s="15">
        <f t="shared" si="116"/>
        <v>5.5531406201762917E-2</v>
      </c>
      <c r="R967" s="15">
        <f t="shared" si="111"/>
        <v>5.55314062014787E-2</v>
      </c>
      <c r="S967" s="18">
        <f t="shared" si="112"/>
        <v>-8.2643750829447526E-6</v>
      </c>
      <c r="T967" s="18">
        <f t="shared" si="113"/>
        <v>1.5737591638753656E-5</v>
      </c>
      <c r="U967" s="18">
        <f t="shared" si="114"/>
        <v>3.8341636354743969E-6</v>
      </c>
    </row>
    <row r="968" spans="15:21" x14ac:dyDescent="0.25">
      <c r="O968" s="15">
        <v>946</v>
      </c>
      <c r="P968" s="15">
        <f t="shared" si="115"/>
        <v>5.5531406201194483E-2</v>
      </c>
      <c r="Q968" s="15">
        <f t="shared" si="116"/>
        <v>5.55314062014787E-2</v>
      </c>
      <c r="R968" s="15">
        <f t="shared" si="111"/>
        <v>5.5531406201336592E-2</v>
      </c>
      <c r="S968" s="18">
        <f t="shared" si="112"/>
        <v>-8.2643750829447526E-6</v>
      </c>
      <c r="T968" s="18">
        <f t="shared" si="113"/>
        <v>3.8341636354743969E-6</v>
      </c>
      <c r="U968" s="18">
        <f t="shared" si="114"/>
        <v>-2.2141739464132115E-6</v>
      </c>
    </row>
    <row r="969" spans="15:21" x14ac:dyDescent="0.25">
      <c r="O969" s="15">
        <v>947</v>
      </c>
      <c r="P969" s="15">
        <f t="shared" si="115"/>
        <v>5.5531406201336592E-2</v>
      </c>
      <c r="Q969" s="15">
        <f t="shared" si="116"/>
        <v>5.55314062014787E-2</v>
      </c>
      <c r="R969" s="15">
        <f t="shared" si="111"/>
        <v>5.5531406201407646E-2</v>
      </c>
      <c r="S969" s="18">
        <f t="shared" si="112"/>
        <v>-2.2141739464132115E-6</v>
      </c>
      <c r="T969" s="18">
        <f t="shared" si="113"/>
        <v>3.8341636354743969E-6</v>
      </c>
      <c r="U969" s="18">
        <f t="shared" si="114"/>
        <v>7.1383738031727262E-7</v>
      </c>
    </row>
    <row r="970" spans="15:21" x14ac:dyDescent="0.25">
      <c r="O970" s="15">
        <v>948</v>
      </c>
      <c r="P970" s="15">
        <f t="shared" si="115"/>
        <v>5.5531406201336592E-2</v>
      </c>
      <c r="Q970" s="15">
        <f t="shared" si="116"/>
        <v>5.5531406201407646E-2</v>
      </c>
      <c r="R970" s="15">
        <f t="shared" si="111"/>
        <v>5.5531406201372119E-2</v>
      </c>
      <c r="S970" s="18">
        <f t="shared" si="112"/>
        <v>-2.2141739464132115E-6</v>
      </c>
      <c r="T970" s="18">
        <f t="shared" si="113"/>
        <v>7.1383738031727262E-7</v>
      </c>
      <c r="U970" s="18">
        <f t="shared" si="114"/>
        <v>-6.5354470279999077E-7</v>
      </c>
    </row>
    <row r="971" spans="15:21" x14ac:dyDescent="0.25">
      <c r="O971" s="15">
        <v>949</v>
      </c>
      <c r="P971" s="15">
        <f t="shared" si="115"/>
        <v>5.5531406201372119E-2</v>
      </c>
      <c r="Q971" s="15">
        <f t="shared" si="116"/>
        <v>5.5531406201407646E-2</v>
      </c>
      <c r="R971" s="15">
        <f t="shared" si="111"/>
        <v>5.5531406201389882E-2</v>
      </c>
      <c r="S971" s="18">
        <f t="shared" si="112"/>
        <v>-6.5354470279999077E-7</v>
      </c>
      <c r="T971" s="18">
        <f t="shared" si="113"/>
        <v>7.1383738031727262E-7</v>
      </c>
      <c r="U971" s="18">
        <f t="shared" si="114"/>
        <v>3.0612227419624105E-8</v>
      </c>
    </row>
    <row r="972" spans="15:21" x14ac:dyDescent="0.25">
      <c r="O972" s="15">
        <v>950</v>
      </c>
      <c r="P972" s="15">
        <f t="shared" si="115"/>
        <v>5.5531406201372119E-2</v>
      </c>
      <c r="Q972" s="15">
        <f t="shared" si="116"/>
        <v>5.5531406201389882E-2</v>
      </c>
      <c r="R972" s="15">
        <f t="shared" si="111"/>
        <v>5.5531406201381001E-2</v>
      </c>
      <c r="S972" s="18">
        <f t="shared" si="112"/>
        <v>-6.5354470279999077E-7</v>
      </c>
      <c r="T972" s="18">
        <f t="shared" si="113"/>
        <v>3.0612227419624105E-8</v>
      </c>
      <c r="U972" s="18">
        <f t="shared" si="114"/>
        <v>-3.1053423299454153E-7</v>
      </c>
    </row>
    <row r="973" spans="15:21" x14ac:dyDescent="0.25">
      <c r="O973" s="15">
        <v>951</v>
      </c>
      <c r="P973" s="15">
        <f t="shared" si="115"/>
        <v>5.5531406201381001E-2</v>
      </c>
      <c r="Q973" s="15">
        <f t="shared" si="116"/>
        <v>5.5531406201389882E-2</v>
      </c>
      <c r="R973" s="15">
        <f t="shared" si="111"/>
        <v>5.5531406201385441E-2</v>
      </c>
      <c r="S973" s="18">
        <f t="shared" si="112"/>
        <v>-3.1053423299454153E-7</v>
      </c>
      <c r="T973" s="18">
        <f t="shared" si="113"/>
        <v>3.0612227419624105E-8</v>
      </c>
      <c r="U973" s="18">
        <f t="shared" si="114"/>
        <v>-2.3821530703571625E-7</v>
      </c>
    </row>
    <row r="974" spans="15:21" x14ac:dyDescent="0.25">
      <c r="O974" s="15">
        <v>952</v>
      </c>
      <c r="P974" s="15">
        <f t="shared" si="115"/>
        <v>5.5531406201385441E-2</v>
      </c>
      <c r="Q974" s="15">
        <f t="shared" si="116"/>
        <v>5.5531406201389882E-2</v>
      </c>
      <c r="R974" s="15">
        <f t="shared" si="111"/>
        <v>5.5531406201387662E-2</v>
      </c>
      <c r="S974" s="18">
        <f t="shared" si="112"/>
        <v>-2.3821530703571625E-7</v>
      </c>
      <c r="T974" s="18">
        <f t="shared" si="113"/>
        <v>3.0612227419624105E-8</v>
      </c>
      <c r="U974" s="18">
        <f t="shared" si="114"/>
        <v>-1.0403437045169994E-7</v>
      </c>
    </row>
    <row r="975" spans="15:21" x14ac:dyDescent="0.25">
      <c r="O975" s="15">
        <v>953</v>
      </c>
      <c r="P975" s="15">
        <f t="shared" si="115"/>
        <v>5.5531406201387662E-2</v>
      </c>
      <c r="Q975" s="15">
        <f t="shared" si="116"/>
        <v>5.5531406201389882E-2</v>
      </c>
      <c r="R975" s="15">
        <f t="shared" si="111"/>
        <v>5.5531406201388772E-2</v>
      </c>
      <c r="S975" s="18">
        <f t="shared" si="112"/>
        <v>-1.0403437045169994E-7</v>
      </c>
      <c r="T975" s="18">
        <f t="shared" si="113"/>
        <v>3.0612227419624105E-8</v>
      </c>
      <c r="U975" s="18">
        <f t="shared" si="114"/>
        <v>6.1310856835916638E-8</v>
      </c>
    </row>
    <row r="976" spans="15:21" x14ac:dyDescent="0.25">
      <c r="O976" s="15">
        <v>954</v>
      </c>
      <c r="P976" s="15">
        <f t="shared" si="115"/>
        <v>5.5531406201387662E-2</v>
      </c>
      <c r="Q976" s="15">
        <f t="shared" si="116"/>
        <v>5.5531406201388772E-2</v>
      </c>
      <c r="R976" s="15">
        <f t="shared" si="111"/>
        <v>5.5531406201388217E-2</v>
      </c>
      <c r="S976" s="18">
        <f t="shared" si="112"/>
        <v>-1.0403437045169994E-7</v>
      </c>
      <c r="T976" s="18">
        <f t="shared" si="113"/>
        <v>6.1310856835916638E-8</v>
      </c>
      <c r="U976" s="18">
        <f t="shared" si="114"/>
        <v>-1.2310601960052736E-7</v>
      </c>
    </row>
    <row r="977" spans="15:21" x14ac:dyDescent="0.25">
      <c r="O977" s="15">
        <v>955</v>
      </c>
      <c r="P977" s="15">
        <f t="shared" si="115"/>
        <v>5.5531406201388217E-2</v>
      </c>
      <c r="Q977" s="15">
        <f t="shared" si="116"/>
        <v>5.5531406201388772E-2</v>
      </c>
      <c r="R977" s="15">
        <f t="shared" si="111"/>
        <v>5.5531406201388495E-2</v>
      </c>
      <c r="S977" s="18">
        <f t="shared" si="112"/>
        <v>-1.2310601960052736E-7</v>
      </c>
      <c r="T977" s="18">
        <f t="shared" si="113"/>
        <v>6.1310856835916638E-8</v>
      </c>
      <c r="U977" s="18">
        <f t="shared" si="114"/>
        <v>-1.3054977898718789E-7</v>
      </c>
    </row>
    <row r="978" spans="15:21" x14ac:dyDescent="0.25">
      <c r="O978" s="15">
        <v>956</v>
      </c>
      <c r="P978" s="15">
        <f t="shared" si="115"/>
        <v>5.5531406201388495E-2</v>
      </c>
      <c r="Q978" s="15">
        <f t="shared" si="116"/>
        <v>5.5531406201388772E-2</v>
      </c>
      <c r="R978" s="15">
        <f t="shared" si="111"/>
        <v>5.5531406201388633E-2</v>
      </c>
      <c r="S978" s="18">
        <f t="shared" si="112"/>
        <v>-1.3054977898718789E-7</v>
      </c>
      <c r="T978" s="18">
        <f t="shared" si="113"/>
        <v>6.1310856835916638E-8</v>
      </c>
      <c r="U978" s="18">
        <f t="shared" si="114"/>
        <v>6.1310856835916638E-8</v>
      </c>
    </row>
    <row r="979" spans="15:21" x14ac:dyDescent="0.25">
      <c r="O979" s="15">
        <v>957</v>
      </c>
      <c r="P979" s="15">
        <f t="shared" si="115"/>
        <v>5.5531406201388495E-2</v>
      </c>
      <c r="Q979" s="15">
        <f t="shared" si="116"/>
        <v>5.5531406201388633E-2</v>
      </c>
      <c r="R979" s="15">
        <f t="shared" si="111"/>
        <v>5.5531406201388564E-2</v>
      </c>
      <c r="S979" s="18">
        <f t="shared" si="112"/>
        <v>-1.3054977898718789E-7</v>
      </c>
      <c r="T979" s="18">
        <f t="shared" si="113"/>
        <v>6.1310856835916638E-8</v>
      </c>
      <c r="U979" s="18">
        <f t="shared" si="114"/>
        <v>-1.3054977898718789E-7</v>
      </c>
    </row>
    <row r="980" spans="15:21" x14ac:dyDescent="0.25">
      <c r="O980" s="15">
        <v>958</v>
      </c>
      <c r="P980" s="15">
        <f t="shared" si="115"/>
        <v>5.5531406201388564E-2</v>
      </c>
      <c r="Q980" s="15">
        <f t="shared" si="116"/>
        <v>5.5531406201388633E-2</v>
      </c>
      <c r="R980" s="15">
        <f t="shared" si="111"/>
        <v>5.5531406201388599E-2</v>
      </c>
      <c r="S980" s="18">
        <f t="shared" si="112"/>
        <v>-1.3054977898718789E-7</v>
      </c>
      <c r="T980" s="18">
        <f t="shared" si="113"/>
        <v>6.1310856835916638E-8</v>
      </c>
      <c r="U980" s="18">
        <f t="shared" si="114"/>
        <v>-1.3054977898718789E-7</v>
      </c>
    </row>
    <row r="981" spans="15:21" x14ac:dyDescent="0.25">
      <c r="O981" s="15">
        <v>959</v>
      </c>
      <c r="P981" s="15">
        <f t="shared" si="115"/>
        <v>5.5531406201388599E-2</v>
      </c>
      <c r="Q981" s="15">
        <f t="shared" si="116"/>
        <v>5.5531406201388633E-2</v>
      </c>
      <c r="R981" s="15">
        <f t="shared" si="111"/>
        <v>5.5531406201388619E-2</v>
      </c>
      <c r="S981" s="18">
        <f t="shared" si="112"/>
        <v>-1.3054977898718789E-7</v>
      </c>
      <c r="T981" s="18">
        <f t="shared" si="113"/>
        <v>6.1310856835916638E-8</v>
      </c>
      <c r="U981" s="18">
        <f t="shared" si="114"/>
        <v>-1.3054977898718789E-7</v>
      </c>
    </row>
    <row r="982" spans="15:21" x14ac:dyDescent="0.25">
      <c r="O982" s="15">
        <v>960</v>
      </c>
      <c r="P982" s="15">
        <f t="shared" si="115"/>
        <v>5.5531406201388619E-2</v>
      </c>
      <c r="Q982" s="15">
        <f t="shared" si="116"/>
        <v>5.5531406201388633E-2</v>
      </c>
      <c r="R982" s="15">
        <f t="shared" si="111"/>
        <v>5.5531406201388626E-2</v>
      </c>
      <c r="S982" s="18">
        <f t="shared" si="112"/>
        <v>-1.3054977898718789E-7</v>
      </c>
      <c r="T982" s="18">
        <f t="shared" si="113"/>
        <v>6.1310856835916638E-8</v>
      </c>
      <c r="U982" s="18">
        <f t="shared" si="114"/>
        <v>-1.3054977898718789E-7</v>
      </c>
    </row>
    <row r="983" spans="15:21" x14ac:dyDescent="0.25">
      <c r="O983" s="15">
        <v>961</v>
      </c>
      <c r="P983" s="15">
        <f t="shared" si="115"/>
        <v>5.5531406201388626E-2</v>
      </c>
      <c r="Q983" s="15">
        <f t="shared" si="116"/>
        <v>5.5531406201388633E-2</v>
      </c>
      <c r="R983" s="15">
        <f t="shared" si="111"/>
        <v>5.5531406201388633E-2</v>
      </c>
      <c r="S983" s="18">
        <f t="shared" si="112"/>
        <v>-1.3054977898718789E-7</v>
      </c>
      <c r="T983" s="18">
        <f t="shared" si="113"/>
        <v>6.1310856835916638E-8</v>
      </c>
      <c r="U983" s="18">
        <f t="shared" si="114"/>
        <v>6.1310856835916638E-8</v>
      </c>
    </row>
    <row r="984" spans="15:21" x14ac:dyDescent="0.25">
      <c r="O984" s="15">
        <v>962</v>
      </c>
      <c r="P984" s="15">
        <f t="shared" si="115"/>
        <v>5.5531406201388626E-2</v>
      </c>
      <c r="Q984" s="15">
        <f t="shared" si="116"/>
        <v>5.5531406201388633E-2</v>
      </c>
      <c r="R984" s="15">
        <f t="shared" si="111"/>
        <v>5.5531406201388633E-2</v>
      </c>
      <c r="S984" s="18">
        <f t="shared" si="112"/>
        <v>-1.3054977898718789E-7</v>
      </c>
      <c r="T984" s="18">
        <f t="shared" si="113"/>
        <v>6.1310856835916638E-8</v>
      </c>
      <c r="U984" s="18">
        <f t="shared" si="114"/>
        <v>6.1310856835916638E-8</v>
      </c>
    </row>
    <row r="985" spans="15:21" x14ac:dyDescent="0.25">
      <c r="O985" s="15">
        <v>963</v>
      </c>
      <c r="P985" s="15">
        <f t="shared" si="115"/>
        <v>5.5531406201388626E-2</v>
      </c>
      <c r="Q985" s="15">
        <f t="shared" si="116"/>
        <v>5.5531406201388633E-2</v>
      </c>
      <c r="R985" s="15">
        <f t="shared" si="111"/>
        <v>5.5531406201388633E-2</v>
      </c>
      <c r="S985" s="18">
        <f t="shared" si="112"/>
        <v>-1.3054977898718789E-7</v>
      </c>
      <c r="T985" s="18">
        <f t="shared" si="113"/>
        <v>6.1310856835916638E-8</v>
      </c>
      <c r="U985" s="18">
        <f t="shared" si="114"/>
        <v>6.1310856835916638E-8</v>
      </c>
    </row>
    <row r="986" spans="15:21" x14ac:dyDescent="0.25">
      <c r="O986" s="15">
        <v>964</v>
      </c>
      <c r="P986" s="15">
        <f t="shared" si="115"/>
        <v>5.5531406201388626E-2</v>
      </c>
      <c r="Q986" s="15">
        <f t="shared" si="116"/>
        <v>5.5531406201388633E-2</v>
      </c>
      <c r="R986" s="15">
        <f t="shared" si="111"/>
        <v>5.5531406201388633E-2</v>
      </c>
      <c r="S986" s="18">
        <f t="shared" si="112"/>
        <v>-1.3054977898718789E-7</v>
      </c>
      <c r="T986" s="18">
        <f t="shared" si="113"/>
        <v>6.1310856835916638E-8</v>
      </c>
      <c r="U986" s="18">
        <f t="shared" si="114"/>
        <v>6.1310856835916638E-8</v>
      </c>
    </row>
    <row r="987" spans="15:21" x14ac:dyDescent="0.25">
      <c r="O987" s="15">
        <v>965</v>
      </c>
      <c r="P987" s="15">
        <f t="shared" si="115"/>
        <v>5.5531406201388626E-2</v>
      </c>
      <c r="Q987" s="15">
        <f t="shared" si="116"/>
        <v>5.5531406201388633E-2</v>
      </c>
      <c r="R987" s="15">
        <f t="shared" ref="R987:R1050" si="117">(P987+Q987)/2</f>
        <v>5.5531406201388633E-2</v>
      </c>
      <c r="S987" s="18">
        <f t="shared" ref="S987:S1050" si="118">$E$4-$E$10-$E$11*(1+P987)^(-$E$5/$L$9)-$E$13*(1+P987)^(-$H$13/$L$9)-$E$14*(1+P987)^(-$H$14/$L$9) +$E$24*((1-(1+P987)^(-$E$5/$L$9)))/(1-(1+P987)^(1/$L$9))+$E$17*((1-(1+P987)^(-$J$20/$M$4)))/(1-(1+P987)^(1/$M$4))+$E$18*((1-(1+P987)^(-$J$21/$M$5)))/(1-(1+P987)^(1/$M$5))+$E$19*((1-(1+P987)^(-$J$22/$M$6)))/(1-(1+P987)^(1/$M$6))+$E$20*((1-(1+P987)^(-$J$23/$M$7)))/(1-(1+P987)^(1/$M$7))+$E$21*((1-(1+P987)^(-$J$24/$M$8)))/(1-(1+P987)^(1/$M$8))</f>
        <v>-1.3054977898718789E-7</v>
      </c>
      <c r="T987" s="18">
        <f t="shared" ref="T987:T1050" si="119">$E$4-$E$10-$E$11*(1+Q987)^(-$E$5/$L$9)-$E$13*(1+Q987)^(-$H$13/$L$9)-$E$14*(1+Q987)^(-$H$14/$L$9) +$E$24*((1-(1+Q987)^(-$E$5/$L$9)))/(1-(1+Q987)^(1/$L$9))+$E$17*((1-(1+Q987)^(-$J$20/$M$4)))/(1-(1+Q987)^(1/$M$4))+$E$18*((1-(1+Q987)^(-$J$21/$M$5)))/(1-(1+Q987)^(1/$M$5))+$E$19*((1-(1+Q987)^(-$J$22/$M$6)))/(1-(1+Q987)^(1/$M$6))+$E$20*((1-(1+Q987)^(-$J$23/$M$7)))/(1-(1+Q987)^(1/$M$7))+$E$21*((1-(1+Q987)^(-$J$24/$M$8)))/(1-(1+Q987)^(1/$M$8))</f>
        <v>6.1310856835916638E-8</v>
      </c>
      <c r="U987" s="18">
        <f t="shared" ref="U987:U1050" si="120">$E$4-$E$10-$E$11*(1+R987)^(-$E$5/$L$9)-$E$13*(1+R987)^(-$H$13/$L$9)-$E$14*(1+R987)^(-$H$14/$L$9) +$E$24*((1-(1+R987)^(-$E$5/$L$9)))/(1-(1+R987)^(1/$L$9))+$E$17*((1-(1+R987)^(-$J$20/$M$4)))/(1-(1+R987)^(1/$M$4))+$E$18*((1-(1+R987)^(-$J$21/$M$5)))/(1-(1+R987)^(1/$M$5))+$E$19*((1-(1+R987)^(-$J$22/$M$6)))/(1-(1+R987)^(1/$M$6))+$E$20*((1-(1+R987)^(-$J$23/$M$7)))/(1-(1+R987)^(1/$M$7))+$E$21*((1-(1+R987)^(-$J$24/$M$8)))/(1-(1+R987)^(1/$M$8))</f>
        <v>6.1310856835916638E-8</v>
      </c>
    </row>
    <row r="988" spans="15:21" x14ac:dyDescent="0.25">
      <c r="O988" s="15">
        <v>966</v>
      </c>
      <c r="P988" s="15">
        <f t="shared" ref="P988:P1022" si="121">IF(S987*U987&gt;=0,R987,P987)</f>
        <v>5.5531406201388626E-2</v>
      </c>
      <c r="Q988" s="15">
        <f t="shared" ref="Q988:Q1022" si="122">IF(T987*U987&gt;=0,R987,Q987)</f>
        <v>5.5531406201388633E-2</v>
      </c>
      <c r="R988" s="15">
        <f t="shared" si="117"/>
        <v>5.5531406201388633E-2</v>
      </c>
      <c r="S988" s="18">
        <f t="shared" si="118"/>
        <v>-1.3054977898718789E-7</v>
      </c>
      <c r="T988" s="18">
        <f t="shared" si="119"/>
        <v>6.1310856835916638E-8</v>
      </c>
      <c r="U988" s="18">
        <f t="shared" si="120"/>
        <v>6.1310856835916638E-8</v>
      </c>
    </row>
    <row r="989" spans="15:21" x14ac:dyDescent="0.25">
      <c r="O989" s="15">
        <v>967</v>
      </c>
      <c r="P989" s="15">
        <f t="shared" si="121"/>
        <v>5.5531406201388626E-2</v>
      </c>
      <c r="Q989" s="15">
        <f t="shared" si="122"/>
        <v>5.5531406201388633E-2</v>
      </c>
      <c r="R989" s="15">
        <f t="shared" si="117"/>
        <v>5.5531406201388633E-2</v>
      </c>
      <c r="S989" s="18">
        <f t="shared" si="118"/>
        <v>-1.3054977898718789E-7</v>
      </c>
      <c r="T989" s="18">
        <f t="shared" si="119"/>
        <v>6.1310856835916638E-8</v>
      </c>
      <c r="U989" s="18">
        <f t="shared" si="120"/>
        <v>6.1310856835916638E-8</v>
      </c>
    </row>
    <row r="990" spans="15:21" x14ac:dyDescent="0.25">
      <c r="O990" s="15">
        <v>968</v>
      </c>
      <c r="P990" s="15">
        <f t="shared" si="121"/>
        <v>5.5531406201388626E-2</v>
      </c>
      <c r="Q990" s="15">
        <f t="shared" si="122"/>
        <v>5.5531406201388633E-2</v>
      </c>
      <c r="R990" s="15">
        <f t="shared" si="117"/>
        <v>5.5531406201388633E-2</v>
      </c>
      <c r="S990" s="18">
        <f t="shared" si="118"/>
        <v>-1.3054977898718789E-7</v>
      </c>
      <c r="T990" s="18">
        <f t="shared" si="119"/>
        <v>6.1310856835916638E-8</v>
      </c>
      <c r="U990" s="18">
        <f t="shared" si="120"/>
        <v>6.1310856835916638E-8</v>
      </c>
    </row>
    <row r="991" spans="15:21" x14ac:dyDescent="0.25">
      <c r="O991" s="15">
        <v>969</v>
      </c>
      <c r="P991" s="15">
        <f t="shared" si="121"/>
        <v>5.5531406201388626E-2</v>
      </c>
      <c r="Q991" s="15">
        <f t="shared" si="122"/>
        <v>5.5531406201388633E-2</v>
      </c>
      <c r="R991" s="15">
        <f t="shared" si="117"/>
        <v>5.5531406201388633E-2</v>
      </c>
      <c r="S991" s="18">
        <f t="shared" si="118"/>
        <v>-1.3054977898718789E-7</v>
      </c>
      <c r="T991" s="18">
        <f t="shared" si="119"/>
        <v>6.1310856835916638E-8</v>
      </c>
      <c r="U991" s="18">
        <f t="shared" si="120"/>
        <v>6.1310856835916638E-8</v>
      </c>
    </row>
    <row r="992" spans="15:21" x14ac:dyDescent="0.25">
      <c r="O992" s="15">
        <v>970</v>
      </c>
      <c r="P992" s="15">
        <f t="shared" si="121"/>
        <v>5.5531406201388626E-2</v>
      </c>
      <c r="Q992" s="15">
        <f t="shared" si="122"/>
        <v>5.5531406201388633E-2</v>
      </c>
      <c r="R992" s="15">
        <f t="shared" si="117"/>
        <v>5.5531406201388633E-2</v>
      </c>
      <c r="S992" s="18">
        <f t="shared" si="118"/>
        <v>-1.3054977898718789E-7</v>
      </c>
      <c r="T992" s="18">
        <f t="shared" si="119"/>
        <v>6.1310856835916638E-8</v>
      </c>
      <c r="U992" s="18">
        <f t="shared" si="120"/>
        <v>6.1310856835916638E-8</v>
      </c>
    </row>
    <row r="993" spans="15:21" x14ac:dyDescent="0.25">
      <c r="O993" s="15">
        <v>971</v>
      </c>
      <c r="P993" s="15">
        <f t="shared" si="121"/>
        <v>5.5531406201388626E-2</v>
      </c>
      <c r="Q993" s="15">
        <f t="shared" si="122"/>
        <v>5.5531406201388633E-2</v>
      </c>
      <c r="R993" s="15">
        <f t="shared" si="117"/>
        <v>5.5531406201388633E-2</v>
      </c>
      <c r="S993" s="18">
        <f t="shared" si="118"/>
        <v>-1.3054977898718789E-7</v>
      </c>
      <c r="T993" s="18">
        <f t="shared" si="119"/>
        <v>6.1310856835916638E-8</v>
      </c>
      <c r="U993" s="18">
        <f t="shared" si="120"/>
        <v>6.1310856835916638E-8</v>
      </c>
    </row>
    <row r="994" spans="15:21" x14ac:dyDescent="0.25">
      <c r="O994" s="15">
        <v>972</v>
      </c>
      <c r="P994" s="15">
        <f t="shared" si="121"/>
        <v>5.5531406201388626E-2</v>
      </c>
      <c r="Q994" s="15">
        <f t="shared" si="122"/>
        <v>5.5531406201388633E-2</v>
      </c>
      <c r="R994" s="15">
        <f t="shared" si="117"/>
        <v>5.5531406201388633E-2</v>
      </c>
      <c r="S994" s="18">
        <f t="shared" si="118"/>
        <v>-1.3054977898718789E-7</v>
      </c>
      <c r="T994" s="18">
        <f t="shared" si="119"/>
        <v>6.1310856835916638E-8</v>
      </c>
      <c r="U994" s="18">
        <f t="shared" si="120"/>
        <v>6.1310856835916638E-8</v>
      </c>
    </row>
    <row r="995" spans="15:21" x14ac:dyDescent="0.25">
      <c r="O995" s="15">
        <v>973</v>
      </c>
      <c r="P995" s="15">
        <f t="shared" si="121"/>
        <v>5.5531406201388626E-2</v>
      </c>
      <c r="Q995" s="15">
        <f t="shared" si="122"/>
        <v>5.5531406201388633E-2</v>
      </c>
      <c r="R995" s="15">
        <f t="shared" si="117"/>
        <v>5.5531406201388633E-2</v>
      </c>
      <c r="S995" s="18">
        <f t="shared" si="118"/>
        <v>-1.3054977898718789E-7</v>
      </c>
      <c r="T995" s="18">
        <f t="shared" si="119"/>
        <v>6.1310856835916638E-8</v>
      </c>
      <c r="U995" s="18">
        <f t="shared" si="120"/>
        <v>6.1310856835916638E-8</v>
      </c>
    </row>
    <row r="996" spans="15:21" x14ac:dyDescent="0.25">
      <c r="O996" s="15">
        <v>974</v>
      </c>
      <c r="P996" s="15">
        <f t="shared" si="121"/>
        <v>5.5531406201388626E-2</v>
      </c>
      <c r="Q996" s="15">
        <f t="shared" si="122"/>
        <v>5.5531406201388633E-2</v>
      </c>
      <c r="R996" s="15">
        <f t="shared" si="117"/>
        <v>5.5531406201388633E-2</v>
      </c>
      <c r="S996" s="18">
        <f t="shared" si="118"/>
        <v>-1.3054977898718789E-7</v>
      </c>
      <c r="T996" s="18">
        <f t="shared" si="119"/>
        <v>6.1310856835916638E-8</v>
      </c>
      <c r="U996" s="18">
        <f t="shared" si="120"/>
        <v>6.1310856835916638E-8</v>
      </c>
    </row>
    <row r="997" spans="15:21" x14ac:dyDescent="0.25">
      <c r="O997" s="15">
        <v>975</v>
      </c>
      <c r="P997" s="15">
        <f t="shared" si="121"/>
        <v>5.5531406201388626E-2</v>
      </c>
      <c r="Q997" s="15">
        <f t="shared" si="122"/>
        <v>5.5531406201388633E-2</v>
      </c>
      <c r="R997" s="15">
        <f t="shared" si="117"/>
        <v>5.5531406201388633E-2</v>
      </c>
      <c r="S997" s="18">
        <f t="shared" si="118"/>
        <v>-1.3054977898718789E-7</v>
      </c>
      <c r="T997" s="18">
        <f t="shared" si="119"/>
        <v>6.1310856835916638E-8</v>
      </c>
      <c r="U997" s="18">
        <f t="shared" si="120"/>
        <v>6.1310856835916638E-8</v>
      </c>
    </row>
    <row r="998" spans="15:21" x14ac:dyDescent="0.25">
      <c r="O998" s="15">
        <v>976</v>
      </c>
      <c r="P998" s="15">
        <f t="shared" si="121"/>
        <v>5.5531406201388626E-2</v>
      </c>
      <c r="Q998" s="15">
        <f t="shared" si="122"/>
        <v>5.5531406201388633E-2</v>
      </c>
      <c r="R998" s="15">
        <f t="shared" si="117"/>
        <v>5.5531406201388633E-2</v>
      </c>
      <c r="S998" s="18">
        <f t="shared" si="118"/>
        <v>-1.3054977898718789E-7</v>
      </c>
      <c r="T998" s="18">
        <f t="shared" si="119"/>
        <v>6.1310856835916638E-8</v>
      </c>
      <c r="U998" s="18">
        <f t="shared" si="120"/>
        <v>6.1310856835916638E-8</v>
      </c>
    </row>
    <row r="999" spans="15:21" x14ac:dyDescent="0.25">
      <c r="O999" s="15">
        <v>977</v>
      </c>
      <c r="P999" s="15">
        <f t="shared" si="121"/>
        <v>5.5531406201388626E-2</v>
      </c>
      <c r="Q999" s="15">
        <f t="shared" si="122"/>
        <v>5.5531406201388633E-2</v>
      </c>
      <c r="R999" s="15">
        <f t="shared" si="117"/>
        <v>5.5531406201388633E-2</v>
      </c>
      <c r="S999" s="18">
        <f t="shared" si="118"/>
        <v>-1.3054977898718789E-7</v>
      </c>
      <c r="T999" s="18">
        <f t="shared" si="119"/>
        <v>6.1310856835916638E-8</v>
      </c>
      <c r="U999" s="18">
        <f t="shared" si="120"/>
        <v>6.1310856835916638E-8</v>
      </c>
    </row>
    <row r="1000" spans="15:21" x14ac:dyDescent="0.25">
      <c r="O1000" s="15">
        <v>978</v>
      </c>
      <c r="P1000" s="15">
        <f t="shared" si="121"/>
        <v>5.5531406201388626E-2</v>
      </c>
      <c r="Q1000" s="15">
        <f t="shared" si="122"/>
        <v>5.5531406201388633E-2</v>
      </c>
      <c r="R1000" s="15">
        <f t="shared" si="117"/>
        <v>5.5531406201388633E-2</v>
      </c>
      <c r="S1000" s="18">
        <f t="shared" si="118"/>
        <v>-1.3054977898718789E-7</v>
      </c>
      <c r="T1000" s="18">
        <f t="shared" si="119"/>
        <v>6.1310856835916638E-8</v>
      </c>
      <c r="U1000" s="18">
        <f t="shared" si="120"/>
        <v>6.1310856835916638E-8</v>
      </c>
    </row>
    <row r="1001" spans="15:21" x14ac:dyDescent="0.25">
      <c r="O1001" s="15">
        <v>979</v>
      </c>
      <c r="P1001" s="15">
        <f t="shared" si="121"/>
        <v>5.5531406201388626E-2</v>
      </c>
      <c r="Q1001" s="15">
        <f t="shared" si="122"/>
        <v>5.5531406201388633E-2</v>
      </c>
      <c r="R1001" s="15">
        <f t="shared" si="117"/>
        <v>5.5531406201388633E-2</v>
      </c>
      <c r="S1001" s="18">
        <f t="shared" si="118"/>
        <v>-1.3054977898718789E-7</v>
      </c>
      <c r="T1001" s="18">
        <f t="shared" si="119"/>
        <v>6.1310856835916638E-8</v>
      </c>
      <c r="U1001" s="18">
        <f t="shared" si="120"/>
        <v>6.1310856835916638E-8</v>
      </c>
    </row>
    <row r="1002" spans="15:21" x14ac:dyDescent="0.25">
      <c r="O1002" s="15">
        <v>980</v>
      </c>
      <c r="P1002" s="15">
        <f t="shared" si="121"/>
        <v>5.5531406201388626E-2</v>
      </c>
      <c r="Q1002" s="15">
        <f t="shared" si="122"/>
        <v>5.5531406201388633E-2</v>
      </c>
      <c r="R1002" s="15">
        <f t="shared" si="117"/>
        <v>5.5531406201388633E-2</v>
      </c>
      <c r="S1002" s="18">
        <f t="shared" si="118"/>
        <v>-1.3054977898718789E-7</v>
      </c>
      <c r="T1002" s="18">
        <f t="shared" si="119"/>
        <v>6.1310856835916638E-8</v>
      </c>
      <c r="U1002" s="18">
        <f t="shared" si="120"/>
        <v>6.1310856835916638E-8</v>
      </c>
    </row>
    <row r="1003" spans="15:21" x14ac:dyDescent="0.25">
      <c r="O1003" s="15">
        <v>981</v>
      </c>
      <c r="P1003" s="15">
        <f t="shared" si="121"/>
        <v>5.5531406201388626E-2</v>
      </c>
      <c r="Q1003" s="15">
        <f t="shared" si="122"/>
        <v>5.5531406201388633E-2</v>
      </c>
      <c r="R1003" s="15">
        <f t="shared" si="117"/>
        <v>5.5531406201388633E-2</v>
      </c>
      <c r="S1003" s="18">
        <f t="shared" si="118"/>
        <v>-1.3054977898718789E-7</v>
      </c>
      <c r="T1003" s="18">
        <f t="shared" si="119"/>
        <v>6.1310856835916638E-8</v>
      </c>
      <c r="U1003" s="18">
        <f t="shared" si="120"/>
        <v>6.1310856835916638E-8</v>
      </c>
    </row>
    <row r="1004" spans="15:21" x14ac:dyDescent="0.25">
      <c r="O1004" s="15">
        <v>982</v>
      </c>
      <c r="P1004" s="15">
        <f t="shared" si="121"/>
        <v>5.5531406201388626E-2</v>
      </c>
      <c r="Q1004" s="15">
        <f t="shared" si="122"/>
        <v>5.5531406201388633E-2</v>
      </c>
      <c r="R1004" s="15">
        <f t="shared" si="117"/>
        <v>5.5531406201388633E-2</v>
      </c>
      <c r="S1004" s="18">
        <f t="shared" si="118"/>
        <v>-1.3054977898718789E-7</v>
      </c>
      <c r="T1004" s="18">
        <f t="shared" si="119"/>
        <v>6.1310856835916638E-8</v>
      </c>
      <c r="U1004" s="18">
        <f t="shared" si="120"/>
        <v>6.1310856835916638E-8</v>
      </c>
    </row>
    <row r="1005" spans="15:21" x14ac:dyDescent="0.25">
      <c r="O1005" s="15">
        <v>983</v>
      </c>
      <c r="P1005" s="15">
        <f t="shared" si="121"/>
        <v>5.5531406201388626E-2</v>
      </c>
      <c r="Q1005" s="15">
        <f t="shared" si="122"/>
        <v>5.5531406201388633E-2</v>
      </c>
      <c r="R1005" s="15">
        <f t="shared" si="117"/>
        <v>5.5531406201388633E-2</v>
      </c>
      <c r="S1005" s="18">
        <f t="shared" si="118"/>
        <v>-1.3054977898718789E-7</v>
      </c>
      <c r="T1005" s="18">
        <f t="shared" si="119"/>
        <v>6.1310856835916638E-8</v>
      </c>
      <c r="U1005" s="18">
        <f t="shared" si="120"/>
        <v>6.1310856835916638E-8</v>
      </c>
    </row>
    <row r="1006" spans="15:21" x14ac:dyDescent="0.25">
      <c r="O1006" s="15">
        <v>984</v>
      </c>
      <c r="P1006" s="15">
        <f t="shared" si="121"/>
        <v>5.5531406201388626E-2</v>
      </c>
      <c r="Q1006" s="15">
        <f t="shared" si="122"/>
        <v>5.5531406201388633E-2</v>
      </c>
      <c r="R1006" s="15">
        <f t="shared" si="117"/>
        <v>5.5531406201388633E-2</v>
      </c>
      <c r="S1006" s="18">
        <f t="shared" si="118"/>
        <v>-1.3054977898718789E-7</v>
      </c>
      <c r="T1006" s="18">
        <f t="shared" si="119"/>
        <v>6.1310856835916638E-8</v>
      </c>
      <c r="U1006" s="18">
        <f t="shared" si="120"/>
        <v>6.1310856835916638E-8</v>
      </c>
    </row>
    <row r="1007" spans="15:21" x14ac:dyDescent="0.25">
      <c r="O1007" s="15">
        <v>985</v>
      </c>
      <c r="P1007" s="15">
        <f t="shared" si="121"/>
        <v>5.5531406201388626E-2</v>
      </c>
      <c r="Q1007" s="15">
        <f t="shared" si="122"/>
        <v>5.5531406201388633E-2</v>
      </c>
      <c r="R1007" s="15">
        <f t="shared" si="117"/>
        <v>5.5531406201388633E-2</v>
      </c>
      <c r="S1007" s="18">
        <f t="shared" si="118"/>
        <v>-1.3054977898718789E-7</v>
      </c>
      <c r="T1007" s="18">
        <f t="shared" si="119"/>
        <v>6.1310856835916638E-8</v>
      </c>
      <c r="U1007" s="18">
        <f t="shared" si="120"/>
        <v>6.1310856835916638E-8</v>
      </c>
    </row>
    <row r="1008" spans="15:21" x14ac:dyDescent="0.25">
      <c r="O1008" s="15">
        <v>986</v>
      </c>
      <c r="P1008" s="15">
        <f t="shared" si="121"/>
        <v>5.5531406201388626E-2</v>
      </c>
      <c r="Q1008" s="15">
        <f t="shared" si="122"/>
        <v>5.5531406201388633E-2</v>
      </c>
      <c r="R1008" s="15">
        <f t="shared" si="117"/>
        <v>5.5531406201388633E-2</v>
      </c>
      <c r="S1008" s="18">
        <f t="shared" si="118"/>
        <v>-1.3054977898718789E-7</v>
      </c>
      <c r="T1008" s="18">
        <f t="shared" si="119"/>
        <v>6.1310856835916638E-8</v>
      </c>
      <c r="U1008" s="18">
        <f t="shared" si="120"/>
        <v>6.1310856835916638E-8</v>
      </c>
    </row>
    <row r="1009" spans="15:21" x14ac:dyDescent="0.25">
      <c r="O1009" s="15">
        <v>987</v>
      </c>
      <c r="P1009" s="15">
        <f t="shared" si="121"/>
        <v>5.5531406201388626E-2</v>
      </c>
      <c r="Q1009" s="15">
        <f t="shared" si="122"/>
        <v>5.5531406201388633E-2</v>
      </c>
      <c r="R1009" s="15">
        <f t="shared" si="117"/>
        <v>5.5531406201388633E-2</v>
      </c>
      <c r="S1009" s="18">
        <f t="shared" si="118"/>
        <v>-1.3054977898718789E-7</v>
      </c>
      <c r="T1009" s="18">
        <f t="shared" si="119"/>
        <v>6.1310856835916638E-8</v>
      </c>
      <c r="U1009" s="18">
        <f t="shared" si="120"/>
        <v>6.1310856835916638E-8</v>
      </c>
    </row>
    <row r="1010" spans="15:21" x14ac:dyDescent="0.25">
      <c r="O1010" s="15">
        <v>988</v>
      </c>
      <c r="P1010" s="15">
        <f t="shared" si="121"/>
        <v>5.5531406201388626E-2</v>
      </c>
      <c r="Q1010" s="15">
        <f t="shared" si="122"/>
        <v>5.5531406201388633E-2</v>
      </c>
      <c r="R1010" s="15">
        <f t="shared" si="117"/>
        <v>5.5531406201388633E-2</v>
      </c>
      <c r="S1010" s="18">
        <f t="shared" si="118"/>
        <v>-1.3054977898718789E-7</v>
      </c>
      <c r="T1010" s="18">
        <f t="shared" si="119"/>
        <v>6.1310856835916638E-8</v>
      </c>
      <c r="U1010" s="18">
        <f t="shared" si="120"/>
        <v>6.1310856835916638E-8</v>
      </c>
    </row>
    <row r="1011" spans="15:21" x14ac:dyDescent="0.25">
      <c r="O1011" s="15">
        <v>989</v>
      </c>
      <c r="P1011" s="15">
        <f t="shared" si="121"/>
        <v>5.5531406201388626E-2</v>
      </c>
      <c r="Q1011" s="15">
        <f t="shared" si="122"/>
        <v>5.5531406201388633E-2</v>
      </c>
      <c r="R1011" s="15">
        <f t="shared" si="117"/>
        <v>5.5531406201388633E-2</v>
      </c>
      <c r="S1011" s="18">
        <f t="shared" si="118"/>
        <v>-1.3054977898718789E-7</v>
      </c>
      <c r="T1011" s="18">
        <f t="shared" si="119"/>
        <v>6.1310856835916638E-8</v>
      </c>
      <c r="U1011" s="18">
        <f t="shared" si="120"/>
        <v>6.1310856835916638E-8</v>
      </c>
    </row>
    <row r="1012" spans="15:21" x14ac:dyDescent="0.25">
      <c r="O1012" s="15">
        <v>990</v>
      </c>
      <c r="P1012" s="15">
        <f t="shared" si="121"/>
        <v>5.5531406201388626E-2</v>
      </c>
      <c r="Q1012" s="15">
        <f t="shared" si="122"/>
        <v>5.5531406201388633E-2</v>
      </c>
      <c r="R1012" s="15">
        <f t="shared" si="117"/>
        <v>5.5531406201388633E-2</v>
      </c>
      <c r="S1012" s="18">
        <f t="shared" si="118"/>
        <v>-1.3054977898718789E-7</v>
      </c>
      <c r="T1012" s="18">
        <f t="shared" si="119"/>
        <v>6.1310856835916638E-8</v>
      </c>
      <c r="U1012" s="18">
        <f t="shared" si="120"/>
        <v>6.1310856835916638E-8</v>
      </c>
    </row>
    <row r="1013" spans="15:21" x14ac:dyDescent="0.25">
      <c r="O1013" s="15">
        <v>991</v>
      </c>
      <c r="P1013" s="15">
        <f t="shared" si="121"/>
        <v>5.5531406201388626E-2</v>
      </c>
      <c r="Q1013" s="15">
        <f t="shared" si="122"/>
        <v>5.5531406201388633E-2</v>
      </c>
      <c r="R1013" s="15">
        <f t="shared" si="117"/>
        <v>5.5531406201388633E-2</v>
      </c>
      <c r="S1013" s="18">
        <f t="shared" si="118"/>
        <v>-1.3054977898718789E-7</v>
      </c>
      <c r="T1013" s="18">
        <f t="shared" si="119"/>
        <v>6.1310856835916638E-8</v>
      </c>
      <c r="U1013" s="18">
        <f t="shared" si="120"/>
        <v>6.1310856835916638E-8</v>
      </c>
    </row>
    <row r="1014" spans="15:21" x14ac:dyDescent="0.25">
      <c r="O1014" s="15">
        <v>992</v>
      </c>
      <c r="P1014" s="15">
        <f t="shared" si="121"/>
        <v>5.5531406201388626E-2</v>
      </c>
      <c r="Q1014" s="15">
        <f t="shared" si="122"/>
        <v>5.5531406201388633E-2</v>
      </c>
      <c r="R1014" s="15">
        <f t="shared" si="117"/>
        <v>5.5531406201388633E-2</v>
      </c>
      <c r="S1014" s="18">
        <f t="shared" si="118"/>
        <v>-1.3054977898718789E-7</v>
      </c>
      <c r="T1014" s="18">
        <f t="shared" si="119"/>
        <v>6.1310856835916638E-8</v>
      </c>
      <c r="U1014" s="18">
        <f t="shared" si="120"/>
        <v>6.1310856835916638E-8</v>
      </c>
    </row>
    <row r="1015" spans="15:21" x14ac:dyDescent="0.25">
      <c r="O1015" s="15">
        <v>993</v>
      </c>
      <c r="P1015" s="15">
        <f t="shared" si="121"/>
        <v>5.5531406201388626E-2</v>
      </c>
      <c r="Q1015" s="15">
        <f t="shared" si="122"/>
        <v>5.5531406201388633E-2</v>
      </c>
      <c r="R1015" s="15">
        <f t="shared" si="117"/>
        <v>5.5531406201388633E-2</v>
      </c>
      <c r="S1015" s="18">
        <f t="shared" si="118"/>
        <v>-1.3054977898718789E-7</v>
      </c>
      <c r="T1015" s="18">
        <f t="shared" si="119"/>
        <v>6.1310856835916638E-8</v>
      </c>
      <c r="U1015" s="18">
        <f t="shared" si="120"/>
        <v>6.1310856835916638E-8</v>
      </c>
    </row>
    <row r="1016" spans="15:21" x14ac:dyDescent="0.25">
      <c r="O1016" s="15">
        <v>994</v>
      </c>
      <c r="P1016" s="15">
        <f t="shared" si="121"/>
        <v>5.5531406201388626E-2</v>
      </c>
      <c r="Q1016" s="15">
        <f t="shared" si="122"/>
        <v>5.5531406201388633E-2</v>
      </c>
      <c r="R1016" s="15">
        <f t="shared" si="117"/>
        <v>5.5531406201388633E-2</v>
      </c>
      <c r="S1016" s="18">
        <f t="shared" si="118"/>
        <v>-1.3054977898718789E-7</v>
      </c>
      <c r="T1016" s="18">
        <f t="shared" si="119"/>
        <v>6.1310856835916638E-8</v>
      </c>
      <c r="U1016" s="18">
        <f t="shared" si="120"/>
        <v>6.1310856835916638E-8</v>
      </c>
    </row>
    <row r="1017" spans="15:21" x14ac:dyDescent="0.25">
      <c r="O1017" s="15">
        <v>995</v>
      </c>
      <c r="P1017" s="15">
        <f t="shared" si="121"/>
        <v>5.5531406201388626E-2</v>
      </c>
      <c r="Q1017" s="15">
        <f t="shared" si="122"/>
        <v>5.5531406201388633E-2</v>
      </c>
      <c r="R1017" s="15">
        <f t="shared" si="117"/>
        <v>5.5531406201388633E-2</v>
      </c>
      <c r="S1017" s="18">
        <f t="shared" si="118"/>
        <v>-1.3054977898718789E-7</v>
      </c>
      <c r="T1017" s="18">
        <f t="shared" si="119"/>
        <v>6.1310856835916638E-8</v>
      </c>
      <c r="U1017" s="18">
        <f t="shared" si="120"/>
        <v>6.1310856835916638E-8</v>
      </c>
    </row>
    <row r="1018" spans="15:21" x14ac:dyDescent="0.25">
      <c r="O1018" s="15">
        <v>996</v>
      </c>
      <c r="P1018" s="15">
        <f t="shared" si="121"/>
        <v>5.5531406201388626E-2</v>
      </c>
      <c r="Q1018" s="15">
        <f t="shared" si="122"/>
        <v>5.5531406201388633E-2</v>
      </c>
      <c r="R1018" s="15">
        <f t="shared" si="117"/>
        <v>5.5531406201388633E-2</v>
      </c>
      <c r="S1018" s="18">
        <f t="shared" si="118"/>
        <v>-1.3054977898718789E-7</v>
      </c>
      <c r="T1018" s="18">
        <f t="shared" si="119"/>
        <v>6.1310856835916638E-8</v>
      </c>
      <c r="U1018" s="18">
        <f t="shared" si="120"/>
        <v>6.1310856835916638E-8</v>
      </c>
    </row>
    <row r="1019" spans="15:21" x14ac:dyDescent="0.25">
      <c r="O1019" s="15">
        <v>997</v>
      </c>
      <c r="P1019" s="15">
        <f t="shared" si="121"/>
        <v>5.5531406201388626E-2</v>
      </c>
      <c r="Q1019" s="15">
        <f t="shared" si="122"/>
        <v>5.5531406201388633E-2</v>
      </c>
      <c r="R1019" s="15">
        <f t="shared" si="117"/>
        <v>5.5531406201388633E-2</v>
      </c>
      <c r="S1019" s="18">
        <f t="shared" si="118"/>
        <v>-1.3054977898718789E-7</v>
      </c>
      <c r="T1019" s="18">
        <f t="shared" si="119"/>
        <v>6.1310856835916638E-8</v>
      </c>
      <c r="U1019" s="18">
        <f t="shared" si="120"/>
        <v>6.1310856835916638E-8</v>
      </c>
    </row>
    <row r="1020" spans="15:21" x14ac:dyDescent="0.25">
      <c r="O1020" s="15">
        <v>998</v>
      </c>
      <c r="P1020" s="15">
        <f t="shared" si="121"/>
        <v>5.5531406201388626E-2</v>
      </c>
      <c r="Q1020" s="15">
        <f t="shared" si="122"/>
        <v>5.5531406201388633E-2</v>
      </c>
      <c r="R1020" s="15">
        <f t="shared" si="117"/>
        <v>5.5531406201388633E-2</v>
      </c>
      <c r="S1020" s="18">
        <f t="shared" si="118"/>
        <v>-1.3054977898718789E-7</v>
      </c>
      <c r="T1020" s="18">
        <f t="shared" si="119"/>
        <v>6.1310856835916638E-8</v>
      </c>
      <c r="U1020" s="18">
        <f t="shared" si="120"/>
        <v>6.1310856835916638E-8</v>
      </c>
    </row>
    <row r="1021" spans="15:21" x14ac:dyDescent="0.25">
      <c r="O1021" s="15">
        <v>999</v>
      </c>
      <c r="P1021" s="15">
        <f t="shared" si="121"/>
        <v>5.5531406201388626E-2</v>
      </c>
      <c r="Q1021" s="15">
        <f t="shared" si="122"/>
        <v>5.5531406201388633E-2</v>
      </c>
      <c r="R1021" s="15">
        <f t="shared" si="117"/>
        <v>5.5531406201388633E-2</v>
      </c>
      <c r="S1021" s="18">
        <f t="shared" si="118"/>
        <v>-1.3054977898718789E-7</v>
      </c>
      <c r="T1021" s="18">
        <f t="shared" si="119"/>
        <v>6.1310856835916638E-8</v>
      </c>
      <c r="U1021" s="18">
        <f t="shared" si="120"/>
        <v>6.1310856835916638E-8</v>
      </c>
    </row>
    <row r="1022" spans="15:21" x14ac:dyDescent="0.25">
      <c r="O1022" s="15">
        <v>1000</v>
      </c>
      <c r="P1022" s="15">
        <f t="shared" si="121"/>
        <v>5.5531406201388626E-2</v>
      </c>
      <c r="Q1022" s="15">
        <f t="shared" si="122"/>
        <v>5.5531406201388633E-2</v>
      </c>
      <c r="R1022" s="15">
        <f t="shared" si="117"/>
        <v>5.5531406201388633E-2</v>
      </c>
      <c r="S1022" s="18">
        <f t="shared" si="118"/>
        <v>-1.3054977898718789E-7</v>
      </c>
      <c r="T1022" s="18">
        <f t="shared" si="119"/>
        <v>6.1310856835916638E-8</v>
      </c>
      <c r="U1022" s="18">
        <f t="shared" si="120"/>
        <v>6.1310856835916638E-8</v>
      </c>
    </row>
    <row r="1023" spans="15:21" x14ac:dyDescent="0.25">
      <c r="P1023" s="15" t="s">
        <v>8</v>
      </c>
    </row>
    <row r="1024" spans="15:21" x14ac:dyDescent="0.25">
      <c r="P1024" s="15" t="s">
        <v>1</v>
      </c>
      <c r="Q1024" s="15" t="s">
        <v>2</v>
      </c>
      <c r="R1024" s="15" t="s">
        <v>3</v>
      </c>
      <c r="S1024" s="15" t="s">
        <v>4</v>
      </c>
      <c r="T1024" s="15" t="s">
        <v>5</v>
      </c>
      <c r="U1024" s="15" t="s">
        <v>6</v>
      </c>
    </row>
    <row r="1025" spans="15:21" x14ac:dyDescent="0.25">
      <c r="O1025" s="15">
        <v>1001</v>
      </c>
      <c r="P1025" s="15">
        <v>1E-10</v>
      </c>
      <c r="Q1025" s="15">
        <v>10</v>
      </c>
      <c r="R1025" s="15">
        <f t="shared" ref="R1025:R1088" si="123">(P1025+Q1025)/2</f>
        <v>5.00000000005</v>
      </c>
      <c r="S1025" s="18">
        <f t="shared" ref="S1025:S1088" si="124">$E$4-$E$10-$E$11*(1+P1025)^(-$E$5/$L$9)-$E$13*(1+P1025)^(-$H$13/$L$9)-$E$14*(1+P1025)^(-$H$14/$L$9) +$E$24*((1-(1+P1025)^(-$E$5/$L$9)))/(1-(1+P1025)^(1/$L$9))+$E$17*((1-(1+P1025)^(-$J$20/$M$4)))/(1-(1+P1025)^(1/$M$4))+$E$18*((1-(1+P1025)^(-$J$21/$M$5)))/(1-(1+P1025)^(1/$M$5))+$E$19*((1-(1+P1025)^(-$J$22/$M$6)))/(1-(1+P1025)^(1/$M$6))+$E$20*((1-(1+P1025)^(-$J$23/$M$7)))/(1-(1+P1025)^(1/$M$7))+$E$21*((1-(1+P1025)^(-$J$24/$M$8)))/(1-(1+P1025)^(1/$M$8))</f>
        <v>-4096543.402922513</v>
      </c>
      <c r="T1025" s="18">
        <f t="shared" ref="T1025:T1088" si="125">$E$4-$E$10-$E$11*(1+Q1025)^(-$E$5/$L$9)-$E$13*(1+Q1025)^(-$H$13/$L$9)-$E$14*(1+Q1025)^(-$H$14/$L$9) +$E$24*((1-(1+Q1025)^(-$E$5/$L$9)))/(1-(1+Q1025)^(1/$L$9))+$E$17*((1-(1+Q1025)^(-$J$20/$M$4)))/(1-(1+Q1025)^(1/$M$4))+$E$18*((1-(1+Q1025)^(-$J$21/$M$5)))/(1-(1+Q1025)^(1/$M$5))+$E$19*((1-(1+Q1025)^(-$J$22/$M$6)))/(1-(1+Q1025)^(1/$M$6))+$E$20*((1-(1+Q1025)^(-$J$23/$M$7)))/(1-(1+Q1025)^(1/$M$7))+$E$21*((1-(1+Q1025)^(-$J$24/$M$8)))/(1-(1+Q1025)^(1/$M$8))</f>
        <v>3894207.2828773954</v>
      </c>
      <c r="U1025" s="18">
        <f t="shared" ref="U1025:U1088" si="126">$E$4-$E$10-$E$11*(1+R1025)^(-$E$5/$L$9)-$E$13*(1+R1025)^(-$H$13/$L$9)-$E$14*(1+R1025)^(-$H$14/$L$9) +$E$24*((1-(1+R1025)^(-$E$5/$L$9)))/(1-(1+R1025)^(1/$L$9))+$E$17*((1-(1+R1025)^(-$J$20/$M$4)))/(1-(1+R1025)^(1/$M$4))+$E$18*((1-(1+R1025)^(-$J$21/$M$5)))/(1-(1+R1025)^(1/$M$5))+$E$19*((1-(1+R1025)^(-$J$22/$M$6)))/(1-(1+R1025)^(1/$M$6))+$E$20*((1-(1+R1025)^(-$J$23/$M$7)))/(1-(1+R1025)^(1/$M$7))+$E$21*((1-(1+R1025)^(-$J$24/$M$8)))/(1-(1+R1025)^(1/$M$8))</f>
        <v>3856205.8539974457</v>
      </c>
    </row>
    <row r="1026" spans="15:21" x14ac:dyDescent="0.25">
      <c r="O1026" s="15">
        <v>1002</v>
      </c>
      <c r="P1026" s="15">
        <f t="shared" ref="P1026:P1089" si="127">IF(S1025*U1025&gt;=0,R1025,P1025)</f>
        <v>1E-10</v>
      </c>
      <c r="Q1026" s="15">
        <f t="shared" ref="Q1026:Q1089" si="128">IF(T1025*U1025&gt;=0,R1025,Q1025)</f>
        <v>5.00000000005</v>
      </c>
      <c r="R1026" s="15">
        <f t="shared" si="123"/>
        <v>2.500000000075</v>
      </c>
      <c r="S1026" s="18">
        <f t="shared" si="124"/>
        <v>-4096543.402922513</v>
      </c>
      <c r="T1026" s="18">
        <f t="shared" si="125"/>
        <v>3856205.8539974457</v>
      </c>
      <c r="U1026" s="18">
        <f t="shared" si="126"/>
        <v>3791473.6705574365</v>
      </c>
    </row>
    <row r="1027" spans="15:21" x14ac:dyDescent="0.25">
      <c r="O1027" s="15">
        <v>1003</v>
      </c>
      <c r="P1027" s="15">
        <f t="shared" si="127"/>
        <v>1E-10</v>
      </c>
      <c r="Q1027" s="15">
        <f t="shared" si="128"/>
        <v>2.500000000075</v>
      </c>
      <c r="R1027" s="15">
        <f t="shared" si="123"/>
        <v>1.2500000000875</v>
      </c>
      <c r="S1027" s="18">
        <f t="shared" si="124"/>
        <v>-4096543.402922513</v>
      </c>
      <c r="T1027" s="18">
        <f t="shared" si="125"/>
        <v>3791473.6705574365</v>
      </c>
      <c r="U1027" s="18">
        <f t="shared" si="126"/>
        <v>3674185.2838576422</v>
      </c>
    </row>
    <row r="1028" spans="15:21" x14ac:dyDescent="0.25">
      <c r="O1028" s="15">
        <v>1004</v>
      </c>
      <c r="P1028" s="15">
        <f t="shared" si="127"/>
        <v>1E-10</v>
      </c>
      <c r="Q1028" s="15">
        <f t="shared" si="128"/>
        <v>1.2500000000875</v>
      </c>
      <c r="R1028" s="15">
        <f t="shared" si="123"/>
        <v>0.62500000009375001</v>
      </c>
      <c r="S1028" s="18">
        <f t="shared" si="124"/>
        <v>-4096543.402922513</v>
      </c>
      <c r="T1028" s="18">
        <f t="shared" si="125"/>
        <v>3674185.2838576422</v>
      </c>
      <c r="U1028" s="18">
        <f t="shared" si="126"/>
        <v>3451249.3171429066</v>
      </c>
    </row>
    <row r="1029" spans="15:21" x14ac:dyDescent="0.25">
      <c r="O1029" s="15">
        <v>1005</v>
      </c>
      <c r="P1029" s="15">
        <f t="shared" si="127"/>
        <v>1E-10</v>
      </c>
      <c r="Q1029" s="15">
        <f t="shared" si="128"/>
        <v>0.62500000009375001</v>
      </c>
      <c r="R1029" s="15">
        <f t="shared" si="123"/>
        <v>0.31250000009687501</v>
      </c>
      <c r="S1029" s="18">
        <f t="shared" si="124"/>
        <v>-4096543.402922513</v>
      </c>
      <c r="T1029" s="18">
        <f t="shared" si="125"/>
        <v>3451249.3171429066</v>
      </c>
      <c r="U1029" s="18">
        <f t="shared" si="126"/>
        <v>3015194.1773318858</v>
      </c>
    </row>
    <row r="1030" spans="15:21" x14ac:dyDescent="0.25">
      <c r="O1030" s="15">
        <v>1006</v>
      </c>
      <c r="P1030" s="15">
        <f t="shared" si="127"/>
        <v>1E-10</v>
      </c>
      <c r="Q1030" s="15">
        <f t="shared" si="128"/>
        <v>0.31250000009687501</v>
      </c>
      <c r="R1030" s="15">
        <f t="shared" si="123"/>
        <v>0.15625000009843751</v>
      </c>
      <c r="S1030" s="18">
        <f t="shared" si="124"/>
        <v>-4096543.402922513</v>
      </c>
      <c r="T1030" s="18">
        <f t="shared" si="125"/>
        <v>3015194.1773318858</v>
      </c>
      <c r="U1030" s="18">
        <f t="shared" si="126"/>
        <v>2172625.3949700431</v>
      </c>
    </row>
    <row r="1031" spans="15:21" x14ac:dyDescent="0.25">
      <c r="O1031" s="15">
        <v>1007</v>
      </c>
      <c r="P1031" s="15">
        <f t="shared" si="127"/>
        <v>1E-10</v>
      </c>
      <c r="Q1031" s="15">
        <f t="shared" si="128"/>
        <v>0.15625000009843751</v>
      </c>
      <c r="R1031" s="15">
        <f t="shared" si="123"/>
        <v>7.8125000099218758E-2</v>
      </c>
      <c r="S1031" s="18">
        <f t="shared" si="124"/>
        <v>-4096543.402922513</v>
      </c>
      <c r="T1031" s="18">
        <f t="shared" si="125"/>
        <v>2172625.3949700431</v>
      </c>
      <c r="U1031" s="18">
        <f t="shared" si="126"/>
        <v>795277.15576752613</v>
      </c>
    </row>
    <row r="1032" spans="15:21" x14ac:dyDescent="0.25">
      <c r="O1032" s="15">
        <v>1008</v>
      </c>
      <c r="P1032" s="15">
        <f t="shared" si="127"/>
        <v>1E-10</v>
      </c>
      <c r="Q1032" s="15">
        <f t="shared" si="128"/>
        <v>7.8125000099218758E-2</v>
      </c>
      <c r="R1032" s="15">
        <f t="shared" si="123"/>
        <v>3.9062500099609376E-2</v>
      </c>
      <c r="S1032" s="18">
        <f t="shared" si="124"/>
        <v>-4096543.402922513</v>
      </c>
      <c r="T1032" s="18">
        <f t="shared" si="125"/>
        <v>795277.15576752613</v>
      </c>
      <c r="U1032" s="18">
        <f t="shared" si="126"/>
        <v>-806130.79722869582</v>
      </c>
    </row>
    <row r="1033" spans="15:21" x14ac:dyDescent="0.25">
      <c r="O1033" s="15">
        <v>1009</v>
      </c>
      <c r="P1033" s="15">
        <f t="shared" si="127"/>
        <v>3.9062500099609376E-2</v>
      </c>
      <c r="Q1033" s="15">
        <f t="shared" si="128"/>
        <v>7.8125000099218758E-2</v>
      </c>
      <c r="R1033" s="15">
        <f t="shared" si="123"/>
        <v>5.8593750099414067E-2</v>
      </c>
      <c r="S1033" s="18">
        <f t="shared" si="124"/>
        <v>-806130.79722869582</v>
      </c>
      <c r="T1033" s="18">
        <f t="shared" si="125"/>
        <v>795277.15576752613</v>
      </c>
      <c r="U1033" s="18">
        <f t="shared" si="126"/>
        <v>125998.37751938807</v>
      </c>
    </row>
    <row r="1034" spans="15:21" x14ac:dyDescent="0.25">
      <c r="O1034" s="15">
        <v>1010</v>
      </c>
      <c r="P1034" s="15">
        <f t="shared" si="127"/>
        <v>3.9062500099609376E-2</v>
      </c>
      <c r="Q1034" s="15">
        <f t="shared" si="128"/>
        <v>5.8593750099414067E-2</v>
      </c>
      <c r="R1034" s="15">
        <f t="shared" si="123"/>
        <v>4.8828125099511718E-2</v>
      </c>
      <c r="S1034" s="18">
        <f t="shared" si="124"/>
        <v>-806130.79722869582</v>
      </c>
      <c r="T1034" s="18">
        <f t="shared" si="125"/>
        <v>125998.37751938807</v>
      </c>
      <c r="U1034" s="18">
        <f t="shared" si="126"/>
        <v>-300117.85427544912</v>
      </c>
    </row>
    <row r="1035" spans="15:21" x14ac:dyDescent="0.25">
      <c r="O1035" s="15">
        <v>1011</v>
      </c>
      <c r="P1035" s="15">
        <f t="shared" si="127"/>
        <v>4.8828125099511718E-2</v>
      </c>
      <c r="Q1035" s="15">
        <f t="shared" si="128"/>
        <v>5.8593750099414067E-2</v>
      </c>
      <c r="R1035" s="15">
        <f t="shared" si="123"/>
        <v>5.3710937599462896E-2</v>
      </c>
      <c r="S1035" s="18">
        <f t="shared" si="124"/>
        <v>-300117.85427544912</v>
      </c>
      <c r="T1035" s="18">
        <f t="shared" si="125"/>
        <v>125998.37751938807</v>
      </c>
      <c r="U1035" s="18">
        <f t="shared" si="126"/>
        <v>-78089.717054340348</v>
      </c>
    </row>
    <row r="1036" spans="15:21" x14ac:dyDescent="0.25">
      <c r="O1036" s="15">
        <v>1012</v>
      </c>
      <c r="P1036" s="15">
        <f t="shared" si="127"/>
        <v>5.3710937599462896E-2</v>
      </c>
      <c r="Q1036" s="15">
        <f t="shared" si="128"/>
        <v>5.8593750099414067E-2</v>
      </c>
      <c r="R1036" s="15">
        <f t="shared" si="123"/>
        <v>5.6152343849438485E-2</v>
      </c>
      <c r="S1036" s="18">
        <f t="shared" si="124"/>
        <v>-78089.717054340348</v>
      </c>
      <c r="T1036" s="18">
        <f t="shared" si="125"/>
        <v>125998.37751938807</v>
      </c>
      <c r="U1036" s="18">
        <f t="shared" si="126"/>
        <v>26082.431833555249</v>
      </c>
    </row>
    <row r="1037" spans="15:21" x14ac:dyDescent="0.25">
      <c r="O1037" s="15">
        <v>1013</v>
      </c>
      <c r="P1037" s="15">
        <f t="shared" si="127"/>
        <v>5.3710937599462896E-2</v>
      </c>
      <c r="Q1037" s="15">
        <f t="shared" si="128"/>
        <v>5.6152343849438485E-2</v>
      </c>
      <c r="R1037" s="15">
        <f t="shared" si="123"/>
        <v>5.4931640724450691E-2</v>
      </c>
      <c r="S1037" s="18">
        <f t="shared" si="124"/>
        <v>-78089.717054340348</v>
      </c>
      <c r="T1037" s="18">
        <f t="shared" si="125"/>
        <v>26082.431833555249</v>
      </c>
      <c r="U1037" s="18">
        <f t="shared" si="126"/>
        <v>-25457.838380042806</v>
      </c>
    </row>
    <row r="1038" spans="15:21" x14ac:dyDescent="0.25">
      <c r="O1038" s="15">
        <v>1014</v>
      </c>
      <c r="P1038" s="15">
        <f t="shared" si="127"/>
        <v>5.4931640724450691E-2</v>
      </c>
      <c r="Q1038" s="15">
        <f t="shared" si="128"/>
        <v>5.6152343849438485E-2</v>
      </c>
      <c r="R1038" s="15">
        <f t="shared" si="123"/>
        <v>5.5541992286944591E-2</v>
      </c>
      <c r="S1038" s="18">
        <f t="shared" si="124"/>
        <v>-25457.838380042806</v>
      </c>
      <c r="T1038" s="18">
        <f t="shared" si="125"/>
        <v>26082.431833555249</v>
      </c>
      <c r="U1038" s="18">
        <f t="shared" si="126"/>
        <v>446.99396819314325</v>
      </c>
    </row>
    <row r="1039" spans="15:21" x14ac:dyDescent="0.25">
      <c r="O1039" s="15">
        <v>1015</v>
      </c>
      <c r="P1039" s="15">
        <f t="shared" si="127"/>
        <v>5.4931640724450691E-2</v>
      </c>
      <c r="Q1039" s="15">
        <f t="shared" si="128"/>
        <v>5.5541992286944591E-2</v>
      </c>
      <c r="R1039" s="15">
        <f t="shared" si="123"/>
        <v>5.5236816505697645E-2</v>
      </c>
      <c r="S1039" s="18">
        <f t="shared" si="124"/>
        <v>-25457.838380042806</v>
      </c>
      <c r="T1039" s="18">
        <f t="shared" si="125"/>
        <v>446.99396819314325</v>
      </c>
      <c r="U1039" s="18">
        <f t="shared" si="126"/>
        <v>-12471.530669613465</v>
      </c>
    </row>
    <row r="1040" spans="15:21" x14ac:dyDescent="0.25">
      <c r="O1040" s="15">
        <v>1016</v>
      </c>
      <c r="P1040" s="15">
        <f t="shared" si="127"/>
        <v>5.5236816505697645E-2</v>
      </c>
      <c r="Q1040" s="15">
        <f t="shared" si="128"/>
        <v>5.5541992286944591E-2</v>
      </c>
      <c r="R1040" s="15">
        <f t="shared" si="123"/>
        <v>5.5389404396321118E-2</v>
      </c>
      <c r="S1040" s="18">
        <f t="shared" si="124"/>
        <v>-12471.530669613465</v>
      </c>
      <c r="T1040" s="18">
        <f t="shared" si="125"/>
        <v>446.99396819314325</v>
      </c>
      <c r="U1040" s="18">
        <f t="shared" si="126"/>
        <v>-6003.8227437936475</v>
      </c>
    </row>
    <row r="1041" spans="15:21" x14ac:dyDescent="0.25">
      <c r="O1041" s="15">
        <v>1017</v>
      </c>
      <c r="P1041" s="15">
        <f t="shared" si="127"/>
        <v>5.5389404396321118E-2</v>
      </c>
      <c r="Q1041" s="15">
        <f t="shared" si="128"/>
        <v>5.5541992286944591E-2</v>
      </c>
      <c r="R1041" s="15">
        <f t="shared" si="123"/>
        <v>5.5465698341632855E-2</v>
      </c>
      <c r="S1041" s="18">
        <f t="shared" si="124"/>
        <v>-6003.8227437936475</v>
      </c>
      <c r="T1041" s="18">
        <f t="shared" si="125"/>
        <v>446.99396819314325</v>
      </c>
      <c r="U1041" s="18">
        <f t="shared" si="126"/>
        <v>-2776.3063849629848</v>
      </c>
    </row>
    <row r="1042" spans="15:21" x14ac:dyDescent="0.25">
      <c r="O1042" s="15">
        <v>1018</v>
      </c>
      <c r="P1042" s="15">
        <f t="shared" si="127"/>
        <v>5.5465698341632855E-2</v>
      </c>
      <c r="Q1042" s="15">
        <f t="shared" si="128"/>
        <v>5.5541992286944591E-2</v>
      </c>
      <c r="R1042" s="15">
        <f t="shared" si="123"/>
        <v>5.5503845314288723E-2</v>
      </c>
      <c r="S1042" s="18">
        <f t="shared" si="124"/>
        <v>-2776.3063849629848</v>
      </c>
      <c r="T1042" s="18">
        <f t="shared" si="125"/>
        <v>446.99396819314325</v>
      </c>
      <c r="U1042" s="18">
        <f t="shared" si="126"/>
        <v>-1164.1296318378991</v>
      </c>
    </row>
    <row r="1043" spans="15:21" x14ac:dyDescent="0.25">
      <c r="O1043" s="15">
        <v>1019</v>
      </c>
      <c r="P1043" s="15">
        <f t="shared" si="127"/>
        <v>5.5503845314288723E-2</v>
      </c>
      <c r="Q1043" s="15">
        <f t="shared" si="128"/>
        <v>5.5541992286944591E-2</v>
      </c>
      <c r="R1043" s="15">
        <f t="shared" si="123"/>
        <v>5.5522918800616661E-2</v>
      </c>
      <c r="S1043" s="18">
        <f t="shared" si="124"/>
        <v>-1164.1296318378991</v>
      </c>
      <c r="T1043" s="18">
        <f t="shared" si="125"/>
        <v>446.99396819314325</v>
      </c>
      <c r="U1043" s="18">
        <f t="shared" si="126"/>
        <v>-358.43624065257518</v>
      </c>
    </row>
    <row r="1044" spans="15:21" x14ac:dyDescent="0.25">
      <c r="O1044" s="15">
        <v>1020</v>
      </c>
      <c r="P1044" s="15">
        <f t="shared" si="127"/>
        <v>5.5522918800616661E-2</v>
      </c>
      <c r="Q1044" s="15">
        <f t="shared" si="128"/>
        <v>5.5541992286944591E-2</v>
      </c>
      <c r="R1044" s="15">
        <f t="shared" si="123"/>
        <v>5.5532455543780626E-2</v>
      </c>
      <c r="S1044" s="18">
        <f t="shared" si="124"/>
        <v>-358.43624065257518</v>
      </c>
      <c r="T1044" s="18">
        <f t="shared" si="125"/>
        <v>446.99396819314325</v>
      </c>
      <c r="U1044" s="18">
        <f t="shared" si="126"/>
        <v>44.311754848723922</v>
      </c>
    </row>
    <row r="1045" spans="15:21" x14ac:dyDescent="0.25">
      <c r="O1045" s="15">
        <v>1021</v>
      </c>
      <c r="P1045" s="15">
        <f t="shared" si="127"/>
        <v>5.5522918800616661E-2</v>
      </c>
      <c r="Q1045" s="15">
        <f t="shared" si="128"/>
        <v>5.5532455543780626E-2</v>
      </c>
      <c r="R1045" s="15">
        <f t="shared" si="123"/>
        <v>5.5527687172198643E-2</v>
      </c>
      <c r="S1045" s="18">
        <f t="shared" si="124"/>
        <v>-358.43624065257518</v>
      </c>
      <c r="T1045" s="18">
        <f t="shared" si="125"/>
        <v>44.311754848723922</v>
      </c>
      <c r="U1045" s="18">
        <f t="shared" si="126"/>
        <v>-157.05401933347866</v>
      </c>
    </row>
    <row r="1046" spans="15:21" x14ac:dyDescent="0.25">
      <c r="O1046" s="15">
        <v>1022</v>
      </c>
      <c r="P1046" s="15">
        <f t="shared" si="127"/>
        <v>5.5527687172198643E-2</v>
      </c>
      <c r="Q1046" s="15">
        <f t="shared" si="128"/>
        <v>5.5532455543780626E-2</v>
      </c>
      <c r="R1046" s="15">
        <f t="shared" si="123"/>
        <v>5.5530071357989638E-2</v>
      </c>
      <c r="S1046" s="18">
        <f t="shared" si="124"/>
        <v>-157.05401933347866</v>
      </c>
      <c r="T1046" s="18">
        <f t="shared" si="125"/>
        <v>44.311754848723922</v>
      </c>
      <c r="U1046" s="18">
        <f t="shared" si="126"/>
        <v>-56.369076355117159</v>
      </c>
    </row>
    <row r="1047" spans="15:21" x14ac:dyDescent="0.25">
      <c r="O1047" s="15">
        <v>1023</v>
      </c>
      <c r="P1047" s="15">
        <f t="shared" si="127"/>
        <v>5.5530071357989638E-2</v>
      </c>
      <c r="Q1047" s="15">
        <f t="shared" si="128"/>
        <v>5.5532455543780626E-2</v>
      </c>
      <c r="R1047" s="15">
        <f t="shared" si="123"/>
        <v>5.5531263450885132E-2</v>
      </c>
      <c r="S1047" s="18">
        <f t="shared" si="124"/>
        <v>-56.369076355117159</v>
      </c>
      <c r="T1047" s="18">
        <f t="shared" si="125"/>
        <v>44.311754848723922</v>
      </c>
      <c r="U1047" s="18">
        <f t="shared" si="126"/>
        <v>-6.0281466950696085</v>
      </c>
    </row>
    <row r="1048" spans="15:21" x14ac:dyDescent="0.25">
      <c r="O1048" s="15">
        <v>1024</v>
      </c>
      <c r="P1048" s="15">
        <f t="shared" si="127"/>
        <v>5.5531263450885132E-2</v>
      </c>
      <c r="Q1048" s="15">
        <f t="shared" si="128"/>
        <v>5.5532455543780626E-2</v>
      </c>
      <c r="R1048" s="15">
        <f t="shared" si="123"/>
        <v>5.5531859497332879E-2</v>
      </c>
      <c r="S1048" s="18">
        <f t="shared" si="124"/>
        <v>-6.0281466950696085</v>
      </c>
      <c r="T1048" s="18">
        <f t="shared" si="125"/>
        <v>44.311754848723922</v>
      </c>
      <c r="U1048" s="18">
        <f t="shared" si="126"/>
        <v>19.14193263652578</v>
      </c>
    </row>
    <row r="1049" spans="15:21" x14ac:dyDescent="0.25">
      <c r="O1049" s="15">
        <v>1025</v>
      </c>
      <c r="P1049" s="15">
        <f t="shared" si="127"/>
        <v>5.5531263450885132E-2</v>
      </c>
      <c r="Q1049" s="15">
        <f t="shared" si="128"/>
        <v>5.5531859497332879E-2</v>
      </c>
      <c r="R1049" s="15">
        <f t="shared" si="123"/>
        <v>5.5531561474109009E-2</v>
      </c>
      <c r="S1049" s="18">
        <f t="shared" si="124"/>
        <v>-6.0281466950696085</v>
      </c>
      <c r="T1049" s="18">
        <f t="shared" si="125"/>
        <v>19.14193263652578</v>
      </c>
      <c r="U1049" s="18">
        <f t="shared" si="126"/>
        <v>6.5569249377172127</v>
      </c>
    </row>
    <row r="1050" spans="15:21" x14ac:dyDescent="0.25">
      <c r="O1050" s="15">
        <v>1026</v>
      </c>
      <c r="P1050" s="15">
        <f t="shared" si="127"/>
        <v>5.5531263450885132E-2</v>
      </c>
      <c r="Q1050" s="15">
        <f t="shared" si="128"/>
        <v>5.5531561474109009E-2</v>
      </c>
      <c r="R1050" s="15">
        <f t="shared" si="123"/>
        <v>5.5531412462497071E-2</v>
      </c>
      <c r="S1050" s="18">
        <f t="shared" si="124"/>
        <v>-6.0281466950696085</v>
      </c>
      <c r="T1050" s="18">
        <f t="shared" si="125"/>
        <v>6.5569249377172127</v>
      </c>
      <c r="U1050" s="18">
        <f t="shared" si="126"/>
        <v>0.26439706673954788</v>
      </c>
    </row>
    <row r="1051" spans="15:21" x14ac:dyDescent="0.25">
      <c r="O1051" s="15">
        <v>1027</v>
      </c>
      <c r="P1051" s="15">
        <f t="shared" si="127"/>
        <v>5.5531263450885132E-2</v>
      </c>
      <c r="Q1051" s="15">
        <f t="shared" si="128"/>
        <v>5.5531412462497071E-2</v>
      </c>
      <c r="R1051" s="15">
        <f t="shared" si="123"/>
        <v>5.5531337956691101E-2</v>
      </c>
      <c r="S1051" s="18">
        <f t="shared" si="124"/>
        <v>-6.0281466950696085</v>
      </c>
      <c r="T1051" s="18">
        <f t="shared" si="125"/>
        <v>0.26439706673954788</v>
      </c>
      <c r="U1051" s="18">
        <f t="shared" si="126"/>
        <v>-2.881872878510876</v>
      </c>
    </row>
    <row r="1052" spans="15:21" x14ac:dyDescent="0.25">
      <c r="O1052" s="15">
        <v>1028</v>
      </c>
      <c r="P1052" s="15">
        <f t="shared" si="127"/>
        <v>5.5531337956691101E-2</v>
      </c>
      <c r="Q1052" s="15">
        <f t="shared" si="128"/>
        <v>5.5531412462497071E-2</v>
      </c>
      <c r="R1052" s="15">
        <f t="shared" si="123"/>
        <v>5.5531375209594086E-2</v>
      </c>
      <c r="S1052" s="18">
        <f t="shared" si="124"/>
        <v>-2.881872878510876</v>
      </c>
      <c r="T1052" s="18">
        <f t="shared" si="125"/>
        <v>0.26439706673954788</v>
      </c>
      <c r="U1052" s="18">
        <f t="shared" si="126"/>
        <v>-1.3087372517161384</v>
      </c>
    </row>
    <row r="1053" spans="15:21" x14ac:dyDescent="0.25">
      <c r="O1053" s="15">
        <v>1029</v>
      </c>
      <c r="P1053" s="15">
        <f t="shared" si="127"/>
        <v>5.5531375209594086E-2</v>
      </c>
      <c r="Q1053" s="15">
        <f t="shared" si="128"/>
        <v>5.5531412462497071E-2</v>
      </c>
      <c r="R1053" s="15">
        <f t="shared" si="123"/>
        <v>5.5531393836045578E-2</v>
      </c>
      <c r="S1053" s="18">
        <f t="shared" si="124"/>
        <v>-1.3087372517161384</v>
      </c>
      <c r="T1053" s="18">
        <f t="shared" si="125"/>
        <v>0.26439706673954788</v>
      </c>
      <c r="U1053" s="18">
        <f t="shared" si="126"/>
        <v>-0.52216988075042536</v>
      </c>
    </row>
    <row r="1054" spans="15:21" x14ac:dyDescent="0.25">
      <c r="O1054" s="15">
        <v>1030</v>
      </c>
      <c r="P1054" s="15">
        <f t="shared" si="127"/>
        <v>5.5531393836045578E-2</v>
      </c>
      <c r="Q1054" s="15">
        <f t="shared" si="128"/>
        <v>5.5531412462497071E-2</v>
      </c>
      <c r="R1054" s="15">
        <f t="shared" si="123"/>
        <v>5.5531403149271324E-2</v>
      </c>
      <c r="S1054" s="18">
        <f t="shared" si="124"/>
        <v>-0.52216988075042536</v>
      </c>
      <c r="T1054" s="18">
        <f t="shared" si="125"/>
        <v>0.26439706673954788</v>
      </c>
      <c r="U1054" s="18">
        <f t="shared" si="126"/>
        <v>-0.12888637811010994</v>
      </c>
    </row>
    <row r="1055" spans="15:21" x14ac:dyDescent="0.25">
      <c r="O1055" s="15">
        <v>1031</v>
      </c>
      <c r="P1055" s="15">
        <f t="shared" si="127"/>
        <v>5.5531403149271324E-2</v>
      </c>
      <c r="Q1055" s="15">
        <f t="shared" si="128"/>
        <v>5.5531412462497071E-2</v>
      </c>
      <c r="R1055" s="15">
        <f t="shared" si="123"/>
        <v>5.5531407805884198E-2</v>
      </c>
      <c r="S1055" s="18">
        <f t="shared" si="124"/>
        <v>-0.12888637811010994</v>
      </c>
      <c r="T1055" s="18">
        <f t="shared" si="125"/>
        <v>0.26439706673954788</v>
      </c>
      <c r="U1055" s="18">
        <f t="shared" si="126"/>
        <v>6.7755447696981719E-2</v>
      </c>
    </row>
    <row r="1056" spans="15:21" x14ac:dyDescent="0.25">
      <c r="O1056" s="15">
        <v>1032</v>
      </c>
      <c r="P1056" s="15">
        <f t="shared" si="127"/>
        <v>5.5531403149271324E-2</v>
      </c>
      <c r="Q1056" s="15">
        <f t="shared" si="128"/>
        <v>5.5531407805884198E-2</v>
      </c>
      <c r="R1056" s="15">
        <f t="shared" si="123"/>
        <v>5.5531405477577761E-2</v>
      </c>
      <c r="S1056" s="18">
        <f t="shared" si="124"/>
        <v>-0.12888637811010994</v>
      </c>
      <c r="T1056" s="18">
        <f t="shared" si="125"/>
        <v>6.7755447696981719E-2</v>
      </c>
      <c r="U1056" s="18">
        <f t="shared" si="126"/>
        <v>-3.0565462876893434E-2</v>
      </c>
    </row>
    <row r="1057" spans="15:21" x14ac:dyDescent="0.25">
      <c r="O1057" s="15">
        <v>1033</v>
      </c>
      <c r="P1057" s="15">
        <f t="shared" si="127"/>
        <v>5.5531405477577761E-2</v>
      </c>
      <c r="Q1057" s="15">
        <f t="shared" si="128"/>
        <v>5.5531407805884198E-2</v>
      </c>
      <c r="R1057" s="15">
        <f t="shared" si="123"/>
        <v>5.5531406641730979E-2</v>
      </c>
      <c r="S1057" s="18">
        <f t="shared" si="124"/>
        <v>-3.0565462876893434E-2</v>
      </c>
      <c r="T1057" s="18">
        <f t="shared" si="125"/>
        <v>6.7755447696981719E-2</v>
      </c>
      <c r="U1057" s="18">
        <f t="shared" si="126"/>
        <v>1.8594893689623859E-2</v>
      </c>
    </row>
    <row r="1058" spans="15:21" x14ac:dyDescent="0.25">
      <c r="O1058" s="15">
        <v>1034</v>
      </c>
      <c r="P1058" s="15">
        <f t="shared" si="127"/>
        <v>5.5531405477577761E-2</v>
      </c>
      <c r="Q1058" s="15">
        <f t="shared" si="128"/>
        <v>5.5531406641730979E-2</v>
      </c>
      <c r="R1058" s="15">
        <f t="shared" si="123"/>
        <v>5.553140605965437E-2</v>
      </c>
      <c r="S1058" s="18">
        <f t="shared" si="124"/>
        <v>-3.0565462876893434E-2</v>
      </c>
      <c r="T1058" s="18">
        <f t="shared" si="125"/>
        <v>1.8594893689623859E-2</v>
      </c>
      <c r="U1058" s="18">
        <f t="shared" si="126"/>
        <v>-5.9851868049918266E-3</v>
      </c>
    </row>
    <row r="1059" spans="15:21" x14ac:dyDescent="0.25">
      <c r="O1059" s="15">
        <v>1035</v>
      </c>
      <c r="P1059" s="15">
        <f t="shared" si="127"/>
        <v>5.553140605965437E-2</v>
      </c>
      <c r="Q1059" s="15">
        <f t="shared" si="128"/>
        <v>5.5531406641730979E-2</v>
      </c>
      <c r="R1059" s="15">
        <f t="shared" si="123"/>
        <v>5.5531406350692675E-2</v>
      </c>
      <c r="S1059" s="18">
        <f t="shared" si="124"/>
        <v>-5.9851868049918266E-3</v>
      </c>
      <c r="T1059" s="18">
        <f t="shared" si="125"/>
        <v>1.8594893689623859E-2</v>
      </c>
      <c r="U1059" s="18">
        <f t="shared" si="126"/>
        <v>6.3048541405805736E-3</v>
      </c>
    </row>
    <row r="1060" spans="15:21" x14ac:dyDescent="0.25">
      <c r="O1060" s="15">
        <v>1036</v>
      </c>
      <c r="P1060" s="15">
        <f t="shared" si="127"/>
        <v>5.553140605965437E-2</v>
      </c>
      <c r="Q1060" s="15">
        <f t="shared" si="128"/>
        <v>5.5531406350692675E-2</v>
      </c>
      <c r="R1060" s="15">
        <f t="shared" si="123"/>
        <v>5.5531406205173522E-2</v>
      </c>
      <c r="S1060" s="18">
        <f t="shared" si="124"/>
        <v>-5.9851868049918266E-3</v>
      </c>
      <c r="T1060" s="18">
        <f t="shared" si="125"/>
        <v>6.3048541405805736E-3</v>
      </c>
      <c r="U1060" s="18">
        <f t="shared" si="126"/>
        <v>1.5973541303537786E-4</v>
      </c>
    </row>
    <row r="1061" spans="15:21" x14ac:dyDescent="0.25">
      <c r="O1061" s="15">
        <v>1037</v>
      </c>
      <c r="P1061" s="15">
        <f t="shared" si="127"/>
        <v>5.553140605965437E-2</v>
      </c>
      <c r="Q1061" s="15">
        <f t="shared" si="128"/>
        <v>5.5531406205173522E-2</v>
      </c>
      <c r="R1061" s="15">
        <f t="shared" si="123"/>
        <v>5.5531406132413946E-2</v>
      </c>
      <c r="S1061" s="18">
        <f t="shared" si="124"/>
        <v>-5.9851868049918266E-3</v>
      </c>
      <c r="T1061" s="18">
        <f t="shared" si="125"/>
        <v>1.5973541303537786E-4</v>
      </c>
      <c r="U1061" s="18">
        <f t="shared" si="126"/>
        <v>-2.9128244168532547E-3</v>
      </c>
    </row>
    <row r="1062" spans="15:21" x14ac:dyDescent="0.25">
      <c r="O1062" s="15">
        <v>1038</v>
      </c>
      <c r="P1062" s="15">
        <f t="shared" si="127"/>
        <v>5.5531406132413946E-2</v>
      </c>
      <c r="Q1062" s="15">
        <f t="shared" si="128"/>
        <v>5.5531406205173522E-2</v>
      </c>
      <c r="R1062" s="15">
        <f t="shared" si="123"/>
        <v>5.5531406168793734E-2</v>
      </c>
      <c r="S1062" s="18">
        <f t="shared" si="124"/>
        <v>-2.9128244168532547E-3</v>
      </c>
      <c r="T1062" s="18">
        <f t="shared" si="125"/>
        <v>1.5973541303537786E-4</v>
      </c>
      <c r="U1062" s="18">
        <f t="shared" si="126"/>
        <v>-1.3764448494839598E-3</v>
      </c>
    </row>
    <row r="1063" spans="15:21" x14ac:dyDescent="0.25">
      <c r="O1063" s="15">
        <v>1039</v>
      </c>
      <c r="P1063" s="15">
        <f t="shared" si="127"/>
        <v>5.5531406168793734E-2</v>
      </c>
      <c r="Q1063" s="15">
        <f t="shared" si="128"/>
        <v>5.5531406205173522E-2</v>
      </c>
      <c r="R1063" s="15">
        <f t="shared" si="123"/>
        <v>5.5531406186983628E-2</v>
      </c>
      <c r="S1063" s="18">
        <f t="shared" si="124"/>
        <v>-1.3764448494839598E-3</v>
      </c>
      <c r="T1063" s="18">
        <f t="shared" si="125"/>
        <v>1.5973541303537786E-4</v>
      </c>
      <c r="U1063" s="18">
        <f t="shared" si="126"/>
        <v>-6.0825809396192199E-4</v>
      </c>
    </row>
    <row r="1064" spans="15:21" x14ac:dyDescent="0.25">
      <c r="O1064" s="15">
        <v>1040</v>
      </c>
      <c r="P1064" s="15">
        <f t="shared" si="127"/>
        <v>5.5531406186983628E-2</v>
      </c>
      <c r="Q1064" s="15">
        <f t="shared" si="128"/>
        <v>5.5531406205173522E-2</v>
      </c>
      <c r="R1064" s="15">
        <f t="shared" si="123"/>
        <v>5.5531406196078575E-2</v>
      </c>
      <c r="S1064" s="18">
        <f t="shared" si="124"/>
        <v>-6.0825809396192199E-4</v>
      </c>
      <c r="T1064" s="18">
        <f t="shared" si="125"/>
        <v>1.5973541303537786E-4</v>
      </c>
      <c r="U1064" s="18">
        <f t="shared" si="126"/>
        <v>-2.2426110808737576E-4</v>
      </c>
    </row>
    <row r="1065" spans="15:21" x14ac:dyDescent="0.25">
      <c r="O1065" s="15">
        <v>1041</v>
      </c>
      <c r="P1065" s="15">
        <f t="shared" si="127"/>
        <v>5.5531406196078575E-2</v>
      </c>
      <c r="Q1065" s="15">
        <f t="shared" si="128"/>
        <v>5.5531406205173522E-2</v>
      </c>
      <c r="R1065" s="15">
        <f t="shared" si="123"/>
        <v>5.5531406200626049E-2</v>
      </c>
      <c r="S1065" s="18">
        <f t="shared" si="124"/>
        <v>-2.2426110808737576E-4</v>
      </c>
      <c r="T1065" s="18">
        <f t="shared" si="125"/>
        <v>1.5973541303537786E-4</v>
      </c>
      <c r="U1065" s="18">
        <f t="shared" si="126"/>
        <v>-3.2261682008538628E-5</v>
      </c>
    </row>
    <row r="1066" spans="15:21" x14ac:dyDescent="0.25">
      <c r="O1066" s="15">
        <v>1042</v>
      </c>
      <c r="P1066" s="15">
        <f t="shared" si="127"/>
        <v>5.5531406200626049E-2</v>
      </c>
      <c r="Q1066" s="15">
        <f t="shared" si="128"/>
        <v>5.5531406205173522E-2</v>
      </c>
      <c r="R1066" s="15">
        <f t="shared" si="123"/>
        <v>5.5531406202899786E-2</v>
      </c>
      <c r="S1066" s="18">
        <f t="shared" si="124"/>
        <v>-3.2261682008538628E-5</v>
      </c>
      <c r="T1066" s="18">
        <f t="shared" si="125"/>
        <v>1.5973541303537786E-4</v>
      </c>
      <c r="U1066" s="18">
        <f t="shared" si="126"/>
        <v>6.3735001731402008E-5</v>
      </c>
    </row>
    <row r="1067" spans="15:21" x14ac:dyDescent="0.25">
      <c r="O1067" s="15">
        <v>1043</v>
      </c>
      <c r="P1067" s="15">
        <f t="shared" si="127"/>
        <v>5.5531406200626049E-2</v>
      </c>
      <c r="Q1067" s="15">
        <f t="shared" si="128"/>
        <v>5.5531406202899786E-2</v>
      </c>
      <c r="R1067" s="15">
        <f t="shared" si="123"/>
        <v>5.5531406201762917E-2</v>
      </c>
      <c r="S1067" s="18">
        <f t="shared" si="124"/>
        <v>-3.2261682008538628E-5</v>
      </c>
      <c r="T1067" s="18">
        <f t="shared" si="125"/>
        <v>6.3735001731402008E-5</v>
      </c>
      <c r="U1067" s="18">
        <f t="shared" si="126"/>
        <v>1.5737591638753656E-5</v>
      </c>
    </row>
    <row r="1068" spans="15:21" x14ac:dyDescent="0.25">
      <c r="O1068" s="15">
        <v>1044</v>
      </c>
      <c r="P1068" s="15">
        <f t="shared" si="127"/>
        <v>5.5531406200626049E-2</v>
      </c>
      <c r="Q1068" s="15">
        <f t="shared" si="128"/>
        <v>5.5531406201762917E-2</v>
      </c>
      <c r="R1068" s="15">
        <f t="shared" si="123"/>
        <v>5.5531406201194483E-2</v>
      </c>
      <c r="S1068" s="18">
        <f t="shared" si="124"/>
        <v>-3.2261682008538628E-5</v>
      </c>
      <c r="T1068" s="18">
        <f t="shared" si="125"/>
        <v>1.5737591638753656E-5</v>
      </c>
      <c r="U1068" s="18">
        <f t="shared" si="126"/>
        <v>-8.2643750829447526E-6</v>
      </c>
    </row>
    <row r="1069" spans="15:21" x14ac:dyDescent="0.25">
      <c r="O1069" s="15">
        <v>1045</v>
      </c>
      <c r="P1069" s="15">
        <f t="shared" si="127"/>
        <v>5.5531406201194483E-2</v>
      </c>
      <c r="Q1069" s="15">
        <f t="shared" si="128"/>
        <v>5.5531406201762917E-2</v>
      </c>
      <c r="R1069" s="15">
        <f t="shared" si="123"/>
        <v>5.55314062014787E-2</v>
      </c>
      <c r="S1069" s="18">
        <f t="shared" si="124"/>
        <v>-8.2643750829447526E-6</v>
      </c>
      <c r="T1069" s="18">
        <f t="shared" si="125"/>
        <v>1.5737591638753656E-5</v>
      </c>
      <c r="U1069" s="18">
        <f t="shared" si="126"/>
        <v>3.8341636354743969E-6</v>
      </c>
    </row>
    <row r="1070" spans="15:21" x14ac:dyDescent="0.25">
      <c r="O1070" s="15">
        <v>1046</v>
      </c>
      <c r="P1070" s="15">
        <f t="shared" si="127"/>
        <v>5.5531406201194483E-2</v>
      </c>
      <c r="Q1070" s="15">
        <f t="shared" si="128"/>
        <v>5.55314062014787E-2</v>
      </c>
      <c r="R1070" s="15">
        <f t="shared" si="123"/>
        <v>5.5531406201336592E-2</v>
      </c>
      <c r="S1070" s="18">
        <f t="shared" si="124"/>
        <v>-8.2643750829447526E-6</v>
      </c>
      <c r="T1070" s="18">
        <f t="shared" si="125"/>
        <v>3.8341636354743969E-6</v>
      </c>
      <c r="U1070" s="18">
        <f t="shared" si="126"/>
        <v>-2.2141739464132115E-6</v>
      </c>
    </row>
    <row r="1071" spans="15:21" x14ac:dyDescent="0.25">
      <c r="O1071" s="15">
        <v>1047</v>
      </c>
      <c r="P1071" s="15">
        <f t="shared" si="127"/>
        <v>5.5531406201336592E-2</v>
      </c>
      <c r="Q1071" s="15">
        <f t="shared" si="128"/>
        <v>5.55314062014787E-2</v>
      </c>
      <c r="R1071" s="15">
        <f t="shared" si="123"/>
        <v>5.5531406201407646E-2</v>
      </c>
      <c r="S1071" s="18">
        <f t="shared" si="124"/>
        <v>-2.2141739464132115E-6</v>
      </c>
      <c r="T1071" s="18">
        <f t="shared" si="125"/>
        <v>3.8341636354743969E-6</v>
      </c>
      <c r="U1071" s="18">
        <f t="shared" si="126"/>
        <v>7.1383738031727262E-7</v>
      </c>
    </row>
    <row r="1072" spans="15:21" x14ac:dyDescent="0.25">
      <c r="O1072" s="15">
        <v>1048</v>
      </c>
      <c r="P1072" s="15">
        <f t="shared" si="127"/>
        <v>5.5531406201336592E-2</v>
      </c>
      <c r="Q1072" s="15">
        <f t="shared" si="128"/>
        <v>5.5531406201407646E-2</v>
      </c>
      <c r="R1072" s="15">
        <f t="shared" si="123"/>
        <v>5.5531406201372119E-2</v>
      </c>
      <c r="S1072" s="18">
        <f t="shared" si="124"/>
        <v>-2.2141739464132115E-6</v>
      </c>
      <c r="T1072" s="18">
        <f t="shared" si="125"/>
        <v>7.1383738031727262E-7</v>
      </c>
      <c r="U1072" s="18">
        <f t="shared" si="126"/>
        <v>-6.5354470279999077E-7</v>
      </c>
    </row>
    <row r="1073" spans="15:21" x14ac:dyDescent="0.25">
      <c r="O1073" s="15">
        <v>1049</v>
      </c>
      <c r="P1073" s="15">
        <f t="shared" si="127"/>
        <v>5.5531406201372119E-2</v>
      </c>
      <c r="Q1073" s="15">
        <f t="shared" si="128"/>
        <v>5.5531406201407646E-2</v>
      </c>
      <c r="R1073" s="15">
        <f t="shared" si="123"/>
        <v>5.5531406201389882E-2</v>
      </c>
      <c r="S1073" s="18">
        <f t="shared" si="124"/>
        <v>-6.5354470279999077E-7</v>
      </c>
      <c r="T1073" s="18">
        <f t="shared" si="125"/>
        <v>7.1383738031727262E-7</v>
      </c>
      <c r="U1073" s="18">
        <f t="shared" si="126"/>
        <v>3.0612227419624105E-8</v>
      </c>
    </row>
    <row r="1074" spans="15:21" x14ac:dyDescent="0.25">
      <c r="O1074" s="15">
        <v>1050</v>
      </c>
      <c r="P1074" s="15">
        <f t="shared" si="127"/>
        <v>5.5531406201372119E-2</v>
      </c>
      <c r="Q1074" s="15">
        <f t="shared" si="128"/>
        <v>5.5531406201389882E-2</v>
      </c>
      <c r="R1074" s="15">
        <f t="shared" si="123"/>
        <v>5.5531406201381001E-2</v>
      </c>
      <c r="S1074" s="18">
        <f t="shared" si="124"/>
        <v>-6.5354470279999077E-7</v>
      </c>
      <c r="T1074" s="18">
        <f t="shared" si="125"/>
        <v>3.0612227419624105E-8</v>
      </c>
      <c r="U1074" s="18">
        <f t="shared" si="126"/>
        <v>-3.1053423299454153E-7</v>
      </c>
    </row>
    <row r="1075" spans="15:21" x14ac:dyDescent="0.25">
      <c r="O1075" s="15">
        <v>1051</v>
      </c>
      <c r="P1075" s="15">
        <f t="shared" si="127"/>
        <v>5.5531406201381001E-2</v>
      </c>
      <c r="Q1075" s="15">
        <f t="shared" si="128"/>
        <v>5.5531406201389882E-2</v>
      </c>
      <c r="R1075" s="15">
        <f t="shared" si="123"/>
        <v>5.5531406201385441E-2</v>
      </c>
      <c r="S1075" s="18">
        <f t="shared" si="124"/>
        <v>-3.1053423299454153E-7</v>
      </c>
      <c r="T1075" s="18">
        <f t="shared" si="125"/>
        <v>3.0612227419624105E-8</v>
      </c>
      <c r="U1075" s="18">
        <f t="shared" si="126"/>
        <v>-2.3821530703571625E-7</v>
      </c>
    </row>
    <row r="1076" spans="15:21" x14ac:dyDescent="0.25">
      <c r="O1076" s="15">
        <v>1052</v>
      </c>
      <c r="P1076" s="15">
        <f t="shared" si="127"/>
        <v>5.5531406201385441E-2</v>
      </c>
      <c r="Q1076" s="15">
        <f t="shared" si="128"/>
        <v>5.5531406201389882E-2</v>
      </c>
      <c r="R1076" s="15">
        <f t="shared" si="123"/>
        <v>5.5531406201387662E-2</v>
      </c>
      <c r="S1076" s="18">
        <f t="shared" si="124"/>
        <v>-2.3821530703571625E-7</v>
      </c>
      <c r="T1076" s="18">
        <f t="shared" si="125"/>
        <v>3.0612227419624105E-8</v>
      </c>
      <c r="U1076" s="18">
        <f t="shared" si="126"/>
        <v>-1.0403437045169994E-7</v>
      </c>
    </row>
    <row r="1077" spans="15:21" x14ac:dyDescent="0.25">
      <c r="O1077" s="15">
        <v>1053</v>
      </c>
      <c r="P1077" s="15">
        <f t="shared" si="127"/>
        <v>5.5531406201387662E-2</v>
      </c>
      <c r="Q1077" s="15">
        <f t="shared" si="128"/>
        <v>5.5531406201389882E-2</v>
      </c>
      <c r="R1077" s="15">
        <f t="shared" si="123"/>
        <v>5.5531406201388772E-2</v>
      </c>
      <c r="S1077" s="18">
        <f t="shared" si="124"/>
        <v>-1.0403437045169994E-7</v>
      </c>
      <c r="T1077" s="18">
        <f t="shared" si="125"/>
        <v>3.0612227419624105E-8</v>
      </c>
      <c r="U1077" s="18">
        <f t="shared" si="126"/>
        <v>6.1310856835916638E-8</v>
      </c>
    </row>
    <row r="1078" spans="15:21" x14ac:dyDescent="0.25">
      <c r="O1078" s="15">
        <v>1054</v>
      </c>
      <c r="P1078" s="15">
        <f t="shared" si="127"/>
        <v>5.5531406201387662E-2</v>
      </c>
      <c r="Q1078" s="15">
        <f t="shared" si="128"/>
        <v>5.5531406201388772E-2</v>
      </c>
      <c r="R1078" s="15">
        <f t="shared" si="123"/>
        <v>5.5531406201388217E-2</v>
      </c>
      <c r="S1078" s="18">
        <f t="shared" si="124"/>
        <v>-1.0403437045169994E-7</v>
      </c>
      <c r="T1078" s="18">
        <f t="shared" si="125"/>
        <v>6.1310856835916638E-8</v>
      </c>
      <c r="U1078" s="18">
        <f t="shared" si="126"/>
        <v>-1.2310601960052736E-7</v>
      </c>
    </row>
    <row r="1079" spans="15:21" x14ac:dyDescent="0.25">
      <c r="O1079" s="15">
        <v>1055</v>
      </c>
      <c r="P1079" s="15">
        <f t="shared" si="127"/>
        <v>5.5531406201388217E-2</v>
      </c>
      <c r="Q1079" s="15">
        <f t="shared" si="128"/>
        <v>5.5531406201388772E-2</v>
      </c>
      <c r="R1079" s="15">
        <f t="shared" si="123"/>
        <v>5.5531406201388495E-2</v>
      </c>
      <c r="S1079" s="18">
        <f t="shared" si="124"/>
        <v>-1.2310601960052736E-7</v>
      </c>
      <c r="T1079" s="18">
        <f t="shared" si="125"/>
        <v>6.1310856835916638E-8</v>
      </c>
      <c r="U1079" s="18">
        <f t="shared" si="126"/>
        <v>-1.3054977898718789E-7</v>
      </c>
    </row>
    <row r="1080" spans="15:21" x14ac:dyDescent="0.25">
      <c r="O1080" s="15">
        <v>1056</v>
      </c>
      <c r="P1080" s="15">
        <f t="shared" si="127"/>
        <v>5.5531406201388495E-2</v>
      </c>
      <c r="Q1080" s="15">
        <f t="shared" si="128"/>
        <v>5.5531406201388772E-2</v>
      </c>
      <c r="R1080" s="15">
        <f t="shared" si="123"/>
        <v>5.5531406201388633E-2</v>
      </c>
      <c r="S1080" s="18">
        <f t="shared" si="124"/>
        <v>-1.3054977898718789E-7</v>
      </c>
      <c r="T1080" s="18">
        <f t="shared" si="125"/>
        <v>6.1310856835916638E-8</v>
      </c>
      <c r="U1080" s="18">
        <f t="shared" si="126"/>
        <v>6.1310856835916638E-8</v>
      </c>
    </row>
    <row r="1081" spans="15:21" x14ac:dyDescent="0.25">
      <c r="O1081" s="15">
        <v>1057</v>
      </c>
      <c r="P1081" s="15">
        <f t="shared" si="127"/>
        <v>5.5531406201388495E-2</v>
      </c>
      <c r="Q1081" s="15">
        <f t="shared" si="128"/>
        <v>5.5531406201388633E-2</v>
      </c>
      <c r="R1081" s="15">
        <f t="shared" si="123"/>
        <v>5.5531406201388564E-2</v>
      </c>
      <c r="S1081" s="18">
        <f t="shared" si="124"/>
        <v>-1.3054977898718789E-7</v>
      </c>
      <c r="T1081" s="18">
        <f t="shared" si="125"/>
        <v>6.1310856835916638E-8</v>
      </c>
      <c r="U1081" s="18">
        <f t="shared" si="126"/>
        <v>-1.3054977898718789E-7</v>
      </c>
    </row>
    <row r="1082" spans="15:21" x14ac:dyDescent="0.25">
      <c r="O1082" s="15">
        <v>1058</v>
      </c>
      <c r="P1082" s="15">
        <f t="shared" si="127"/>
        <v>5.5531406201388564E-2</v>
      </c>
      <c r="Q1082" s="15">
        <f t="shared" si="128"/>
        <v>5.5531406201388633E-2</v>
      </c>
      <c r="R1082" s="15">
        <f t="shared" si="123"/>
        <v>5.5531406201388599E-2</v>
      </c>
      <c r="S1082" s="18">
        <f t="shared" si="124"/>
        <v>-1.3054977898718789E-7</v>
      </c>
      <c r="T1082" s="18">
        <f t="shared" si="125"/>
        <v>6.1310856835916638E-8</v>
      </c>
      <c r="U1082" s="18">
        <f t="shared" si="126"/>
        <v>-1.3054977898718789E-7</v>
      </c>
    </row>
    <row r="1083" spans="15:21" x14ac:dyDescent="0.25">
      <c r="O1083" s="15">
        <v>1059</v>
      </c>
      <c r="P1083" s="15">
        <f t="shared" si="127"/>
        <v>5.5531406201388599E-2</v>
      </c>
      <c r="Q1083" s="15">
        <f t="shared" si="128"/>
        <v>5.5531406201388633E-2</v>
      </c>
      <c r="R1083" s="15">
        <f t="shared" si="123"/>
        <v>5.5531406201388619E-2</v>
      </c>
      <c r="S1083" s="18">
        <f t="shared" si="124"/>
        <v>-1.3054977898718789E-7</v>
      </c>
      <c r="T1083" s="18">
        <f t="shared" si="125"/>
        <v>6.1310856835916638E-8</v>
      </c>
      <c r="U1083" s="18">
        <f t="shared" si="126"/>
        <v>-1.3054977898718789E-7</v>
      </c>
    </row>
    <row r="1084" spans="15:21" x14ac:dyDescent="0.25">
      <c r="O1084" s="15">
        <v>1060</v>
      </c>
      <c r="P1084" s="15">
        <f t="shared" si="127"/>
        <v>5.5531406201388619E-2</v>
      </c>
      <c r="Q1084" s="15">
        <f t="shared" si="128"/>
        <v>5.5531406201388633E-2</v>
      </c>
      <c r="R1084" s="15">
        <f t="shared" si="123"/>
        <v>5.5531406201388626E-2</v>
      </c>
      <c r="S1084" s="18">
        <f t="shared" si="124"/>
        <v>-1.3054977898718789E-7</v>
      </c>
      <c r="T1084" s="18">
        <f t="shared" si="125"/>
        <v>6.1310856835916638E-8</v>
      </c>
      <c r="U1084" s="18">
        <f t="shared" si="126"/>
        <v>-1.3054977898718789E-7</v>
      </c>
    </row>
    <row r="1085" spans="15:21" x14ac:dyDescent="0.25">
      <c r="O1085" s="15">
        <v>1061</v>
      </c>
      <c r="P1085" s="15">
        <f t="shared" si="127"/>
        <v>5.5531406201388626E-2</v>
      </c>
      <c r="Q1085" s="15">
        <f t="shared" si="128"/>
        <v>5.5531406201388633E-2</v>
      </c>
      <c r="R1085" s="15">
        <f t="shared" si="123"/>
        <v>5.5531406201388633E-2</v>
      </c>
      <c r="S1085" s="18">
        <f t="shared" si="124"/>
        <v>-1.3054977898718789E-7</v>
      </c>
      <c r="T1085" s="18">
        <f t="shared" si="125"/>
        <v>6.1310856835916638E-8</v>
      </c>
      <c r="U1085" s="18">
        <f t="shared" si="126"/>
        <v>6.1310856835916638E-8</v>
      </c>
    </row>
    <row r="1086" spans="15:21" x14ac:dyDescent="0.25">
      <c r="O1086" s="15">
        <v>1062</v>
      </c>
      <c r="P1086" s="15">
        <f t="shared" si="127"/>
        <v>5.5531406201388626E-2</v>
      </c>
      <c r="Q1086" s="15">
        <f t="shared" si="128"/>
        <v>5.5531406201388633E-2</v>
      </c>
      <c r="R1086" s="15">
        <f t="shared" si="123"/>
        <v>5.5531406201388633E-2</v>
      </c>
      <c r="S1086" s="18">
        <f t="shared" si="124"/>
        <v>-1.3054977898718789E-7</v>
      </c>
      <c r="T1086" s="18">
        <f t="shared" si="125"/>
        <v>6.1310856835916638E-8</v>
      </c>
      <c r="U1086" s="18">
        <f t="shared" si="126"/>
        <v>6.1310856835916638E-8</v>
      </c>
    </row>
    <row r="1087" spans="15:21" x14ac:dyDescent="0.25">
      <c r="O1087" s="15">
        <v>1063</v>
      </c>
      <c r="P1087" s="15">
        <f t="shared" si="127"/>
        <v>5.5531406201388626E-2</v>
      </c>
      <c r="Q1087" s="15">
        <f t="shared" si="128"/>
        <v>5.5531406201388633E-2</v>
      </c>
      <c r="R1087" s="15">
        <f t="shared" si="123"/>
        <v>5.5531406201388633E-2</v>
      </c>
      <c r="S1087" s="18">
        <f t="shared" si="124"/>
        <v>-1.3054977898718789E-7</v>
      </c>
      <c r="T1087" s="18">
        <f t="shared" si="125"/>
        <v>6.1310856835916638E-8</v>
      </c>
      <c r="U1087" s="18">
        <f t="shared" si="126"/>
        <v>6.1310856835916638E-8</v>
      </c>
    </row>
    <row r="1088" spans="15:21" x14ac:dyDescent="0.25">
      <c r="O1088" s="15">
        <v>1064</v>
      </c>
      <c r="P1088" s="15">
        <f t="shared" si="127"/>
        <v>5.5531406201388626E-2</v>
      </c>
      <c r="Q1088" s="15">
        <f t="shared" si="128"/>
        <v>5.5531406201388633E-2</v>
      </c>
      <c r="R1088" s="15">
        <f t="shared" si="123"/>
        <v>5.5531406201388633E-2</v>
      </c>
      <c r="S1088" s="18">
        <f t="shared" si="124"/>
        <v>-1.3054977898718789E-7</v>
      </c>
      <c r="T1088" s="18">
        <f t="shared" si="125"/>
        <v>6.1310856835916638E-8</v>
      </c>
      <c r="U1088" s="18">
        <f t="shared" si="126"/>
        <v>6.1310856835916638E-8</v>
      </c>
    </row>
    <row r="1089" spans="15:21" x14ac:dyDescent="0.25">
      <c r="O1089" s="15">
        <v>1065</v>
      </c>
      <c r="P1089" s="15">
        <f t="shared" si="127"/>
        <v>5.5531406201388626E-2</v>
      </c>
      <c r="Q1089" s="15">
        <f t="shared" si="128"/>
        <v>5.5531406201388633E-2</v>
      </c>
      <c r="R1089" s="15">
        <f t="shared" ref="R1089:R1152" si="129">(P1089+Q1089)/2</f>
        <v>5.5531406201388633E-2</v>
      </c>
      <c r="S1089" s="18">
        <f t="shared" ref="S1089:S1152" si="130">$E$4-$E$10-$E$11*(1+P1089)^(-$E$5/$L$9)-$E$13*(1+P1089)^(-$H$13/$L$9)-$E$14*(1+P1089)^(-$H$14/$L$9) +$E$24*((1-(1+P1089)^(-$E$5/$L$9)))/(1-(1+P1089)^(1/$L$9))+$E$17*((1-(1+P1089)^(-$J$20/$M$4)))/(1-(1+P1089)^(1/$M$4))+$E$18*((1-(1+P1089)^(-$J$21/$M$5)))/(1-(1+P1089)^(1/$M$5))+$E$19*((1-(1+P1089)^(-$J$22/$M$6)))/(1-(1+P1089)^(1/$M$6))+$E$20*((1-(1+P1089)^(-$J$23/$M$7)))/(1-(1+P1089)^(1/$M$7))+$E$21*((1-(1+P1089)^(-$J$24/$M$8)))/(1-(1+P1089)^(1/$M$8))</f>
        <v>-1.3054977898718789E-7</v>
      </c>
      <c r="T1089" s="18">
        <f t="shared" ref="T1089:T1152" si="131">$E$4-$E$10-$E$11*(1+Q1089)^(-$E$5/$L$9)-$E$13*(1+Q1089)^(-$H$13/$L$9)-$E$14*(1+Q1089)^(-$H$14/$L$9) +$E$24*((1-(1+Q1089)^(-$E$5/$L$9)))/(1-(1+Q1089)^(1/$L$9))+$E$17*((1-(1+Q1089)^(-$J$20/$M$4)))/(1-(1+Q1089)^(1/$M$4))+$E$18*((1-(1+Q1089)^(-$J$21/$M$5)))/(1-(1+Q1089)^(1/$M$5))+$E$19*((1-(1+Q1089)^(-$J$22/$M$6)))/(1-(1+Q1089)^(1/$M$6))+$E$20*((1-(1+Q1089)^(-$J$23/$M$7)))/(1-(1+Q1089)^(1/$M$7))+$E$21*((1-(1+Q1089)^(-$J$24/$M$8)))/(1-(1+Q1089)^(1/$M$8))</f>
        <v>6.1310856835916638E-8</v>
      </c>
      <c r="U1089" s="18">
        <f t="shared" ref="U1089:U1152" si="132">$E$4-$E$10-$E$11*(1+R1089)^(-$E$5/$L$9)-$E$13*(1+R1089)^(-$H$13/$L$9)-$E$14*(1+R1089)^(-$H$14/$L$9) +$E$24*((1-(1+R1089)^(-$E$5/$L$9)))/(1-(1+R1089)^(1/$L$9))+$E$17*((1-(1+R1089)^(-$J$20/$M$4)))/(1-(1+R1089)^(1/$M$4))+$E$18*((1-(1+R1089)^(-$J$21/$M$5)))/(1-(1+R1089)^(1/$M$5))+$E$19*((1-(1+R1089)^(-$J$22/$M$6)))/(1-(1+R1089)^(1/$M$6))+$E$20*((1-(1+R1089)^(-$J$23/$M$7)))/(1-(1+R1089)^(1/$M$7))+$E$21*((1-(1+R1089)^(-$J$24/$M$8)))/(1-(1+R1089)^(1/$M$8))</f>
        <v>6.1310856835916638E-8</v>
      </c>
    </row>
    <row r="1090" spans="15:21" x14ac:dyDescent="0.25">
      <c r="O1090" s="15">
        <v>1066</v>
      </c>
      <c r="P1090" s="15">
        <f t="shared" ref="P1090:P1124" si="133">IF(S1089*U1089&gt;=0,R1089,P1089)</f>
        <v>5.5531406201388626E-2</v>
      </c>
      <c r="Q1090" s="15">
        <f t="shared" ref="Q1090:Q1124" si="134">IF(T1089*U1089&gt;=0,R1089,Q1089)</f>
        <v>5.5531406201388633E-2</v>
      </c>
      <c r="R1090" s="15">
        <f t="shared" si="129"/>
        <v>5.5531406201388633E-2</v>
      </c>
      <c r="S1090" s="18">
        <f t="shared" si="130"/>
        <v>-1.3054977898718789E-7</v>
      </c>
      <c r="T1090" s="18">
        <f t="shared" si="131"/>
        <v>6.1310856835916638E-8</v>
      </c>
      <c r="U1090" s="18">
        <f t="shared" si="132"/>
        <v>6.1310856835916638E-8</v>
      </c>
    </row>
    <row r="1091" spans="15:21" x14ac:dyDescent="0.25">
      <c r="O1091" s="15">
        <v>1067</v>
      </c>
      <c r="P1091" s="15">
        <f t="shared" si="133"/>
        <v>5.5531406201388626E-2</v>
      </c>
      <c r="Q1091" s="15">
        <f t="shared" si="134"/>
        <v>5.5531406201388633E-2</v>
      </c>
      <c r="R1091" s="15">
        <f t="shared" si="129"/>
        <v>5.5531406201388633E-2</v>
      </c>
      <c r="S1091" s="18">
        <f t="shared" si="130"/>
        <v>-1.3054977898718789E-7</v>
      </c>
      <c r="T1091" s="18">
        <f t="shared" si="131"/>
        <v>6.1310856835916638E-8</v>
      </c>
      <c r="U1091" s="18">
        <f t="shared" si="132"/>
        <v>6.1310856835916638E-8</v>
      </c>
    </row>
    <row r="1092" spans="15:21" x14ac:dyDescent="0.25">
      <c r="O1092" s="15">
        <v>1068</v>
      </c>
      <c r="P1092" s="15">
        <f t="shared" si="133"/>
        <v>5.5531406201388626E-2</v>
      </c>
      <c r="Q1092" s="15">
        <f t="shared" si="134"/>
        <v>5.5531406201388633E-2</v>
      </c>
      <c r="R1092" s="15">
        <f t="shared" si="129"/>
        <v>5.5531406201388633E-2</v>
      </c>
      <c r="S1092" s="18">
        <f t="shared" si="130"/>
        <v>-1.3054977898718789E-7</v>
      </c>
      <c r="T1092" s="18">
        <f t="shared" si="131"/>
        <v>6.1310856835916638E-8</v>
      </c>
      <c r="U1092" s="18">
        <f t="shared" si="132"/>
        <v>6.1310856835916638E-8</v>
      </c>
    </row>
    <row r="1093" spans="15:21" x14ac:dyDescent="0.25">
      <c r="O1093" s="15">
        <v>1069</v>
      </c>
      <c r="P1093" s="15">
        <f t="shared" si="133"/>
        <v>5.5531406201388626E-2</v>
      </c>
      <c r="Q1093" s="15">
        <f t="shared" si="134"/>
        <v>5.5531406201388633E-2</v>
      </c>
      <c r="R1093" s="15">
        <f t="shared" si="129"/>
        <v>5.5531406201388633E-2</v>
      </c>
      <c r="S1093" s="18">
        <f t="shared" si="130"/>
        <v>-1.3054977898718789E-7</v>
      </c>
      <c r="T1093" s="18">
        <f t="shared" si="131"/>
        <v>6.1310856835916638E-8</v>
      </c>
      <c r="U1093" s="18">
        <f t="shared" si="132"/>
        <v>6.1310856835916638E-8</v>
      </c>
    </row>
    <row r="1094" spans="15:21" x14ac:dyDescent="0.25">
      <c r="O1094" s="15">
        <v>1070</v>
      </c>
      <c r="P1094" s="15">
        <f t="shared" si="133"/>
        <v>5.5531406201388626E-2</v>
      </c>
      <c r="Q1094" s="15">
        <f t="shared" si="134"/>
        <v>5.5531406201388633E-2</v>
      </c>
      <c r="R1094" s="15">
        <f t="shared" si="129"/>
        <v>5.5531406201388633E-2</v>
      </c>
      <c r="S1094" s="18">
        <f t="shared" si="130"/>
        <v>-1.3054977898718789E-7</v>
      </c>
      <c r="T1094" s="18">
        <f t="shared" si="131"/>
        <v>6.1310856835916638E-8</v>
      </c>
      <c r="U1094" s="18">
        <f t="shared" si="132"/>
        <v>6.1310856835916638E-8</v>
      </c>
    </row>
    <row r="1095" spans="15:21" x14ac:dyDescent="0.25">
      <c r="O1095" s="15">
        <v>1071</v>
      </c>
      <c r="P1095" s="15">
        <f t="shared" si="133"/>
        <v>5.5531406201388626E-2</v>
      </c>
      <c r="Q1095" s="15">
        <f t="shared" si="134"/>
        <v>5.5531406201388633E-2</v>
      </c>
      <c r="R1095" s="15">
        <f t="shared" si="129"/>
        <v>5.5531406201388633E-2</v>
      </c>
      <c r="S1095" s="18">
        <f t="shared" si="130"/>
        <v>-1.3054977898718789E-7</v>
      </c>
      <c r="T1095" s="18">
        <f t="shared" si="131"/>
        <v>6.1310856835916638E-8</v>
      </c>
      <c r="U1095" s="18">
        <f t="shared" si="132"/>
        <v>6.1310856835916638E-8</v>
      </c>
    </row>
    <row r="1096" spans="15:21" x14ac:dyDescent="0.25">
      <c r="O1096" s="15">
        <v>1072</v>
      </c>
      <c r="P1096" s="15">
        <f t="shared" si="133"/>
        <v>5.5531406201388626E-2</v>
      </c>
      <c r="Q1096" s="15">
        <f t="shared" si="134"/>
        <v>5.5531406201388633E-2</v>
      </c>
      <c r="R1096" s="15">
        <f t="shared" si="129"/>
        <v>5.5531406201388633E-2</v>
      </c>
      <c r="S1096" s="18">
        <f t="shared" si="130"/>
        <v>-1.3054977898718789E-7</v>
      </c>
      <c r="T1096" s="18">
        <f t="shared" si="131"/>
        <v>6.1310856835916638E-8</v>
      </c>
      <c r="U1096" s="18">
        <f t="shared" si="132"/>
        <v>6.1310856835916638E-8</v>
      </c>
    </row>
    <row r="1097" spans="15:21" x14ac:dyDescent="0.25">
      <c r="O1097" s="15">
        <v>1073</v>
      </c>
      <c r="P1097" s="15">
        <f t="shared" si="133"/>
        <v>5.5531406201388626E-2</v>
      </c>
      <c r="Q1097" s="15">
        <f t="shared" si="134"/>
        <v>5.5531406201388633E-2</v>
      </c>
      <c r="R1097" s="15">
        <f t="shared" si="129"/>
        <v>5.5531406201388633E-2</v>
      </c>
      <c r="S1097" s="18">
        <f t="shared" si="130"/>
        <v>-1.3054977898718789E-7</v>
      </c>
      <c r="T1097" s="18">
        <f t="shared" si="131"/>
        <v>6.1310856835916638E-8</v>
      </c>
      <c r="U1097" s="18">
        <f t="shared" si="132"/>
        <v>6.1310856835916638E-8</v>
      </c>
    </row>
    <row r="1098" spans="15:21" x14ac:dyDescent="0.25">
      <c r="O1098" s="15">
        <v>1074</v>
      </c>
      <c r="P1098" s="15">
        <f t="shared" si="133"/>
        <v>5.5531406201388626E-2</v>
      </c>
      <c r="Q1098" s="15">
        <f t="shared" si="134"/>
        <v>5.5531406201388633E-2</v>
      </c>
      <c r="R1098" s="15">
        <f t="shared" si="129"/>
        <v>5.5531406201388633E-2</v>
      </c>
      <c r="S1098" s="18">
        <f t="shared" si="130"/>
        <v>-1.3054977898718789E-7</v>
      </c>
      <c r="T1098" s="18">
        <f t="shared" si="131"/>
        <v>6.1310856835916638E-8</v>
      </c>
      <c r="U1098" s="18">
        <f t="shared" si="132"/>
        <v>6.1310856835916638E-8</v>
      </c>
    </row>
    <row r="1099" spans="15:21" x14ac:dyDescent="0.25">
      <c r="O1099" s="15">
        <v>1075</v>
      </c>
      <c r="P1099" s="15">
        <f t="shared" si="133"/>
        <v>5.5531406201388626E-2</v>
      </c>
      <c r="Q1099" s="15">
        <f t="shared" si="134"/>
        <v>5.5531406201388633E-2</v>
      </c>
      <c r="R1099" s="15">
        <f t="shared" si="129"/>
        <v>5.5531406201388633E-2</v>
      </c>
      <c r="S1099" s="18">
        <f t="shared" si="130"/>
        <v>-1.3054977898718789E-7</v>
      </c>
      <c r="T1099" s="18">
        <f t="shared" si="131"/>
        <v>6.1310856835916638E-8</v>
      </c>
      <c r="U1099" s="18">
        <f t="shared" si="132"/>
        <v>6.1310856835916638E-8</v>
      </c>
    </row>
    <row r="1100" spans="15:21" x14ac:dyDescent="0.25">
      <c r="O1100" s="15">
        <v>1076</v>
      </c>
      <c r="P1100" s="15">
        <f t="shared" si="133"/>
        <v>5.5531406201388626E-2</v>
      </c>
      <c r="Q1100" s="15">
        <f t="shared" si="134"/>
        <v>5.5531406201388633E-2</v>
      </c>
      <c r="R1100" s="15">
        <f t="shared" si="129"/>
        <v>5.5531406201388633E-2</v>
      </c>
      <c r="S1100" s="18">
        <f t="shared" si="130"/>
        <v>-1.3054977898718789E-7</v>
      </c>
      <c r="T1100" s="18">
        <f t="shared" si="131"/>
        <v>6.1310856835916638E-8</v>
      </c>
      <c r="U1100" s="18">
        <f t="shared" si="132"/>
        <v>6.1310856835916638E-8</v>
      </c>
    </row>
    <row r="1101" spans="15:21" x14ac:dyDescent="0.25">
      <c r="O1101" s="15">
        <v>1077</v>
      </c>
      <c r="P1101" s="15">
        <f t="shared" si="133"/>
        <v>5.5531406201388626E-2</v>
      </c>
      <c r="Q1101" s="15">
        <f t="shared" si="134"/>
        <v>5.5531406201388633E-2</v>
      </c>
      <c r="R1101" s="15">
        <f t="shared" si="129"/>
        <v>5.5531406201388633E-2</v>
      </c>
      <c r="S1101" s="18">
        <f t="shared" si="130"/>
        <v>-1.3054977898718789E-7</v>
      </c>
      <c r="T1101" s="18">
        <f t="shared" si="131"/>
        <v>6.1310856835916638E-8</v>
      </c>
      <c r="U1101" s="18">
        <f t="shared" si="132"/>
        <v>6.1310856835916638E-8</v>
      </c>
    </row>
    <row r="1102" spans="15:21" x14ac:dyDescent="0.25">
      <c r="O1102" s="15">
        <v>1078</v>
      </c>
      <c r="P1102" s="15">
        <f t="shared" si="133"/>
        <v>5.5531406201388626E-2</v>
      </c>
      <c r="Q1102" s="15">
        <f t="shared" si="134"/>
        <v>5.5531406201388633E-2</v>
      </c>
      <c r="R1102" s="15">
        <f t="shared" si="129"/>
        <v>5.5531406201388633E-2</v>
      </c>
      <c r="S1102" s="18">
        <f t="shared" si="130"/>
        <v>-1.3054977898718789E-7</v>
      </c>
      <c r="T1102" s="18">
        <f t="shared" si="131"/>
        <v>6.1310856835916638E-8</v>
      </c>
      <c r="U1102" s="18">
        <f t="shared" si="132"/>
        <v>6.1310856835916638E-8</v>
      </c>
    </row>
    <row r="1103" spans="15:21" x14ac:dyDescent="0.25">
      <c r="O1103" s="15">
        <v>1079</v>
      </c>
      <c r="P1103" s="15">
        <f t="shared" si="133"/>
        <v>5.5531406201388626E-2</v>
      </c>
      <c r="Q1103" s="15">
        <f t="shared" si="134"/>
        <v>5.5531406201388633E-2</v>
      </c>
      <c r="R1103" s="15">
        <f t="shared" si="129"/>
        <v>5.5531406201388633E-2</v>
      </c>
      <c r="S1103" s="18">
        <f t="shared" si="130"/>
        <v>-1.3054977898718789E-7</v>
      </c>
      <c r="T1103" s="18">
        <f t="shared" si="131"/>
        <v>6.1310856835916638E-8</v>
      </c>
      <c r="U1103" s="18">
        <f t="shared" si="132"/>
        <v>6.1310856835916638E-8</v>
      </c>
    </row>
    <row r="1104" spans="15:21" x14ac:dyDescent="0.25">
      <c r="O1104" s="15">
        <v>1080</v>
      </c>
      <c r="P1104" s="15">
        <f t="shared" si="133"/>
        <v>5.5531406201388626E-2</v>
      </c>
      <c r="Q1104" s="15">
        <f t="shared" si="134"/>
        <v>5.5531406201388633E-2</v>
      </c>
      <c r="R1104" s="15">
        <f t="shared" si="129"/>
        <v>5.5531406201388633E-2</v>
      </c>
      <c r="S1104" s="18">
        <f t="shared" si="130"/>
        <v>-1.3054977898718789E-7</v>
      </c>
      <c r="T1104" s="18">
        <f t="shared" si="131"/>
        <v>6.1310856835916638E-8</v>
      </c>
      <c r="U1104" s="18">
        <f t="shared" si="132"/>
        <v>6.1310856835916638E-8</v>
      </c>
    </row>
    <row r="1105" spans="15:21" x14ac:dyDescent="0.25">
      <c r="O1105" s="15">
        <v>1081</v>
      </c>
      <c r="P1105" s="15">
        <f t="shared" si="133"/>
        <v>5.5531406201388626E-2</v>
      </c>
      <c r="Q1105" s="15">
        <f t="shared" si="134"/>
        <v>5.5531406201388633E-2</v>
      </c>
      <c r="R1105" s="15">
        <f t="shared" si="129"/>
        <v>5.5531406201388633E-2</v>
      </c>
      <c r="S1105" s="18">
        <f t="shared" si="130"/>
        <v>-1.3054977898718789E-7</v>
      </c>
      <c r="T1105" s="18">
        <f t="shared" si="131"/>
        <v>6.1310856835916638E-8</v>
      </c>
      <c r="U1105" s="18">
        <f t="shared" si="132"/>
        <v>6.1310856835916638E-8</v>
      </c>
    </row>
    <row r="1106" spans="15:21" x14ac:dyDescent="0.25">
      <c r="O1106" s="15">
        <v>1082</v>
      </c>
      <c r="P1106" s="15">
        <f t="shared" si="133"/>
        <v>5.5531406201388626E-2</v>
      </c>
      <c r="Q1106" s="15">
        <f t="shared" si="134"/>
        <v>5.5531406201388633E-2</v>
      </c>
      <c r="R1106" s="15">
        <f t="shared" si="129"/>
        <v>5.5531406201388633E-2</v>
      </c>
      <c r="S1106" s="18">
        <f t="shared" si="130"/>
        <v>-1.3054977898718789E-7</v>
      </c>
      <c r="T1106" s="18">
        <f t="shared" si="131"/>
        <v>6.1310856835916638E-8</v>
      </c>
      <c r="U1106" s="18">
        <f t="shared" si="132"/>
        <v>6.1310856835916638E-8</v>
      </c>
    </row>
    <row r="1107" spans="15:21" x14ac:dyDescent="0.25">
      <c r="O1107" s="15">
        <v>1083</v>
      </c>
      <c r="P1107" s="15">
        <f t="shared" si="133"/>
        <v>5.5531406201388626E-2</v>
      </c>
      <c r="Q1107" s="15">
        <f t="shared" si="134"/>
        <v>5.5531406201388633E-2</v>
      </c>
      <c r="R1107" s="15">
        <f t="shared" si="129"/>
        <v>5.5531406201388633E-2</v>
      </c>
      <c r="S1107" s="18">
        <f t="shared" si="130"/>
        <v>-1.3054977898718789E-7</v>
      </c>
      <c r="T1107" s="18">
        <f t="shared" si="131"/>
        <v>6.1310856835916638E-8</v>
      </c>
      <c r="U1107" s="18">
        <f t="shared" si="132"/>
        <v>6.1310856835916638E-8</v>
      </c>
    </row>
    <row r="1108" spans="15:21" x14ac:dyDescent="0.25">
      <c r="O1108" s="15">
        <v>1084</v>
      </c>
      <c r="P1108" s="15">
        <f t="shared" si="133"/>
        <v>5.5531406201388626E-2</v>
      </c>
      <c r="Q1108" s="15">
        <f t="shared" si="134"/>
        <v>5.5531406201388633E-2</v>
      </c>
      <c r="R1108" s="15">
        <f t="shared" si="129"/>
        <v>5.5531406201388633E-2</v>
      </c>
      <c r="S1108" s="18">
        <f t="shared" si="130"/>
        <v>-1.3054977898718789E-7</v>
      </c>
      <c r="T1108" s="18">
        <f t="shared" si="131"/>
        <v>6.1310856835916638E-8</v>
      </c>
      <c r="U1108" s="18">
        <f t="shared" si="132"/>
        <v>6.1310856835916638E-8</v>
      </c>
    </row>
    <row r="1109" spans="15:21" x14ac:dyDescent="0.25">
      <c r="O1109" s="15">
        <v>1085</v>
      </c>
      <c r="P1109" s="15">
        <f t="shared" si="133"/>
        <v>5.5531406201388626E-2</v>
      </c>
      <c r="Q1109" s="15">
        <f t="shared" si="134"/>
        <v>5.5531406201388633E-2</v>
      </c>
      <c r="R1109" s="15">
        <f t="shared" si="129"/>
        <v>5.5531406201388633E-2</v>
      </c>
      <c r="S1109" s="18">
        <f t="shared" si="130"/>
        <v>-1.3054977898718789E-7</v>
      </c>
      <c r="T1109" s="18">
        <f t="shared" si="131"/>
        <v>6.1310856835916638E-8</v>
      </c>
      <c r="U1109" s="18">
        <f t="shared" si="132"/>
        <v>6.1310856835916638E-8</v>
      </c>
    </row>
    <row r="1110" spans="15:21" x14ac:dyDescent="0.25">
      <c r="O1110" s="15">
        <v>1086</v>
      </c>
      <c r="P1110" s="15">
        <f t="shared" si="133"/>
        <v>5.5531406201388626E-2</v>
      </c>
      <c r="Q1110" s="15">
        <f t="shared" si="134"/>
        <v>5.5531406201388633E-2</v>
      </c>
      <c r="R1110" s="15">
        <f t="shared" si="129"/>
        <v>5.5531406201388633E-2</v>
      </c>
      <c r="S1110" s="18">
        <f t="shared" si="130"/>
        <v>-1.3054977898718789E-7</v>
      </c>
      <c r="T1110" s="18">
        <f t="shared" si="131"/>
        <v>6.1310856835916638E-8</v>
      </c>
      <c r="U1110" s="18">
        <f t="shared" si="132"/>
        <v>6.1310856835916638E-8</v>
      </c>
    </row>
    <row r="1111" spans="15:21" x14ac:dyDescent="0.25">
      <c r="O1111" s="15">
        <v>1087</v>
      </c>
      <c r="P1111" s="15">
        <f t="shared" si="133"/>
        <v>5.5531406201388626E-2</v>
      </c>
      <c r="Q1111" s="15">
        <f t="shared" si="134"/>
        <v>5.5531406201388633E-2</v>
      </c>
      <c r="R1111" s="15">
        <f t="shared" si="129"/>
        <v>5.5531406201388633E-2</v>
      </c>
      <c r="S1111" s="18">
        <f t="shared" si="130"/>
        <v>-1.3054977898718789E-7</v>
      </c>
      <c r="T1111" s="18">
        <f t="shared" si="131"/>
        <v>6.1310856835916638E-8</v>
      </c>
      <c r="U1111" s="18">
        <f t="shared" si="132"/>
        <v>6.1310856835916638E-8</v>
      </c>
    </row>
    <row r="1112" spans="15:21" x14ac:dyDescent="0.25">
      <c r="O1112" s="15">
        <v>1088</v>
      </c>
      <c r="P1112" s="15">
        <f t="shared" si="133"/>
        <v>5.5531406201388626E-2</v>
      </c>
      <c r="Q1112" s="15">
        <f t="shared" si="134"/>
        <v>5.5531406201388633E-2</v>
      </c>
      <c r="R1112" s="15">
        <f t="shared" si="129"/>
        <v>5.5531406201388633E-2</v>
      </c>
      <c r="S1112" s="18">
        <f t="shared" si="130"/>
        <v>-1.3054977898718789E-7</v>
      </c>
      <c r="T1112" s="18">
        <f t="shared" si="131"/>
        <v>6.1310856835916638E-8</v>
      </c>
      <c r="U1112" s="18">
        <f t="shared" si="132"/>
        <v>6.1310856835916638E-8</v>
      </c>
    </row>
    <row r="1113" spans="15:21" x14ac:dyDescent="0.25">
      <c r="O1113" s="15">
        <v>1089</v>
      </c>
      <c r="P1113" s="15">
        <f t="shared" si="133"/>
        <v>5.5531406201388626E-2</v>
      </c>
      <c r="Q1113" s="15">
        <f t="shared" si="134"/>
        <v>5.5531406201388633E-2</v>
      </c>
      <c r="R1113" s="15">
        <f t="shared" si="129"/>
        <v>5.5531406201388633E-2</v>
      </c>
      <c r="S1113" s="18">
        <f t="shared" si="130"/>
        <v>-1.3054977898718789E-7</v>
      </c>
      <c r="T1113" s="18">
        <f t="shared" si="131"/>
        <v>6.1310856835916638E-8</v>
      </c>
      <c r="U1113" s="18">
        <f t="shared" si="132"/>
        <v>6.1310856835916638E-8</v>
      </c>
    </row>
    <row r="1114" spans="15:21" x14ac:dyDescent="0.25">
      <c r="O1114" s="15">
        <v>1090</v>
      </c>
      <c r="P1114" s="15">
        <f t="shared" si="133"/>
        <v>5.5531406201388626E-2</v>
      </c>
      <c r="Q1114" s="15">
        <f t="shared" si="134"/>
        <v>5.5531406201388633E-2</v>
      </c>
      <c r="R1114" s="15">
        <f t="shared" si="129"/>
        <v>5.5531406201388633E-2</v>
      </c>
      <c r="S1114" s="18">
        <f t="shared" si="130"/>
        <v>-1.3054977898718789E-7</v>
      </c>
      <c r="T1114" s="18">
        <f t="shared" si="131"/>
        <v>6.1310856835916638E-8</v>
      </c>
      <c r="U1114" s="18">
        <f t="shared" si="132"/>
        <v>6.1310856835916638E-8</v>
      </c>
    </row>
    <row r="1115" spans="15:21" x14ac:dyDescent="0.25">
      <c r="O1115" s="15">
        <v>1091</v>
      </c>
      <c r="P1115" s="15">
        <f t="shared" si="133"/>
        <v>5.5531406201388626E-2</v>
      </c>
      <c r="Q1115" s="15">
        <f t="shared" si="134"/>
        <v>5.5531406201388633E-2</v>
      </c>
      <c r="R1115" s="15">
        <f t="shared" si="129"/>
        <v>5.5531406201388633E-2</v>
      </c>
      <c r="S1115" s="18">
        <f t="shared" si="130"/>
        <v>-1.3054977898718789E-7</v>
      </c>
      <c r="T1115" s="18">
        <f t="shared" si="131"/>
        <v>6.1310856835916638E-8</v>
      </c>
      <c r="U1115" s="18">
        <f t="shared" si="132"/>
        <v>6.1310856835916638E-8</v>
      </c>
    </row>
    <row r="1116" spans="15:21" x14ac:dyDescent="0.25">
      <c r="O1116" s="15">
        <v>1092</v>
      </c>
      <c r="P1116" s="15">
        <f t="shared" si="133"/>
        <v>5.5531406201388626E-2</v>
      </c>
      <c r="Q1116" s="15">
        <f t="shared" si="134"/>
        <v>5.5531406201388633E-2</v>
      </c>
      <c r="R1116" s="15">
        <f t="shared" si="129"/>
        <v>5.5531406201388633E-2</v>
      </c>
      <c r="S1116" s="18">
        <f t="shared" si="130"/>
        <v>-1.3054977898718789E-7</v>
      </c>
      <c r="T1116" s="18">
        <f t="shared" si="131"/>
        <v>6.1310856835916638E-8</v>
      </c>
      <c r="U1116" s="18">
        <f t="shared" si="132"/>
        <v>6.1310856835916638E-8</v>
      </c>
    </row>
    <row r="1117" spans="15:21" x14ac:dyDescent="0.25">
      <c r="O1117" s="15">
        <v>1093</v>
      </c>
      <c r="P1117" s="15">
        <f t="shared" si="133"/>
        <v>5.5531406201388626E-2</v>
      </c>
      <c r="Q1117" s="15">
        <f t="shared" si="134"/>
        <v>5.5531406201388633E-2</v>
      </c>
      <c r="R1117" s="15">
        <f t="shared" si="129"/>
        <v>5.5531406201388633E-2</v>
      </c>
      <c r="S1117" s="18">
        <f t="shared" si="130"/>
        <v>-1.3054977898718789E-7</v>
      </c>
      <c r="T1117" s="18">
        <f t="shared" si="131"/>
        <v>6.1310856835916638E-8</v>
      </c>
      <c r="U1117" s="18">
        <f t="shared" si="132"/>
        <v>6.1310856835916638E-8</v>
      </c>
    </row>
    <row r="1118" spans="15:21" x14ac:dyDescent="0.25">
      <c r="O1118" s="15">
        <v>1094</v>
      </c>
      <c r="P1118" s="15">
        <f t="shared" si="133"/>
        <v>5.5531406201388626E-2</v>
      </c>
      <c r="Q1118" s="15">
        <f t="shared" si="134"/>
        <v>5.5531406201388633E-2</v>
      </c>
      <c r="R1118" s="15">
        <f t="shared" si="129"/>
        <v>5.5531406201388633E-2</v>
      </c>
      <c r="S1118" s="18">
        <f t="shared" si="130"/>
        <v>-1.3054977898718789E-7</v>
      </c>
      <c r="T1118" s="18">
        <f t="shared" si="131"/>
        <v>6.1310856835916638E-8</v>
      </c>
      <c r="U1118" s="18">
        <f t="shared" si="132"/>
        <v>6.1310856835916638E-8</v>
      </c>
    </row>
    <row r="1119" spans="15:21" x14ac:dyDescent="0.25">
      <c r="O1119" s="15">
        <v>1095</v>
      </c>
      <c r="P1119" s="15">
        <f t="shared" si="133"/>
        <v>5.5531406201388626E-2</v>
      </c>
      <c r="Q1119" s="15">
        <f t="shared" si="134"/>
        <v>5.5531406201388633E-2</v>
      </c>
      <c r="R1119" s="15">
        <f t="shared" si="129"/>
        <v>5.5531406201388633E-2</v>
      </c>
      <c r="S1119" s="18">
        <f t="shared" si="130"/>
        <v>-1.3054977898718789E-7</v>
      </c>
      <c r="T1119" s="18">
        <f t="shared" si="131"/>
        <v>6.1310856835916638E-8</v>
      </c>
      <c r="U1119" s="18">
        <f t="shared" si="132"/>
        <v>6.1310856835916638E-8</v>
      </c>
    </row>
    <row r="1120" spans="15:21" x14ac:dyDescent="0.25">
      <c r="O1120" s="15">
        <v>1096</v>
      </c>
      <c r="P1120" s="15">
        <f t="shared" si="133"/>
        <v>5.5531406201388626E-2</v>
      </c>
      <c r="Q1120" s="15">
        <f t="shared" si="134"/>
        <v>5.5531406201388633E-2</v>
      </c>
      <c r="R1120" s="15">
        <f t="shared" si="129"/>
        <v>5.5531406201388633E-2</v>
      </c>
      <c r="S1120" s="18">
        <f t="shared" si="130"/>
        <v>-1.3054977898718789E-7</v>
      </c>
      <c r="T1120" s="18">
        <f t="shared" si="131"/>
        <v>6.1310856835916638E-8</v>
      </c>
      <c r="U1120" s="18">
        <f t="shared" si="132"/>
        <v>6.1310856835916638E-8</v>
      </c>
    </row>
    <row r="1121" spans="15:21" x14ac:dyDescent="0.25">
      <c r="O1121" s="15">
        <v>1097</v>
      </c>
      <c r="P1121" s="15">
        <f t="shared" si="133"/>
        <v>5.5531406201388626E-2</v>
      </c>
      <c r="Q1121" s="15">
        <f t="shared" si="134"/>
        <v>5.5531406201388633E-2</v>
      </c>
      <c r="R1121" s="15">
        <f t="shared" si="129"/>
        <v>5.5531406201388633E-2</v>
      </c>
      <c r="S1121" s="18">
        <f t="shared" si="130"/>
        <v>-1.3054977898718789E-7</v>
      </c>
      <c r="T1121" s="18">
        <f t="shared" si="131"/>
        <v>6.1310856835916638E-8</v>
      </c>
      <c r="U1121" s="18">
        <f t="shared" si="132"/>
        <v>6.1310856835916638E-8</v>
      </c>
    </row>
    <row r="1122" spans="15:21" x14ac:dyDescent="0.25">
      <c r="O1122" s="15">
        <v>1098</v>
      </c>
      <c r="P1122" s="15">
        <f t="shared" si="133"/>
        <v>5.5531406201388626E-2</v>
      </c>
      <c r="Q1122" s="15">
        <f t="shared" si="134"/>
        <v>5.5531406201388633E-2</v>
      </c>
      <c r="R1122" s="15">
        <f t="shared" si="129"/>
        <v>5.5531406201388633E-2</v>
      </c>
      <c r="S1122" s="18">
        <f t="shared" si="130"/>
        <v>-1.3054977898718789E-7</v>
      </c>
      <c r="T1122" s="18">
        <f t="shared" si="131"/>
        <v>6.1310856835916638E-8</v>
      </c>
      <c r="U1122" s="18">
        <f t="shared" si="132"/>
        <v>6.1310856835916638E-8</v>
      </c>
    </row>
    <row r="1123" spans="15:21" x14ac:dyDescent="0.25">
      <c r="O1123" s="15">
        <v>1099</v>
      </c>
      <c r="P1123" s="15">
        <f t="shared" si="133"/>
        <v>5.5531406201388626E-2</v>
      </c>
      <c r="Q1123" s="15">
        <f t="shared" si="134"/>
        <v>5.5531406201388633E-2</v>
      </c>
      <c r="R1123" s="15">
        <f t="shared" si="129"/>
        <v>5.5531406201388633E-2</v>
      </c>
      <c r="S1123" s="18">
        <f t="shared" si="130"/>
        <v>-1.3054977898718789E-7</v>
      </c>
      <c r="T1123" s="18">
        <f t="shared" si="131"/>
        <v>6.1310856835916638E-8</v>
      </c>
      <c r="U1123" s="18">
        <f t="shared" si="132"/>
        <v>6.1310856835916638E-8</v>
      </c>
    </row>
    <row r="1124" spans="15:21" x14ac:dyDescent="0.25">
      <c r="O1124" s="15">
        <v>1100</v>
      </c>
      <c r="P1124" s="15">
        <f t="shared" si="133"/>
        <v>5.5531406201388626E-2</v>
      </c>
      <c r="Q1124" s="15">
        <f t="shared" si="134"/>
        <v>5.5531406201388633E-2</v>
      </c>
      <c r="R1124" s="15">
        <f t="shared" si="129"/>
        <v>5.5531406201388633E-2</v>
      </c>
      <c r="S1124" s="18">
        <f t="shared" si="130"/>
        <v>-1.3054977898718789E-7</v>
      </c>
      <c r="T1124" s="18">
        <f t="shared" si="131"/>
        <v>6.1310856835916638E-8</v>
      </c>
      <c r="U1124" s="18">
        <f t="shared" si="132"/>
        <v>6.1310856835916638E-8</v>
      </c>
    </row>
    <row r="1125" spans="15:21" x14ac:dyDescent="0.25">
      <c r="P1125" s="15" t="s">
        <v>8</v>
      </c>
    </row>
    <row r="1126" spans="15:21" x14ac:dyDescent="0.25">
      <c r="P1126" s="15" t="s">
        <v>1</v>
      </c>
      <c r="Q1126" s="15" t="s">
        <v>2</v>
      </c>
      <c r="R1126" s="15" t="s">
        <v>3</v>
      </c>
      <c r="S1126" s="15" t="s">
        <v>4</v>
      </c>
      <c r="T1126" s="15" t="s">
        <v>5</v>
      </c>
      <c r="U1126" s="15" t="s">
        <v>6</v>
      </c>
    </row>
    <row r="1127" spans="15:21" x14ac:dyDescent="0.25">
      <c r="O1127" s="15">
        <v>1101</v>
      </c>
      <c r="P1127" s="15">
        <v>1E-10</v>
      </c>
      <c r="Q1127" s="15">
        <v>10</v>
      </c>
      <c r="R1127" s="15">
        <f t="shared" ref="R1127:R1173" si="135">(P1127+Q1127)/2</f>
        <v>5.00000000005</v>
      </c>
      <c r="S1127" s="18">
        <f t="shared" ref="S1127:S1173" si="136">$E$4-$E$10-$E$11*(1+P1127)^(-$E$5/$L$9)-$E$13*(1+P1127)^(-$H$13/$L$9)-$E$14*(1+P1127)^(-$H$14/$L$9) +$E$24*((1-(1+P1127)^(-$E$5/$L$9)))/(1-(1+P1127)^(1/$L$9))+$E$17*((1-(1+P1127)^(-$J$20/$M$4)))/(1-(1+P1127)^(1/$M$4))+$E$18*((1-(1+P1127)^(-$J$21/$M$5)))/(1-(1+P1127)^(1/$M$5))+$E$19*((1-(1+P1127)^(-$J$22/$M$6)))/(1-(1+P1127)^(1/$M$6))+$E$20*((1-(1+P1127)^(-$J$23/$M$7)))/(1-(1+P1127)^(1/$M$7))+$E$21*((1-(1+P1127)^(-$J$24/$M$8)))/(1-(1+P1127)^(1/$M$8))</f>
        <v>-4096543.402922513</v>
      </c>
      <c r="T1127" s="18">
        <f t="shared" ref="T1127:T1173" si="137">$E$4-$E$10-$E$11*(1+Q1127)^(-$E$5/$L$9)-$E$13*(1+Q1127)^(-$H$13/$L$9)-$E$14*(1+Q1127)^(-$H$14/$L$9) +$E$24*((1-(1+Q1127)^(-$E$5/$L$9)))/(1-(1+Q1127)^(1/$L$9))+$E$17*((1-(1+Q1127)^(-$J$20/$M$4)))/(1-(1+Q1127)^(1/$M$4))+$E$18*((1-(1+Q1127)^(-$J$21/$M$5)))/(1-(1+Q1127)^(1/$M$5))+$E$19*((1-(1+Q1127)^(-$J$22/$M$6)))/(1-(1+Q1127)^(1/$M$6))+$E$20*((1-(1+Q1127)^(-$J$23/$M$7)))/(1-(1+Q1127)^(1/$M$7))+$E$21*((1-(1+Q1127)^(-$J$24/$M$8)))/(1-(1+Q1127)^(1/$M$8))</f>
        <v>3894207.2828773954</v>
      </c>
      <c r="U1127" s="18">
        <f t="shared" ref="U1127:U1173" si="138">$E$4-$E$10-$E$11*(1+R1127)^(-$E$5/$L$9)-$E$13*(1+R1127)^(-$H$13/$L$9)-$E$14*(1+R1127)^(-$H$14/$L$9) +$E$24*((1-(1+R1127)^(-$E$5/$L$9)))/(1-(1+R1127)^(1/$L$9))+$E$17*((1-(1+R1127)^(-$J$20/$M$4)))/(1-(1+R1127)^(1/$M$4))+$E$18*((1-(1+R1127)^(-$J$21/$M$5)))/(1-(1+R1127)^(1/$M$5))+$E$19*((1-(1+R1127)^(-$J$22/$M$6)))/(1-(1+R1127)^(1/$M$6))+$E$20*((1-(1+R1127)^(-$J$23/$M$7)))/(1-(1+R1127)^(1/$M$7))+$E$21*((1-(1+R1127)^(-$J$24/$M$8)))/(1-(1+R1127)^(1/$M$8))</f>
        <v>3856205.8539974457</v>
      </c>
    </row>
    <row r="1128" spans="15:21" x14ac:dyDescent="0.25">
      <c r="O1128" s="15">
        <v>1102</v>
      </c>
      <c r="P1128" s="15">
        <f t="shared" ref="P1128:P1173" si="139">IF(S1127*U1127&gt;=0,R1127,P1127)</f>
        <v>1E-10</v>
      </c>
      <c r="Q1128" s="15">
        <f t="shared" ref="Q1128:Q1173" si="140">IF(T1127*U1127&gt;=0,R1127,Q1127)</f>
        <v>5.00000000005</v>
      </c>
      <c r="R1128" s="15">
        <f t="shared" si="135"/>
        <v>2.500000000075</v>
      </c>
      <c r="S1128" s="18">
        <f t="shared" si="136"/>
        <v>-4096543.402922513</v>
      </c>
      <c r="T1128" s="18">
        <f t="shared" si="137"/>
        <v>3856205.8539974457</v>
      </c>
      <c r="U1128" s="18">
        <f t="shared" si="138"/>
        <v>3791473.6705574365</v>
      </c>
    </row>
    <row r="1129" spans="15:21" x14ac:dyDescent="0.25">
      <c r="O1129" s="15">
        <v>1103</v>
      </c>
      <c r="P1129" s="15">
        <f t="shared" si="139"/>
        <v>1E-10</v>
      </c>
      <c r="Q1129" s="15">
        <f t="shared" si="140"/>
        <v>2.500000000075</v>
      </c>
      <c r="R1129" s="15">
        <f t="shared" si="135"/>
        <v>1.2500000000875</v>
      </c>
      <c r="S1129" s="18">
        <f t="shared" si="136"/>
        <v>-4096543.402922513</v>
      </c>
      <c r="T1129" s="18">
        <f t="shared" si="137"/>
        <v>3791473.6705574365</v>
      </c>
      <c r="U1129" s="18">
        <f t="shared" si="138"/>
        <v>3674185.2838576422</v>
      </c>
    </row>
    <row r="1130" spans="15:21" x14ac:dyDescent="0.25">
      <c r="O1130" s="15">
        <v>1104</v>
      </c>
      <c r="P1130" s="15">
        <f t="shared" si="139"/>
        <v>1E-10</v>
      </c>
      <c r="Q1130" s="15">
        <f t="shared" si="140"/>
        <v>1.2500000000875</v>
      </c>
      <c r="R1130" s="15">
        <f t="shared" si="135"/>
        <v>0.62500000009375001</v>
      </c>
      <c r="S1130" s="18">
        <f t="shared" si="136"/>
        <v>-4096543.402922513</v>
      </c>
      <c r="T1130" s="18">
        <f t="shared" si="137"/>
        <v>3674185.2838576422</v>
      </c>
      <c r="U1130" s="18">
        <f t="shared" si="138"/>
        <v>3451249.3171429066</v>
      </c>
    </row>
    <row r="1131" spans="15:21" x14ac:dyDescent="0.25">
      <c r="O1131" s="15">
        <v>1105</v>
      </c>
      <c r="P1131" s="15">
        <f t="shared" si="139"/>
        <v>1E-10</v>
      </c>
      <c r="Q1131" s="15">
        <f t="shared" si="140"/>
        <v>0.62500000009375001</v>
      </c>
      <c r="R1131" s="15">
        <f t="shared" si="135"/>
        <v>0.31250000009687501</v>
      </c>
      <c r="S1131" s="18">
        <f t="shared" si="136"/>
        <v>-4096543.402922513</v>
      </c>
      <c r="T1131" s="18">
        <f t="shared" si="137"/>
        <v>3451249.3171429066</v>
      </c>
      <c r="U1131" s="18">
        <f t="shared" si="138"/>
        <v>3015194.1773318858</v>
      </c>
    </row>
    <row r="1132" spans="15:21" x14ac:dyDescent="0.25">
      <c r="O1132" s="15">
        <v>1106</v>
      </c>
      <c r="P1132" s="15">
        <f t="shared" si="139"/>
        <v>1E-10</v>
      </c>
      <c r="Q1132" s="15">
        <f t="shared" si="140"/>
        <v>0.31250000009687501</v>
      </c>
      <c r="R1132" s="15">
        <f t="shared" si="135"/>
        <v>0.15625000009843751</v>
      </c>
      <c r="S1132" s="18">
        <f t="shared" si="136"/>
        <v>-4096543.402922513</v>
      </c>
      <c r="T1132" s="18">
        <f t="shared" si="137"/>
        <v>3015194.1773318858</v>
      </c>
      <c r="U1132" s="18">
        <f t="shared" si="138"/>
        <v>2172625.3949700431</v>
      </c>
    </row>
    <row r="1133" spans="15:21" x14ac:dyDescent="0.25">
      <c r="O1133" s="15">
        <v>1107</v>
      </c>
      <c r="P1133" s="15">
        <f t="shared" si="139"/>
        <v>1E-10</v>
      </c>
      <c r="Q1133" s="15">
        <f t="shared" si="140"/>
        <v>0.15625000009843751</v>
      </c>
      <c r="R1133" s="15">
        <f t="shared" si="135"/>
        <v>7.8125000099218758E-2</v>
      </c>
      <c r="S1133" s="18">
        <f t="shared" si="136"/>
        <v>-4096543.402922513</v>
      </c>
      <c r="T1133" s="18">
        <f t="shared" si="137"/>
        <v>2172625.3949700431</v>
      </c>
      <c r="U1133" s="18">
        <f t="shared" si="138"/>
        <v>795277.15576752613</v>
      </c>
    </row>
    <row r="1134" spans="15:21" x14ac:dyDescent="0.25">
      <c r="O1134" s="15">
        <v>1108</v>
      </c>
      <c r="P1134" s="15">
        <f t="shared" si="139"/>
        <v>1E-10</v>
      </c>
      <c r="Q1134" s="15">
        <f t="shared" si="140"/>
        <v>7.8125000099218758E-2</v>
      </c>
      <c r="R1134" s="15">
        <f t="shared" si="135"/>
        <v>3.9062500099609376E-2</v>
      </c>
      <c r="S1134" s="18">
        <f t="shared" si="136"/>
        <v>-4096543.402922513</v>
      </c>
      <c r="T1134" s="18">
        <f t="shared" si="137"/>
        <v>795277.15576752613</v>
      </c>
      <c r="U1134" s="18">
        <f t="shared" si="138"/>
        <v>-806130.79722869582</v>
      </c>
    </row>
    <row r="1135" spans="15:21" x14ac:dyDescent="0.25">
      <c r="O1135" s="15">
        <v>1109</v>
      </c>
      <c r="P1135" s="15">
        <f t="shared" si="139"/>
        <v>3.9062500099609376E-2</v>
      </c>
      <c r="Q1135" s="15">
        <f t="shared" si="140"/>
        <v>7.8125000099218758E-2</v>
      </c>
      <c r="R1135" s="15">
        <f t="shared" si="135"/>
        <v>5.8593750099414067E-2</v>
      </c>
      <c r="S1135" s="18">
        <f t="shared" si="136"/>
        <v>-806130.79722869582</v>
      </c>
      <c r="T1135" s="18">
        <f t="shared" si="137"/>
        <v>795277.15576752613</v>
      </c>
      <c r="U1135" s="18">
        <f t="shared" si="138"/>
        <v>125998.37751938807</v>
      </c>
    </row>
    <row r="1136" spans="15:21" x14ac:dyDescent="0.25">
      <c r="O1136" s="15">
        <v>1110</v>
      </c>
      <c r="P1136" s="15">
        <f t="shared" si="139"/>
        <v>3.9062500099609376E-2</v>
      </c>
      <c r="Q1136" s="15">
        <f t="shared" si="140"/>
        <v>5.8593750099414067E-2</v>
      </c>
      <c r="R1136" s="15">
        <f t="shared" si="135"/>
        <v>4.8828125099511718E-2</v>
      </c>
      <c r="S1136" s="18">
        <f t="shared" si="136"/>
        <v>-806130.79722869582</v>
      </c>
      <c r="T1136" s="18">
        <f t="shared" si="137"/>
        <v>125998.37751938807</v>
      </c>
      <c r="U1136" s="18">
        <f t="shared" si="138"/>
        <v>-300117.85427544912</v>
      </c>
    </row>
    <row r="1137" spans="15:21" x14ac:dyDescent="0.25">
      <c r="O1137" s="15">
        <v>1111</v>
      </c>
      <c r="P1137" s="15">
        <f t="shared" si="139"/>
        <v>4.8828125099511718E-2</v>
      </c>
      <c r="Q1137" s="15">
        <f t="shared" si="140"/>
        <v>5.8593750099414067E-2</v>
      </c>
      <c r="R1137" s="15">
        <f t="shared" si="135"/>
        <v>5.3710937599462896E-2</v>
      </c>
      <c r="S1137" s="18">
        <f t="shared" si="136"/>
        <v>-300117.85427544912</v>
      </c>
      <c r="T1137" s="18">
        <f t="shared" si="137"/>
        <v>125998.37751938807</v>
      </c>
      <c r="U1137" s="18">
        <f t="shared" si="138"/>
        <v>-78089.717054340348</v>
      </c>
    </row>
    <row r="1138" spans="15:21" x14ac:dyDescent="0.25">
      <c r="O1138" s="15">
        <v>1112</v>
      </c>
      <c r="P1138" s="15">
        <f t="shared" si="139"/>
        <v>5.3710937599462896E-2</v>
      </c>
      <c r="Q1138" s="15">
        <f t="shared" si="140"/>
        <v>5.8593750099414067E-2</v>
      </c>
      <c r="R1138" s="15">
        <f t="shared" si="135"/>
        <v>5.6152343849438485E-2</v>
      </c>
      <c r="S1138" s="18">
        <f t="shared" si="136"/>
        <v>-78089.717054340348</v>
      </c>
      <c r="T1138" s="18">
        <f t="shared" si="137"/>
        <v>125998.37751938807</v>
      </c>
      <c r="U1138" s="18">
        <f t="shared" si="138"/>
        <v>26082.431833555249</v>
      </c>
    </row>
    <row r="1139" spans="15:21" x14ac:dyDescent="0.25">
      <c r="O1139" s="15">
        <v>1113</v>
      </c>
      <c r="P1139" s="15">
        <f t="shared" si="139"/>
        <v>5.3710937599462896E-2</v>
      </c>
      <c r="Q1139" s="15">
        <f t="shared" si="140"/>
        <v>5.6152343849438485E-2</v>
      </c>
      <c r="R1139" s="15">
        <f t="shared" si="135"/>
        <v>5.4931640724450691E-2</v>
      </c>
      <c r="S1139" s="18">
        <f t="shared" si="136"/>
        <v>-78089.717054340348</v>
      </c>
      <c r="T1139" s="18">
        <f t="shared" si="137"/>
        <v>26082.431833555249</v>
      </c>
      <c r="U1139" s="18">
        <f t="shared" si="138"/>
        <v>-25457.838380042806</v>
      </c>
    </row>
    <row r="1140" spans="15:21" x14ac:dyDescent="0.25">
      <c r="O1140" s="15">
        <v>1114</v>
      </c>
      <c r="P1140" s="15">
        <f t="shared" si="139"/>
        <v>5.4931640724450691E-2</v>
      </c>
      <c r="Q1140" s="15">
        <f t="shared" si="140"/>
        <v>5.6152343849438485E-2</v>
      </c>
      <c r="R1140" s="15">
        <f t="shared" si="135"/>
        <v>5.5541992286944591E-2</v>
      </c>
      <c r="S1140" s="18">
        <f t="shared" si="136"/>
        <v>-25457.838380042806</v>
      </c>
      <c r="T1140" s="18">
        <f t="shared" si="137"/>
        <v>26082.431833555249</v>
      </c>
      <c r="U1140" s="18">
        <f t="shared" si="138"/>
        <v>446.99396819314325</v>
      </c>
    </row>
    <row r="1141" spans="15:21" x14ac:dyDescent="0.25">
      <c r="O1141" s="15">
        <v>1115</v>
      </c>
      <c r="P1141" s="15">
        <f t="shared" si="139"/>
        <v>5.4931640724450691E-2</v>
      </c>
      <c r="Q1141" s="15">
        <f t="shared" si="140"/>
        <v>5.5541992286944591E-2</v>
      </c>
      <c r="R1141" s="15">
        <f t="shared" si="135"/>
        <v>5.5236816505697645E-2</v>
      </c>
      <c r="S1141" s="18">
        <f t="shared" si="136"/>
        <v>-25457.838380042806</v>
      </c>
      <c r="T1141" s="18">
        <f t="shared" si="137"/>
        <v>446.99396819314325</v>
      </c>
      <c r="U1141" s="18">
        <f t="shared" si="138"/>
        <v>-12471.530669613465</v>
      </c>
    </row>
    <row r="1142" spans="15:21" x14ac:dyDescent="0.25">
      <c r="O1142" s="15">
        <v>1116</v>
      </c>
      <c r="P1142" s="15">
        <f t="shared" si="139"/>
        <v>5.5236816505697645E-2</v>
      </c>
      <c r="Q1142" s="15">
        <f t="shared" si="140"/>
        <v>5.5541992286944591E-2</v>
      </c>
      <c r="R1142" s="15">
        <f t="shared" si="135"/>
        <v>5.5389404396321118E-2</v>
      </c>
      <c r="S1142" s="18">
        <f t="shared" si="136"/>
        <v>-12471.530669613465</v>
      </c>
      <c r="T1142" s="18">
        <f t="shared" si="137"/>
        <v>446.99396819314325</v>
      </c>
      <c r="U1142" s="18">
        <f t="shared" si="138"/>
        <v>-6003.8227437936475</v>
      </c>
    </row>
    <row r="1143" spans="15:21" x14ac:dyDescent="0.25">
      <c r="O1143" s="15">
        <v>1117</v>
      </c>
      <c r="P1143" s="15">
        <f t="shared" si="139"/>
        <v>5.5389404396321118E-2</v>
      </c>
      <c r="Q1143" s="15">
        <f t="shared" si="140"/>
        <v>5.5541992286944591E-2</v>
      </c>
      <c r="R1143" s="15">
        <f t="shared" si="135"/>
        <v>5.5465698341632855E-2</v>
      </c>
      <c r="S1143" s="18">
        <f t="shared" si="136"/>
        <v>-6003.8227437936475</v>
      </c>
      <c r="T1143" s="18">
        <f t="shared" si="137"/>
        <v>446.99396819314325</v>
      </c>
      <c r="U1143" s="18">
        <f t="shared" si="138"/>
        <v>-2776.3063849629848</v>
      </c>
    </row>
    <row r="1144" spans="15:21" x14ac:dyDescent="0.25">
      <c r="O1144" s="15">
        <v>1118</v>
      </c>
      <c r="P1144" s="15">
        <f t="shared" si="139"/>
        <v>5.5465698341632855E-2</v>
      </c>
      <c r="Q1144" s="15">
        <f t="shared" si="140"/>
        <v>5.5541992286944591E-2</v>
      </c>
      <c r="R1144" s="15">
        <f t="shared" si="135"/>
        <v>5.5503845314288723E-2</v>
      </c>
      <c r="S1144" s="18">
        <f t="shared" si="136"/>
        <v>-2776.3063849629848</v>
      </c>
      <c r="T1144" s="18">
        <f t="shared" si="137"/>
        <v>446.99396819314325</v>
      </c>
      <c r="U1144" s="18">
        <f t="shared" si="138"/>
        <v>-1164.1296318378991</v>
      </c>
    </row>
    <row r="1145" spans="15:21" x14ac:dyDescent="0.25">
      <c r="O1145" s="15">
        <v>1119</v>
      </c>
      <c r="P1145" s="15">
        <f t="shared" si="139"/>
        <v>5.5503845314288723E-2</v>
      </c>
      <c r="Q1145" s="15">
        <f t="shared" si="140"/>
        <v>5.5541992286944591E-2</v>
      </c>
      <c r="R1145" s="15">
        <f t="shared" si="135"/>
        <v>5.5522918800616661E-2</v>
      </c>
      <c r="S1145" s="18">
        <f t="shared" si="136"/>
        <v>-1164.1296318378991</v>
      </c>
      <c r="T1145" s="18">
        <f t="shared" si="137"/>
        <v>446.99396819314325</v>
      </c>
      <c r="U1145" s="18">
        <f t="shared" si="138"/>
        <v>-358.43624065257518</v>
      </c>
    </row>
    <row r="1146" spans="15:21" x14ac:dyDescent="0.25">
      <c r="O1146" s="15">
        <v>1120</v>
      </c>
      <c r="P1146" s="15">
        <f t="shared" si="139"/>
        <v>5.5522918800616661E-2</v>
      </c>
      <c r="Q1146" s="15">
        <f t="shared" si="140"/>
        <v>5.5541992286944591E-2</v>
      </c>
      <c r="R1146" s="15">
        <f t="shared" si="135"/>
        <v>5.5532455543780626E-2</v>
      </c>
      <c r="S1146" s="18">
        <f t="shared" si="136"/>
        <v>-358.43624065257518</v>
      </c>
      <c r="T1146" s="18">
        <f t="shared" si="137"/>
        <v>446.99396819314325</v>
      </c>
      <c r="U1146" s="18">
        <f t="shared" si="138"/>
        <v>44.311754848723922</v>
      </c>
    </row>
    <row r="1147" spans="15:21" x14ac:dyDescent="0.25">
      <c r="O1147" s="15">
        <v>1121</v>
      </c>
      <c r="P1147" s="15">
        <f t="shared" si="139"/>
        <v>5.5522918800616661E-2</v>
      </c>
      <c r="Q1147" s="15">
        <f t="shared" si="140"/>
        <v>5.5532455543780626E-2</v>
      </c>
      <c r="R1147" s="15">
        <f t="shared" si="135"/>
        <v>5.5527687172198643E-2</v>
      </c>
      <c r="S1147" s="18">
        <f t="shared" si="136"/>
        <v>-358.43624065257518</v>
      </c>
      <c r="T1147" s="18">
        <f t="shared" si="137"/>
        <v>44.311754848723922</v>
      </c>
      <c r="U1147" s="18">
        <f t="shared" si="138"/>
        <v>-157.05401933347866</v>
      </c>
    </row>
    <row r="1148" spans="15:21" x14ac:dyDescent="0.25">
      <c r="O1148" s="15">
        <v>1122</v>
      </c>
      <c r="P1148" s="15">
        <f t="shared" si="139"/>
        <v>5.5527687172198643E-2</v>
      </c>
      <c r="Q1148" s="15">
        <f t="shared" si="140"/>
        <v>5.5532455543780626E-2</v>
      </c>
      <c r="R1148" s="15">
        <f t="shared" si="135"/>
        <v>5.5530071357989638E-2</v>
      </c>
      <c r="S1148" s="18">
        <f t="shared" si="136"/>
        <v>-157.05401933347866</v>
      </c>
      <c r="T1148" s="18">
        <f t="shared" si="137"/>
        <v>44.311754848723922</v>
      </c>
      <c r="U1148" s="18">
        <f t="shared" si="138"/>
        <v>-56.369076355117159</v>
      </c>
    </row>
    <row r="1149" spans="15:21" x14ac:dyDescent="0.25">
      <c r="O1149" s="15">
        <v>1123</v>
      </c>
      <c r="P1149" s="15">
        <f t="shared" si="139"/>
        <v>5.5530071357989638E-2</v>
      </c>
      <c r="Q1149" s="15">
        <f t="shared" si="140"/>
        <v>5.5532455543780626E-2</v>
      </c>
      <c r="R1149" s="15">
        <f t="shared" si="135"/>
        <v>5.5531263450885132E-2</v>
      </c>
      <c r="S1149" s="18">
        <f t="shared" si="136"/>
        <v>-56.369076355117159</v>
      </c>
      <c r="T1149" s="18">
        <f t="shared" si="137"/>
        <v>44.311754848723922</v>
      </c>
      <c r="U1149" s="18">
        <f t="shared" si="138"/>
        <v>-6.0281466950696085</v>
      </c>
    </row>
    <row r="1150" spans="15:21" x14ac:dyDescent="0.25">
      <c r="O1150" s="15">
        <v>1124</v>
      </c>
      <c r="P1150" s="15">
        <f t="shared" si="139"/>
        <v>5.5531263450885132E-2</v>
      </c>
      <c r="Q1150" s="15">
        <f t="shared" si="140"/>
        <v>5.5532455543780626E-2</v>
      </c>
      <c r="R1150" s="15">
        <f t="shared" si="135"/>
        <v>5.5531859497332879E-2</v>
      </c>
      <c r="S1150" s="18">
        <f t="shared" si="136"/>
        <v>-6.0281466950696085</v>
      </c>
      <c r="T1150" s="18">
        <f t="shared" si="137"/>
        <v>44.311754848723922</v>
      </c>
      <c r="U1150" s="18">
        <f t="shared" si="138"/>
        <v>19.14193263652578</v>
      </c>
    </row>
    <row r="1151" spans="15:21" x14ac:dyDescent="0.25">
      <c r="O1151" s="15">
        <v>1125</v>
      </c>
      <c r="P1151" s="15">
        <f t="shared" si="139"/>
        <v>5.5531263450885132E-2</v>
      </c>
      <c r="Q1151" s="15">
        <f t="shared" si="140"/>
        <v>5.5531859497332879E-2</v>
      </c>
      <c r="R1151" s="15">
        <f t="shared" si="135"/>
        <v>5.5531561474109009E-2</v>
      </c>
      <c r="S1151" s="18">
        <f t="shared" si="136"/>
        <v>-6.0281466950696085</v>
      </c>
      <c r="T1151" s="18">
        <f t="shared" si="137"/>
        <v>19.14193263652578</v>
      </c>
      <c r="U1151" s="18">
        <f t="shared" si="138"/>
        <v>6.5569249377172127</v>
      </c>
    </row>
    <row r="1152" spans="15:21" x14ac:dyDescent="0.25">
      <c r="O1152" s="15">
        <v>1126</v>
      </c>
      <c r="P1152" s="15">
        <f t="shared" si="139"/>
        <v>5.5531263450885132E-2</v>
      </c>
      <c r="Q1152" s="15">
        <f t="shared" si="140"/>
        <v>5.5531561474109009E-2</v>
      </c>
      <c r="R1152" s="15">
        <f t="shared" si="135"/>
        <v>5.5531412462497071E-2</v>
      </c>
      <c r="S1152" s="18">
        <f t="shared" si="136"/>
        <v>-6.0281466950696085</v>
      </c>
      <c r="T1152" s="18">
        <f t="shared" si="137"/>
        <v>6.5569249377172127</v>
      </c>
      <c r="U1152" s="18">
        <f t="shared" si="138"/>
        <v>0.26439706673954788</v>
      </c>
    </row>
    <row r="1153" spans="15:21" x14ac:dyDescent="0.25">
      <c r="O1153" s="15">
        <v>1127</v>
      </c>
      <c r="P1153" s="15">
        <f t="shared" si="139"/>
        <v>5.5531263450885132E-2</v>
      </c>
      <c r="Q1153" s="15">
        <f t="shared" si="140"/>
        <v>5.5531412462497071E-2</v>
      </c>
      <c r="R1153" s="15">
        <f t="shared" si="135"/>
        <v>5.5531337956691101E-2</v>
      </c>
      <c r="S1153" s="18">
        <f t="shared" si="136"/>
        <v>-6.0281466950696085</v>
      </c>
      <c r="T1153" s="18">
        <f t="shared" si="137"/>
        <v>0.26439706673954788</v>
      </c>
      <c r="U1153" s="18">
        <f t="shared" si="138"/>
        <v>-2.881872878510876</v>
      </c>
    </row>
    <row r="1154" spans="15:21" x14ac:dyDescent="0.25">
      <c r="O1154" s="15">
        <v>1128</v>
      </c>
      <c r="P1154" s="15">
        <f t="shared" si="139"/>
        <v>5.5531337956691101E-2</v>
      </c>
      <c r="Q1154" s="15">
        <f t="shared" si="140"/>
        <v>5.5531412462497071E-2</v>
      </c>
      <c r="R1154" s="15">
        <f t="shared" si="135"/>
        <v>5.5531375209594086E-2</v>
      </c>
      <c r="S1154" s="18">
        <f t="shared" si="136"/>
        <v>-2.881872878510876</v>
      </c>
      <c r="T1154" s="18">
        <f t="shared" si="137"/>
        <v>0.26439706673954788</v>
      </c>
      <c r="U1154" s="18">
        <f t="shared" si="138"/>
        <v>-1.3087372517161384</v>
      </c>
    </row>
    <row r="1155" spans="15:21" x14ac:dyDescent="0.25">
      <c r="O1155" s="15">
        <v>1129</v>
      </c>
      <c r="P1155" s="15">
        <f t="shared" si="139"/>
        <v>5.5531375209594086E-2</v>
      </c>
      <c r="Q1155" s="15">
        <f t="shared" si="140"/>
        <v>5.5531412462497071E-2</v>
      </c>
      <c r="R1155" s="15">
        <f t="shared" si="135"/>
        <v>5.5531393836045578E-2</v>
      </c>
      <c r="S1155" s="18">
        <f t="shared" si="136"/>
        <v>-1.3087372517161384</v>
      </c>
      <c r="T1155" s="18">
        <f t="shared" si="137"/>
        <v>0.26439706673954788</v>
      </c>
      <c r="U1155" s="18">
        <f t="shared" si="138"/>
        <v>-0.52216988075042536</v>
      </c>
    </row>
    <row r="1156" spans="15:21" x14ac:dyDescent="0.25">
      <c r="O1156" s="15">
        <v>1130</v>
      </c>
      <c r="P1156" s="15">
        <f t="shared" si="139"/>
        <v>5.5531393836045578E-2</v>
      </c>
      <c r="Q1156" s="15">
        <f t="shared" si="140"/>
        <v>5.5531412462497071E-2</v>
      </c>
      <c r="R1156" s="15">
        <f t="shared" si="135"/>
        <v>5.5531403149271324E-2</v>
      </c>
      <c r="S1156" s="18">
        <f t="shared" si="136"/>
        <v>-0.52216988075042536</v>
      </c>
      <c r="T1156" s="18">
        <f t="shared" si="137"/>
        <v>0.26439706673954788</v>
      </c>
      <c r="U1156" s="18">
        <f t="shared" si="138"/>
        <v>-0.12888637811010994</v>
      </c>
    </row>
    <row r="1157" spans="15:21" x14ac:dyDescent="0.25">
      <c r="O1157" s="15">
        <v>1131</v>
      </c>
      <c r="P1157" s="15">
        <f t="shared" si="139"/>
        <v>5.5531403149271324E-2</v>
      </c>
      <c r="Q1157" s="15">
        <f t="shared" si="140"/>
        <v>5.5531412462497071E-2</v>
      </c>
      <c r="R1157" s="15">
        <f t="shared" si="135"/>
        <v>5.5531407805884198E-2</v>
      </c>
      <c r="S1157" s="18">
        <f t="shared" si="136"/>
        <v>-0.12888637811010994</v>
      </c>
      <c r="T1157" s="18">
        <f t="shared" si="137"/>
        <v>0.26439706673954788</v>
      </c>
      <c r="U1157" s="18">
        <f t="shared" si="138"/>
        <v>6.7755447696981719E-2</v>
      </c>
    </row>
    <row r="1158" spans="15:21" x14ac:dyDescent="0.25">
      <c r="O1158" s="15">
        <v>1132</v>
      </c>
      <c r="P1158" s="15">
        <f t="shared" si="139"/>
        <v>5.5531403149271324E-2</v>
      </c>
      <c r="Q1158" s="15">
        <f t="shared" si="140"/>
        <v>5.5531407805884198E-2</v>
      </c>
      <c r="R1158" s="15">
        <f t="shared" si="135"/>
        <v>5.5531405477577761E-2</v>
      </c>
      <c r="S1158" s="18">
        <f t="shared" si="136"/>
        <v>-0.12888637811010994</v>
      </c>
      <c r="T1158" s="18">
        <f t="shared" si="137"/>
        <v>6.7755447696981719E-2</v>
      </c>
      <c r="U1158" s="18">
        <f t="shared" si="138"/>
        <v>-3.0565462876893434E-2</v>
      </c>
    </row>
    <row r="1159" spans="15:21" x14ac:dyDescent="0.25">
      <c r="O1159" s="15">
        <v>1133</v>
      </c>
      <c r="P1159" s="15">
        <f t="shared" si="139"/>
        <v>5.5531405477577761E-2</v>
      </c>
      <c r="Q1159" s="15">
        <f t="shared" si="140"/>
        <v>5.5531407805884198E-2</v>
      </c>
      <c r="R1159" s="15">
        <f t="shared" si="135"/>
        <v>5.5531406641730979E-2</v>
      </c>
      <c r="S1159" s="18">
        <f t="shared" si="136"/>
        <v>-3.0565462876893434E-2</v>
      </c>
      <c r="T1159" s="18">
        <f t="shared" si="137"/>
        <v>6.7755447696981719E-2</v>
      </c>
      <c r="U1159" s="18">
        <f t="shared" si="138"/>
        <v>1.8594893689623859E-2</v>
      </c>
    </row>
    <row r="1160" spans="15:21" x14ac:dyDescent="0.25">
      <c r="O1160" s="15">
        <v>1134</v>
      </c>
      <c r="P1160" s="15">
        <f t="shared" si="139"/>
        <v>5.5531405477577761E-2</v>
      </c>
      <c r="Q1160" s="15">
        <f t="shared" si="140"/>
        <v>5.5531406641730979E-2</v>
      </c>
      <c r="R1160" s="15">
        <f t="shared" si="135"/>
        <v>5.553140605965437E-2</v>
      </c>
      <c r="S1160" s="18">
        <f t="shared" si="136"/>
        <v>-3.0565462876893434E-2</v>
      </c>
      <c r="T1160" s="18">
        <f t="shared" si="137"/>
        <v>1.8594893689623859E-2</v>
      </c>
      <c r="U1160" s="18">
        <f t="shared" si="138"/>
        <v>-5.9851868049918266E-3</v>
      </c>
    </row>
    <row r="1161" spans="15:21" x14ac:dyDescent="0.25">
      <c r="O1161" s="15">
        <v>1135</v>
      </c>
      <c r="P1161" s="15">
        <f t="shared" si="139"/>
        <v>5.553140605965437E-2</v>
      </c>
      <c r="Q1161" s="15">
        <f t="shared" si="140"/>
        <v>5.5531406641730979E-2</v>
      </c>
      <c r="R1161" s="15">
        <f t="shared" si="135"/>
        <v>5.5531406350692675E-2</v>
      </c>
      <c r="S1161" s="18">
        <f t="shared" si="136"/>
        <v>-5.9851868049918266E-3</v>
      </c>
      <c r="T1161" s="18">
        <f t="shared" si="137"/>
        <v>1.8594893689623859E-2</v>
      </c>
      <c r="U1161" s="18">
        <f t="shared" si="138"/>
        <v>6.3048541405805736E-3</v>
      </c>
    </row>
    <row r="1162" spans="15:21" x14ac:dyDescent="0.25">
      <c r="O1162" s="15">
        <v>1136</v>
      </c>
      <c r="P1162" s="15">
        <f t="shared" si="139"/>
        <v>5.553140605965437E-2</v>
      </c>
      <c r="Q1162" s="15">
        <f t="shared" si="140"/>
        <v>5.5531406350692675E-2</v>
      </c>
      <c r="R1162" s="15">
        <f t="shared" si="135"/>
        <v>5.5531406205173522E-2</v>
      </c>
      <c r="S1162" s="18">
        <f t="shared" si="136"/>
        <v>-5.9851868049918266E-3</v>
      </c>
      <c r="T1162" s="18">
        <f t="shared" si="137"/>
        <v>6.3048541405805736E-3</v>
      </c>
      <c r="U1162" s="18">
        <f t="shared" si="138"/>
        <v>1.5973541303537786E-4</v>
      </c>
    </row>
    <row r="1163" spans="15:21" x14ac:dyDescent="0.25">
      <c r="O1163" s="15">
        <v>1137</v>
      </c>
      <c r="P1163" s="15">
        <f t="shared" si="139"/>
        <v>5.553140605965437E-2</v>
      </c>
      <c r="Q1163" s="15">
        <f t="shared" si="140"/>
        <v>5.5531406205173522E-2</v>
      </c>
      <c r="R1163" s="15">
        <f t="shared" si="135"/>
        <v>5.5531406132413946E-2</v>
      </c>
      <c r="S1163" s="18">
        <f t="shared" si="136"/>
        <v>-5.9851868049918266E-3</v>
      </c>
      <c r="T1163" s="18">
        <f t="shared" si="137"/>
        <v>1.5973541303537786E-4</v>
      </c>
      <c r="U1163" s="18">
        <f t="shared" si="138"/>
        <v>-2.9128244168532547E-3</v>
      </c>
    </row>
    <row r="1164" spans="15:21" x14ac:dyDescent="0.25">
      <c r="O1164" s="15">
        <v>1138</v>
      </c>
      <c r="P1164" s="15">
        <f t="shared" si="139"/>
        <v>5.5531406132413946E-2</v>
      </c>
      <c r="Q1164" s="15">
        <f t="shared" si="140"/>
        <v>5.5531406205173522E-2</v>
      </c>
      <c r="R1164" s="15">
        <f t="shared" si="135"/>
        <v>5.5531406168793734E-2</v>
      </c>
      <c r="S1164" s="18">
        <f t="shared" si="136"/>
        <v>-2.9128244168532547E-3</v>
      </c>
      <c r="T1164" s="18">
        <f t="shared" si="137"/>
        <v>1.5973541303537786E-4</v>
      </c>
      <c r="U1164" s="18">
        <f t="shared" si="138"/>
        <v>-1.3764448494839598E-3</v>
      </c>
    </row>
    <row r="1165" spans="15:21" x14ac:dyDescent="0.25">
      <c r="O1165" s="15">
        <v>1139</v>
      </c>
      <c r="P1165" s="15">
        <f t="shared" si="139"/>
        <v>5.5531406168793734E-2</v>
      </c>
      <c r="Q1165" s="15">
        <f t="shared" si="140"/>
        <v>5.5531406205173522E-2</v>
      </c>
      <c r="R1165" s="15">
        <f t="shared" si="135"/>
        <v>5.5531406186983628E-2</v>
      </c>
      <c r="S1165" s="18">
        <f t="shared" si="136"/>
        <v>-1.3764448494839598E-3</v>
      </c>
      <c r="T1165" s="18">
        <f t="shared" si="137"/>
        <v>1.5973541303537786E-4</v>
      </c>
      <c r="U1165" s="18">
        <f t="shared" si="138"/>
        <v>-6.0825809396192199E-4</v>
      </c>
    </row>
    <row r="1166" spans="15:21" x14ac:dyDescent="0.25">
      <c r="O1166" s="15">
        <v>1140</v>
      </c>
      <c r="P1166" s="15">
        <f t="shared" si="139"/>
        <v>5.5531406186983628E-2</v>
      </c>
      <c r="Q1166" s="15">
        <f t="shared" si="140"/>
        <v>5.5531406205173522E-2</v>
      </c>
      <c r="R1166" s="15">
        <f t="shared" si="135"/>
        <v>5.5531406196078575E-2</v>
      </c>
      <c r="S1166" s="18">
        <f t="shared" si="136"/>
        <v>-6.0825809396192199E-4</v>
      </c>
      <c r="T1166" s="18">
        <f t="shared" si="137"/>
        <v>1.5973541303537786E-4</v>
      </c>
      <c r="U1166" s="18">
        <f t="shared" si="138"/>
        <v>-2.2426110808737576E-4</v>
      </c>
    </row>
    <row r="1167" spans="15:21" x14ac:dyDescent="0.25">
      <c r="O1167" s="15">
        <v>1141</v>
      </c>
      <c r="P1167" s="15">
        <f t="shared" si="139"/>
        <v>5.5531406196078575E-2</v>
      </c>
      <c r="Q1167" s="15">
        <f t="shared" si="140"/>
        <v>5.5531406205173522E-2</v>
      </c>
      <c r="R1167" s="15">
        <f t="shared" si="135"/>
        <v>5.5531406200626049E-2</v>
      </c>
      <c r="S1167" s="18">
        <f t="shared" si="136"/>
        <v>-2.2426110808737576E-4</v>
      </c>
      <c r="T1167" s="18">
        <f t="shared" si="137"/>
        <v>1.5973541303537786E-4</v>
      </c>
      <c r="U1167" s="18">
        <f t="shared" si="138"/>
        <v>-3.2261682008538628E-5</v>
      </c>
    </row>
    <row r="1168" spans="15:21" x14ac:dyDescent="0.25">
      <c r="O1168" s="15">
        <v>1142</v>
      </c>
      <c r="P1168" s="15">
        <f t="shared" si="139"/>
        <v>5.5531406200626049E-2</v>
      </c>
      <c r="Q1168" s="15">
        <f t="shared" si="140"/>
        <v>5.5531406205173522E-2</v>
      </c>
      <c r="R1168" s="15">
        <f t="shared" si="135"/>
        <v>5.5531406202899786E-2</v>
      </c>
      <c r="S1168" s="18">
        <f t="shared" si="136"/>
        <v>-3.2261682008538628E-5</v>
      </c>
      <c r="T1168" s="18">
        <f t="shared" si="137"/>
        <v>1.5973541303537786E-4</v>
      </c>
      <c r="U1168" s="18">
        <f t="shared" si="138"/>
        <v>6.3735001731402008E-5</v>
      </c>
    </row>
    <row r="1169" spans="15:21" x14ac:dyDescent="0.25">
      <c r="O1169" s="15">
        <v>1143</v>
      </c>
      <c r="P1169" s="15">
        <f t="shared" si="139"/>
        <v>5.5531406200626049E-2</v>
      </c>
      <c r="Q1169" s="15">
        <f t="shared" si="140"/>
        <v>5.5531406202899786E-2</v>
      </c>
      <c r="R1169" s="15">
        <f t="shared" si="135"/>
        <v>5.5531406201762917E-2</v>
      </c>
      <c r="S1169" s="18">
        <f t="shared" si="136"/>
        <v>-3.2261682008538628E-5</v>
      </c>
      <c r="T1169" s="18">
        <f t="shared" si="137"/>
        <v>6.3735001731402008E-5</v>
      </c>
      <c r="U1169" s="18">
        <f t="shared" si="138"/>
        <v>1.5737591638753656E-5</v>
      </c>
    </row>
    <row r="1170" spans="15:21" x14ac:dyDescent="0.25">
      <c r="O1170" s="15">
        <v>1144</v>
      </c>
      <c r="P1170" s="15">
        <f t="shared" si="139"/>
        <v>5.5531406200626049E-2</v>
      </c>
      <c r="Q1170" s="15">
        <f t="shared" si="140"/>
        <v>5.5531406201762917E-2</v>
      </c>
      <c r="R1170" s="15">
        <f t="shared" si="135"/>
        <v>5.5531406201194483E-2</v>
      </c>
      <c r="S1170" s="18">
        <f t="shared" si="136"/>
        <v>-3.2261682008538628E-5</v>
      </c>
      <c r="T1170" s="18">
        <f t="shared" si="137"/>
        <v>1.5737591638753656E-5</v>
      </c>
      <c r="U1170" s="18">
        <f t="shared" si="138"/>
        <v>-8.2643750829447526E-6</v>
      </c>
    </row>
    <row r="1171" spans="15:21" x14ac:dyDescent="0.25">
      <c r="O1171" s="15">
        <v>1145</v>
      </c>
      <c r="P1171" s="15">
        <f t="shared" si="139"/>
        <v>5.5531406201194483E-2</v>
      </c>
      <c r="Q1171" s="15">
        <f t="shared" si="140"/>
        <v>5.5531406201762917E-2</v>
      </c>
      <c r="R1171" s="15">
        <f t="shared" si="135"/>
        <v>5.55314062014787E-2</v>
      </c>
      <c r="S1171" s="18">
        <f t="shared" si="136"/>
        <v>-8.2643750829447526E-6</v>
      </c>
      <c r="T1171" s="18">
        <f t="shared" si="137"/>
        <v>1.5737591638753656E-5</v>
      </c>
      <c r="U1171" s="18">
        <f t="shared" si="138"/>
        <v>3.8341636354743969E-6</v>
      </c>
    </row>
    <row r="1172" spans="15:21" x14ac:dyDescent="0.25">
      <c r="O1172" s="15">
        <v>1146</v>
      </c>
      <c r="P1172" s="15">
        <f t="shared" si="139"/>
        <v>5.5531406201194483E-2</v>
      </c>
      <c r="Q1172" s="15">
        <f t="shared" si="140"/>
        <v>5.55314062014787E-2</v>
      </c>
      <c r="R1172" s="15">
        <f t="shared" si="135"/>
        <v>5.5531406201336592E-2</v>
      </c>
      <c r="S1172" s="18">
        <f t="shared" si="136"/>
        <v>-8.2643750829447526E-6</v>
      </c>
      <c r="T1172" s="18">
        <f t="shared" si="137"/>
        <v>3.8341636354743969E-6</v>
      </c>
      <c r="U1172" s="18">
        <f t="shared" si="138"/>
        <v>-2.2141739464132115E-6</v>
      </c>
    </row>
    <row r="1173" spans="15:21" x14ac:dyDescent="0.25">
      <c r="O1173" s="15">
        <v>1147</v>
      </c>
      <c r="P1173" s="15">
        <f t="shared" si="139"/>
        <v>5.5531406201336592E-2</v>
      </c>
      <c r="Q1173" s="15">
        <f t="shared" si="140"/>
        <v>5.55314062014787E-2</v>
      </c>
      <c r="R1173" s="15">
        <f t="shared" si="135"/>
        <v>5.5531406201407646E-2</v>
      </c>
      <c r="S1173" s="18">
        <f t="shared" si="136"/>
        <v>-2.2141739464132115E-6</v>
      </c>
      <c r="T1173" s="18">
        <f t="shared" si="137"/>
        <v>3.8341636354743969E-6</v>
      </c>
      <c r="U1173" s="18">
        <f t="shared" si="138"/>
        <v>7.1383738031727262E-7</v>
      </c>
    </row>
  </sheetData>
  <dataValidations count="1">
    <dataValidation type="list" allowBlank="1" showInputMessage="1" showErrorMessage="1" sqref="E7 J16:M16" xr:uid="{EAD0132F-0D5E-458B-A6E8-5C7295C5B95F}">
      <formula1>$L$4:$L$8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88461-6E19-4DF7-A4E0-4F1A5AE35F59}">
  <dimension ref="A2:F503"/>
  <sheetViews>
    <sheetView zoomScaleNormal="100" workbookViewId="0">
      <selection activeCell="Q22" sqref="Q22"/>
    </sheetView>
  </sheetViews>
  <sheetFormatPr defaultRowHeight="15" x14ac:dyDescent="0.25"/>
  <cols>
    <col min="1" max="1" width="8.85546875" style="15"/>
    <col min="2" max="2" width="8.85546875" style="17"/>
    <col min="3" max="3" width="13.28515625" style="22" customWidth="1"/>
    <col min="4" max="4" width="11.5703125" style="22" customWidth="1"/>
    <col min="5" max="5" width="14" style="22" customWidth="1"/>
    <col min="6" max="6" width="15.28515625" style="22" customWidth="1"/>
  </cols>
  <sheetData>
    <row r="2" spans="1:6" x14ac:dyDescent="0.25">
      <c r="B2" s="16" t="s">
        <v>31</v>
      </c>
      <c r="C2" s="21" t="s">
        <v>32</v>
      </c>
      <c r="D2" s="21" t="s">
        <v>33</v>
      </c>
      <c r="E2" s="21" t="s">
        <v>34</v>
      </c>
      <c r="F2" s="21" t="s">
        <v>35</v>
      </c>
    </row>
    <row r="3" spans="1:6" x14ac:dyDescent="0.25">
      <c r="A3" s="15">
        <v>0</v>
      </c>
      <c r="B3" s="17">
        <f>IF(A3&lt;='APR and payment'!$E$5,'Remaining debt'!A3,"")</f>
        <v>0</v>
      </c>
      <c r="F3" s="22">
        <f>'APR and payment'!E4</f>
        <v>4000000</v>
      </c>
    </row>
    <row r="4" spans="1:6" x14ac:dyDescent="0.25">
      <c r="A4" s="15">
        <v>1</v>
      </c>
      <c r="B4" s="17">
        <f>IF(A4&lt;='APR and payment'!$E$5,'Remaining debt'!A4,"")</f>
        <v>1</v>
      </c>
      <c r="C4" s="22">
        <f>IF(A4&lt;='APR and payment'!$E$5,'APR and payment'!$E$24,"")</f>
        <v>22461.231674784805</v>
      </c>
      <c r="D4" s="22">
        <f>C4-E4</f>
        <v>4461.2316747848054</v>
      </c>
      <c r="E4" s="22">
        <f>IF(A4&lt;='APR and payment'!$E$5,F3*'APR and payment'!$E$6/'APR and payment'!$L$9,"")</f>
        <v>18000</v>
      </c>
      <c r="F4" s="22">
        <f>IF(A4&lt;='APR and payment'!$E$5,F3-D4,"")</f>
        <v>3995538.7683252152</v>
      </c>
    </row>
    <row r="5" spans="1:6" x14ac:dyDescent="0.25">
      <c r="A5" s="15">
        <v>2</v>
      </c>
      <c r="B5" s="17">
        <f>IF(A5&lt;='APR and payment'!$E$5,'Remaining debt'!A5,"")</f>
        <v>2</v>
      </c>
      <c r="C5" s="22">
        <f>IF(A5&lt;='APR and payment'!$E$5,'APR and payment'!$E$24,"")</f>
        <v>22461.231674784805</v>
      </c>
      <c r="D5" s="22">
        <f>IF(A5&lt;='APR and payment'!$E$5,C5-E5,"")</f>
        <v>4481.3072173213368</v>
      </c>
      <c r="E5" s="22">
        <f>IF(A5&lt;='APR and payment'!$E$5,F4*'APR and payment'!$E$6/'APR and payment'!$L$9,"")</f>
        <v>17979.924457463469</v>
      </c>
      <c r="F5" s="22">
        <f>IF(A5&lt;='APR and payment'!$E$5,F4-D5,"")</f>
        <v>3991057.4611078938</v>
      </c>
    </row>
    <row r="6" spans="1:6" x14ac:dyDescent="0.25">
      <c r="A6" s="15">
        <v>3</v>
      </c>
      <c r="B6" s="17">
        <f>IF(A6&lt;='APR and payment'!$E$5,'Remaining debt'!A6,"")</f>
        <v>3</v>
      </c>
      <c r="C6" s="22">
        <f>IF(A6&lt;='APR and payment'!$E$5,'APR and payment'!$E$24,"")</f>
        <v>22461.231674784805</v>
      </c>
      <c r="D6" s="22">
        <f>IF(A6&lt;='APR and payment'!$E$5,C6-E6,"")</f>
        <v>4501.473099799281</v>
      </c>
      <c r="E6" s="22">
        <f>IF(A6&lt;='APR and payment'!$E$5,F5*'APR and payment'!$E$6/'APR and payment'!$L$9,"")</f>
        <v>17959.758574985524</v>
      </c>
      <c r="F6" s="22">
        <f>IF(A6&lt;='APR and payment'!$E$5,F5-D6,"")</f>
        <v>3986555.9880080945</v>
      </c>
    </row>
    <row r="7" spans="1:6" x14ac:dyDescent="0.25">
      <c r="A7" s="15">
        <v>4</v>
      </c>
      <c r="B7" s="17">
        <f>IF(A7&lt;='APR and payment'!$E$5,'Remaining debt'!A7,"")</f>
        <v>4</v>
      </c>
      <c r="C7" s="22">
        <f>IF(A7&lt;='APR and payment'!$E$5,'APR and payment'!$E$24,"")</f>
        <v>22461.231674784805</v>
      </c>
      <c r="D7" s="22">
        <f>IF(A7&lt;='APR and payment'!$E$5,C7-E7,"")</f>
        <v>4521.7297287483816</v>
      </c>
      <c r="E7" s="22">
        <f>IF(A7&lt;='APR and payment'!$E$5,F6*'APR and payment'!$E$6/'APR and payment'!$L$9,"")</f>
        <v>17939.501946036424</v>
      </c>
      <c r="F7" s="22">
        <f>IF(A7&lt;='APR and payment'!$E$5,F6-D7,"")</f>
        <v>3982034.2582793459</v>
      </c>
    </row>
    <row r="8" spans="1:6" x14ac:dyDescent="0.25">
      <c r="A8" s="15">
        <v>5</v>
      </c>
      <c r="B8" s="17">
        <f>IF(A8&lt;='APR and payment'!$E$5,'Remaining debt'!A8,"")</f>
        <v>5</v>
      </c>
      <c r="C8" s="22">
        <f>IF(A8&lt;='APR and payment'!$E$5,'APR and payment'!$E$24,"")</f>
        <v>22461.231674784805</v>
      </c>
      <c r="D8" s="22">
        <f>IF(A8&lt;='APR and payment'!$E$5,C8-E8,"")</f>
        <v>4542.0775125277505</v>
      </c>
      <c r="E8" s="22">
        <f>IF(A8&lt;='APR and payment'!$E$5,F7*'APR and payment'!$E$6/'APR and payment'!$L$9,"")</f>
        <v>17919.154162257055</v>
      </c>
      <c r="F8" s="22">
        <f>IF(A8&lt;='APR and payment'!$E$5,F7-D8,"")</f>
        <v>3977492.1807668181</v>
      </c>
    </row>
    <row r="9" spans="1:6" x14ac:dyDescent="0.25">
      <c r="A9" s="15">
        <v>6</v>
      </c>
      <c r="B9" s="17">
        <f>IF(A9&lt;='APR and payment'!$E$5,'Remaining debt'!A9,"")</f>
        <v>6</v>
      </c>
      <c r="C9" s="22">
        <f>IF(A9&lt;='APR and payment'!$E$5,'APR and payment'!$E$24,"")</f>
        <v>22461.231674784805</v>
      </c>
      <c r="D9" s="22">
        <f>IF(A9&lt;='APR and payment'!$E$5,C9-E9,"")</f>
        <v>4562.516861334123</v>
      </c>
      <c r="E9" s="22">
        <f>IF(A9&lt;='APR and payment'!$E$5,F8*'APR and payment'!$E$6/'APR and payment'!$L$9,"")</f>
        <v>17898.714813450682</v>
      </c>
      <c r="F9" s="22">
        <f>IF(A9&lt;='APR and payment'!$E$5,F8-D9,"")</f>
        <v>3972929.6639054841</v>
      </c>
    </row>
    <row r="10" spans="1:6" x14ac:dyDescent="0.25">
      <c r="A10" s="15">
        <v>7</v>
      </c>
      <c r="B10" s="17">
        <f>IF(A10&lt;='APR and payment'!$E$5,'Remaining debt'!A10,"")</f>
        <v>7</v>
      </c>
      <c r="C10" s="22">
        <f>IF(A10&lt;='APR and payment'!$E$5,'APR and payment'!$E$24,"")</f>
        <v>22461.231674784805</v>
      </c>
      <c r="D10" s="22">
        <f>IF(A10&lt;='APR and payment'!$E$5,C10-E10,"")</f>
        <v>4583.0481872101263</v>
      </c>
      <c r="E10" s="22">
        <f>IF(A10&lt;='APR and payment'!$E$5,F9*'APR and payment'!$E$6/'APR and payment'!$L$9,"")</f>
        <v>17878.183487574679</v>
      </c>
      <c r="F10" s="22">
        <f>IF(A10&lt;='APR and payment'!$E$5,F9-D10,"")</f>
        <v>3968346.6157182739</v>
      </c>
    </row>
    <row r="11" spans="1:6" x14ac:dyDescent="0.25">
      <c r="A11" s="15">
        <v>8</v>
      </c>
      <c r="B11" s="17">
        <f>IF(A11&lt;='APR and payment'!$E$5,'Remaining debt'!A11,"")</f>
        <v>8</v>
      </c>
      <c r="C11" s="22">
        <f>IF(A11&lt;='APR and payment'!$E$5,'APR and payment'!$E$24,"")</f>
        <v>22461.231674784805</v>
      </c>
      <c r="D11" s="22">
        <f>IF(A11&lt;='APR and payment'!$E$5,C11-E11,"")</f>
        <v>4603.6719040525713</v>
      </c>
      <c r="E11" s="22">
        <f>IF(A11&lt;='APR and payment'!$E$5,F10*'APR and payment'!$E$6/'APR and payment'!$L$9,"")</f>
        <v>17857.559770732234</v>
      </c>
      <c r="F11" s="22">
        <f>IF(A11&lt;='APR and payment'!$E$5,F10-D11,"")</f>
        <v>3963742.9438142213</v>
      </c>
    </row>
    <row r="12" spans="1:6" x14ac:dyDescent="0.25">
      <c r="A12" s="15">
        <v>9</v>
      </c>
      <c r="B12" s="17">
        <f>IF(A12&lt;='APR and payment'!$E$5,'Remaining debt'!A12,"")</f>
        <v>9</v>
      </c>
      <c r="C12" s="22">
        <f>IF(A12&lt;='APR and payment'!$E$5,'APR and payment'!$E$24,"")</f>
        <v>22461.231674784805</v>
      </c>
      <c r="D12" s="22">
        <f>IF(A12&lt;='APR and payment'!$E$5,C12-E12,"")</f>
        <v>4624.3884276208119</v>
      </c>
      <c r="E12" s="22">
        <f>IF(A12&lt;='APR and payment'!$E$5,F11*'APR and payment'!$E$6/'APR and payment'!$L$9,"")</f>
        <v>17836.843247163994</v>
      </c>
      <c r="F12" s="22">
        <f>IF(A12&lt;='APR and payment'!$E$5,F11-D12,"")</f>
        <v>3959118.5553866006</v>
      </c>
    </row>
    <row r="13" spans="1:6" x14ac:dyDescent="0.25">
      <c r="A13" s="15">
        <v>10</v>
      </c>
      <c r="B13" s="17">
        <f>IF(A13&lt;='APR and payment'!$E$5,'Remaining debt'!A13,"")</f>
        <v>10</v>
      </c>
      <c r="C13" s="22">
        <f>IF(A13&lt;='APR and payment'!$E$5,'APR and payment'!$E$24,"")</f>
        <v>22461.231674784805</v>
      </c>
      <c r="D13" s="22">
        <f>IF(A13&lt;='APR and payment'!$E$5,C13-E13,"")</f>
        <v>4645.1981755451052</v>
      </c>
      <c r="E13" s="22">
        <f>IF(A13&lt;='APR and payment'!$E$5,F12*'APR and payment'!$E$6/'APR and payment'!$L$9,"")</f>
        <v>17816.0334992397</v>
      </c>
      <c r="F13" s="22">
        <f>IF(A13&lt;='APR and payment'!$E$5,F12-D13,"")</f>
        <v>3954473.3572110552</v>
      </c>
    </row>
    <row r="14" spans="1:6" x14ac:dyDescent="0.25">
      <c r="A14" s="15">
        <v>11</v>
      </c>
      <c r="B14" s="17">
        <f>IF(A14&lt;='APR and payment'!$E$5,'Remaining debt'!A14,"")</f>
        <v>11</v>
      </c>
      <c r="C14" s="22">
        <f>IF(A14&lt;='APR and payment'!$E$5,'APR and payment'!$E$24,"")</f>
        <v>22461.231674784805</v>
      </c>
      <c r="D14" s="22">
        <f>IF(A14&lt;='APR and payment'!$E$5,C14-E14,"")</f>
        <v>4666.1015673350557</v>
      </c>
      <c r="E14" s="22">
        <f>IF(A14&lt;='APR and payment'!$E$5,F13*'APR and payment'!$E$6/'APR and payment'!$L$9,"")</f>
        <v>17795.13010744975</v>
      </c>
      <c r="F14" s="22">
        <f>IF(A14&lt;='APR and payment'!$E$5,F13-D14,"")</f>
        <v>3949807.2556437203</v>
      </c>
    </row>
    <row r="15" spans="1:6" x14ac:dyDescent="0.25">
      <c r="A15" s="15">
        <v>12</v>
      </c>
      <c r="B15" s="17">
        <f>IF(A15&lt;='APR and payment'!$E$5,'Remaining debt'!A15,"")</f>
        <v>12</v>
      </c>
      <c r="C15" s="22">
        <f>IF(A15&lt;='APR and payment'!$E$5,'APR and payment'!$E$24,"")</f>
        <v>22461.231674784805</v>
      </c>
      <c r="D15" s="22">
        <f>IF(A15&lt;='APR and payment'!$E$5,C15-E15,"")</f>
        <v>4687.099024388066</v>
      </c>
      <c r="E15" s="22">
        <f>IF(A15&lt;='APR and payment'!$E$5,F14*'APR and payment'!$E$6/'APR and payment'!$L$9,"")</f>
        <v>17774.132650396739</v>
      </c>
      <c r="F15" s="22">
        <f>IF(A15&lt;='APR and payment'!$E$5,F14-D15,"")</f>
        <v>3945120.1566193323</v>
      </c>
    </row>
    <row r="16" spans="1:6" x14ac:dyDescent="0.25">
      <c r="A16" s="15">
        <v>13</v>
      </c>
      <c r="B16" s="17">
        <f>IF(A16&lt;='APR and payment'!$E$5,'Remaining debt'!A16,"")</f>
        <v>13</v>
      </c>
      <c r="C16" s="22">
        <f>IF(A16&lt;='APR and payment'!$E$5,'APR and payment'!$E$24,"")</f>
        <v>22461.231674784805</v>
      </c>
      <c r="D16" s="22">
        <f>IF(A16&lt;='APR and payment'!$E$5,C16-E16,"")</f>
        <v>4708.1909699978096</v>
      </c>
      <c r="E16" s="22">
        <f>IF(A16&lt;='APR and payment'!$E$5,F15*'APR and payment'!$E$6/'APR and payment'!$L$9,"")</f>
        <v>17753.040704786996</v>
      </c>
      <c r="F16" s="22">
        <f>IF(A16&lt;='APR and payment'!$E$5,F15-D16,"")</f>
        <v>3940411.9656493342</v>
      </c>
    </row>
    <row r="17" spans="1:6" x14ac:dyDescent="0.25">
      <c r="A17" s="15">
        <v>14</v>
      </c>
      <c r="B17" s="17">
        <f>IF(A17&lt;='APR and payment'!$E$5,'Remaining debt'!A17,"")</f>
        <v>14</v>
      </c>
      <c r="C17" s="22">
        <f>IF(A17&lt;='APR and payment'!$E$5,'APR and payment'!$E$24,"")</f>
        <v>22461.231674784805</v>
      </c>
      <c r="D17" s="22">
        <f>IF(A17&lt;='APR and payment'!$E$5,C17-E17,"")</f>
        <v>4729.377829362802</v>
      </c>
      <c r="E17" s="22">
        <f>IF(A17&lt;='APR and payment'!$E$5,F16*'APR and payment'!$E$6/'APR and payment'!$L$9,"")</f>
        <v>17731.853845422003</v>
      </c>
      <c r="F17" s="22">
        <f>IF(A17&lt;='APR and payment'!$E$5,F16-D17,"")</f>
        <v>3935682.5878199716</v>
      </c>
    </row>
    <row r="18" spans="1:6" x14ac:dyDescent="0.25">
      <c r="A18" s="15">
        <v>15</v>
      </c>
      <c r="B18" s="17">
        <f>IF(A18&lt;='APR and payment'!$E$5,'Remaining debt'!A18,"")</f>
        <v>15</v>
      </c>
      <c r="C18" s="22">
        <f>IF(A18&lt;='APR and payment'!$E$5,'APR and payment'!$E$24,"")</f>
        <v>22461.231674784805</v>
      </c>
      <c r="D18" s="22">
        <f>IF(A18&lt;='APR and payment'!$E$5,C18-E18,"")</f>
        <v>4750.660029594932</v>
      </c>
      <c r="E18" s="22">
        <f>IF(A18&lt;='APR and payment'!$E$5,F17*'APR and payment'!$E$6/'APR and payment'!$L$9,"")</f>
        <v>17710.571645189873</v>
      </c>
      <c r="F18" s="22">
        <f>IF(A18&lt;='APR and payment'!$E$5,F17-D18,"")</f>
        <v>3930931.9277903768</v>
      </c>
    </row>
    <row r="19" spans="1:6" x14ac:dyDescent="0.25">
      <c r="A19" s="15">
        <v>16</v>
      </c>
      <c r="B19" s="17">
        <f>IF(A19&lt;='APR and payment'!$E$5,'Remaining debt'!A19,"")</f>
        <v>16</v>
      </c>
      <c r="C19" s="22">
        <f>IF(A19&lt;='APR and payment'!$E$5,'APR and payment'!$E$24,"")</f>
        <v>22461.231674784805</v>
      </c>
      <c r="D19" s="22">
        <f>IF(A19&lt;='APR and payment'!$E$5,C19-E19,"")</f>
        <v>4772.0379997281088</v>
      </c>
      <c r="E19" s="22">
        <f>IF(A19&lt;='APR and payment'!$E$5,F18*'APR and payment'!$E$6/'APR and payment'!$L$9,"")</f>
        <v>17689.193675056697</v>
      </c>
      <c r="F19" s="22">
        <f>IF(A19&lt;='APR and payment'!$E$5,F18-D19,"")</f>
        <v>3926159.8897906486</v>
      </c>
    </row>
    <row r="20" spans="1:6" x14ac:dyDescent="0.25">
      <c r="A20" s="15">
        <v>17</v>
      </c>
      <c r="B20" s="17">
        <f>IF(A20&lt;='APR and payment'!$E$5,'Remaining debt'!A20,"")</f>
        <v>17</v>
      </c>
      <c r="C20" s="22">
        <f>IF(A20&lt;='APR and payment'!$E$5,'APR and payment'!$E$24,"")</f>
        <v>22461.231674784805</v>
      </c>
      <c r="D20" s="22">
        <f>IF(A20&lt;='APR and payment'!$E$5,C20-E20,"")</f>
        <v>4793.5121707268845</v>
      </c>
      <c r="E20" s="22">
        <f>IF(A20&lt;='APR and payment'!$E$5,F19*'APR and payment'!$E$6/'APR and payment'!$L$9,"")</f>
        <v>17667.719504057921</v>
      </c>
      <c r="F20" s="22">
        <f>IF(A20&lt;='APR and payment'!$E$5,F19-D20,"")</f>
        <v>3921366.3776199217</v>
      </c>
    </row>
    <row r="21" spans="1:6" x14ac:dyDescent="0.25">
      <c r="A21" s="15">
        <v>18</v>
      </c>
      <c r="B21" s="17">
        <f>IF(A21&lt;='APR and payment'!$E$5,'Remaining debt'!A21,"")</f>
        <v>18</v>
      </c>
      <c r="C21" s="22">
        <f>IF(A21&lt;='APR and payment'!$E$5,'APR and payment'!$E$24,"")</f>
        <v>22461.231674784805</v>
      </c>
      <c r="D21" s="22">
        <f>IF(A21&lt;='APR and payment'!$E$5,C21-E21,"")</f>
        <v>4815.0829754951556</v>
      </c>
      <c r="E21" s="22">
        <f>IF(A21&lt;='APR and payment'!$E$5,F20*'APR and payment'!$E$6/'APR and payment'!$L$9,"")</f>
        <v>17646.14869928965</v>
      </c>
      <c r="F21" s="22">
        <f>IF(A21&lt;='APR and payment'!$E$5,F20-D21,"")</f>
        <v>3916551.2946444266</v>
      </c>
    </row>
    <row r="22" spans="1:6" x14ac:dyDescent="0.25">
      <c r="A22" s="15">
        <v>19</v>
      </c>
      <c r="B22" s="17">
        <f>IF(A22&lt;='APR and payment'!$E$5,'Remaining debt'!A22,"")</f>
        <v>19</v>
      </c>
      <c r="C22" s="22">
        <f>IF(A22&lt;='APR and payment'!$E$5,'APR and payment'!$E$24,"")</f>
        <v>22461.231674784805</v>
      </c>
      <c r="D22" s="22">
        <f>IF(A22&lt;='APR and payment'!$E$5,C22-E22,"")</f>
        <v>4836.7508488848871</v>
      </c>
      <c r="E22" s="22">
        <f>IF(A22&lt;='APR and payment'!$E$5,F21*'APR and payment'!$E$6/'APR and payment'!$L$9,"")</f>
        <v>17624.480825899918</v>
      </c>
      <c r="F22" s="22">
        <f>IF(A22&lt;='APR and payment'!$E$5,F21-D22,"")</f>
        <v>3911714.5437955419</v>
      </c>
    </row>
    <row r="23" spans="1:6" x14ac:dyDescent="0.25">
      <c r="A23" s="15">
        <v>20</v>
      </c>
      <c r="B23" s="17">
        <f>IF(A23&lt;='APR and payment'!$E$5,'Remaining debt'!A23,"")</f>
        <v>20</v>
      </c>
      <c r="C23" s="22">
        <f>IF(A23&lt;='APR and payment'!$E$5,'APR and payment'!$E$24,"")</f>
        <v>22461.231674784805</v>
      </c>
      <c r="D23" s="22">
        <f>IF(A23&lt;='APR and payment'!$E$5,C23-E23,"")</f>
        <v>4858.5162277048657</v>
      </c>
      <c r="E23" s="22">
        <f>IF(A23&lt;='APR and payment'!$E$5,F22*'APR and payment'!$E$6/'APR and payment'!$L$9,"")</f>
        <v>17602.71544707994</v>
      </c>
      <c r="F23" s="22">
        <f>IF(A23&lt;='APR and payment'!$E$5,F22-D23,"")</f>
        <v>3906856.0275678369</v>
      </c>
    </row>
    <row r="24" spans="1:6" x14ac:dyDescent="0.25">
      <c r="A24" s="15">
        <v>21</v>
      </c>
      <c r="B24" s="17">
        <f>IF(A24&lt;='APR and payment'!$E$5,'Remaining debt'!A24,"")</f>
        <v>21</v>
      </c>
      <c r="C24" s="22">
        <f>IF(A24&lt;='APR and payment'!$E$5,'APR and payment'!$E$24,"")</f>
        <v>22461.231674784805</v>
      </c>
      <c r="D24" s="22">
        <f>IF(A24&lt;='APR and payment'!$E$5,C24-E24,"")</f>
        <v>4880.3795507295399</v>
      </c>
      <c r="E24" s="22">
        <f>IF(A24&lt;='APR and payment'!$E$5,F23*'APR and payment'!$E$6/'APR and payment'!$L$9,"")</f>
        <v>17580.852124055265</v>
      </c>
      <c r="F24" s="22">
        <f>IF(A24&lt;='APR and payment'!$E$5,F23-D24,"")</f>
        <v>3901975.6480171075</v>
      </c>
    </row>
    <row r="25" spans="1:6" x14ac:dyDescent="0.25">
      <c r="A25" s="15">
        <v>22</v>
      </c>
      <c r="B25" s="17">
        <f>IF(A25&lt;='APR and payment'!$E$5,'Remaining debt'!A25,"")</f>
        <v>22</v>
      </c>
      <c r="C25" s="22">
        <f>IF(A25&lt;='APR and payment'!$E$5,'APR and payment'!$E$24,"")</f>
        <v>22461.231674784805</v>
      </c>
      <c r="D25" s="22">
        <f>IF(A25&lt;='APR and payment'!$E$5,C25-E25,"")</f>
        <v>4902.3412587078201</v>
      </c>
      <c r="E25" s="22">
        <f>IF(A25&lt;='APR and payment'!$E$5,F24*'APR and payment'!$E$6/'APR and payment'!$L$9,"")</f>
        <v>17558.890416076985</v>
      </c>
      <c r="F25" s="22">
        <f>IF(A25&lt;='APR and payment'!$E$5,F24-D25,"")</f>
        <v>3897073.3067583996</v>
      </c>
    </row>
    <row r="26" spans="1:6" x14ac:dyDescent="0.25">
      <c r="A26" s="15">
        <v>23</v>
      </c>
      <c r="B26" s="17">
        <f>IF(A26&lt;='APR and payment'!$E$5,'Remaining debt'!A26,"")</f>
        <v>23</v>
      </c>
      <c r="C26" s="22">
        <f>IF(A26&lt;='APR and payment'!$E$5,'APR and payment'!$E$24,"")</f>
        <v>22461.231674784805</v>
      </c>
      <c r="D26" s="22">
        <f>IF(A26&lt;='APR and payment'!$E$5,C26-E26,"")</f>
        <v>4924.4017943720064</v>
      </c>
      <c r="E26" s="22">
        <f>IF(A26&lt;='APR and payment'!$E$5,F25*'APR and payment'!$E$6/'APR and payment'!$L$9,"")</f>
        <v>17536.829880412799</v>
      </c>
      <c r="F26" s="22">
        <f>IF(A26&lt;='APR and payment'!$E$5,F25-D26,"")</f>
        <v>3892148.9049640275</v>
      </c>
    </row>
    <row r="27" spans="1:6" x14ac:dyDescent="0.25">
      <c r="A27" s="15">
        <v>24</v>
      </c>
      <c r="B27" s="17">
        <f>IF(A27&lt;='APR and payment'!$E$5,'Remaining debt'!A27,"")</f>
        <v>24</v>
      </c>
      <c r="C27" s="22">
        <f>IF(A27&lt;='APR and payment'!$E$5,'APR and payment'!$E$24,"")</f>
        <v>22461.231674784805</v>
      </c>
      <c r="D27" s="22">
        <f>IF(A27&lt;='APR and payment'!$E$5,C27-E27,"")</f>
        <v>4946.5616024466799</v>
      </c>
      <c r="E27" s="22">
        <f>IF(A27&lt;='APR and payment'!$E$5,F26*'APR and payment'!$E$6/'APR and payment'!$L$9,"")</f>
        <v>17514.670072338125</v>
      </c>
      <c r="F27" s="22">
        <f>IF(A27&lt;='APR and payment'!$E$5,F26-D27,"")</f>
        <v>3887202.3433615807</v>
      </c>
    </row>
    <row r="28" spans="1:6" x14ac:dyDescent="0.25">
      <c r="A28" s="15">
        <v>25</v>
      </c>
      <c r="B28" s="17">
        <f>IF(A28&lt;='APR and payment'!$E$5,'Remaining debt'!A28,"")</f>
        <v>25</v>
      </c>
      <c r="C28" s="22">
        <f>IF(A28&lt;='APR and payment'!$E$5,'APR and payment'!$E$24,"")</f>
        <v>22461.231674784805</v>
      </c>
      <c r="D28" s="22">
        <f>IF(A28&lt;='APR and payment'!$E$5,C28-E28,"")</f>
        <v>4968.8211296576919</v>
      </c>
      <c r="E28" s="22">
        <f>IF(A28&lt;='APR and payment'!$E$5,F27*'APR and payment'!$E$6/'APR and payment'!$L$9,"")</f>
        <v>17492.410545127113</v>
      </c>
      <c r="F28" s="22">
        <f>IF(A28&lt;='APR and payment'!$E$5,F27-D28,"")</f>
        <v>3882233.522231923</v>
      </c>
    </row>
    <row r="29" spans="1:6" x14ac:dyDescent="0.25">
      <c r="A29" s="15">
        <v>26</v>
      </c>
      <c r="B29" s="17">
        <f>IF(A29&lt;='APR and payment'!$E$5,'Remaining debt'!A29,"")</f>
        <v>26</v>
      </c>
      <c r="C29" s="22">
        <f>IF(A29&lt;='APR and payment'!$E$5,'APR and payment'!$E$24,"")</f>
        <v>22461.231674784805</v>
      </c>
      <c r="D29" s="22">
        <f>IF(A29&lt;='APR and payment'!$E$5,C29-E29,"")</f>
        <v>4991.1808247411536</v>
      </c>
      <c r="E29" s="22">
        <f>IF(A29&lt;='APR and payment'!$E$5,F28*'APR and payment'!$E$6/'APR and payment'!$L$9,"")</f>
        <v>17470.050850043652</v>
      </c>
      <c r="F29" s="22">
        <f>IF(A29&lt;='APR and payment'!$E$5,F28-D29,"")</f>
        <v>3877242.3414071817</v>
      </c>
    </row>
    <row r="30" spans="1:6" x14ac:dyDescent="0.25">
      <c r="A30" s="15">
        <v>27</v>
      </c>
      <c r="B30" s="17">
        <f>IF(A30&lt;='APR and payment'!$E$5,'Remaining debt'!A30,"")</f>
        <v>27</v>
      </c>
      <c r="C30" s="22">
        <f>IF(A30&lt;='APR and payment'!$E$5,'APR and payment'!$E$24,"")</f>
        <v>22461.231674784805</v>
      </c>
      <c r="D30" s="22">
        <f>IF(A30&lt;='APR and payment'!$E$5,C30-E30,"")</f>
        <v>5013.6411384524872</v>
      </c>
      <c r="E30" s="22">
        <f>IF(A30&lt;='APR and payment'!$E$5,F29*'APR and payment'!$E$6/'APR and payment'!$L$9,"")</f>
        <v>17447.590536332318</v>
      </c>
      <c r="F30" s="22">
        <f>IF(A30&lt;='APR and payment'!$E$5,F29-D30,"")</f>
        <v>3872228.7002687291</v>
      </c>
    </row>
    <row r="31" spans="1:6" x14ac:dyDescent="0.25">
      <c r="A31" s="15">
        <v>28</v>
      </c>
      <c r="B31" s="17">
        <f>IF(A31&lt;='APR and payment'!$E$5,'Remaining debt'!A31,"")</f>
        <v>28</v>
      </c>
      <c r="C31" s="22">
        <f>IF(A31&lt;='APR and payment'!$E$5,'APR and payment'!$E$24,"")</f>
        <v>22461.231674784805</v>
      </c>
      <c r="D31" s="22">
        <f>IF(A31&lt;='APR and payment'!$E$5,C31-E31,"")</f>
        <v>5036.2025235755245</v>
      </c>
      <c r="E31" s="22">
        <f>IF(A31&lt;='APR and payment'!$E$5,F30*'APR and payment'!$E$6/'APR and payment'!$L$9,"")</f>
        <v>17425.029151209281</v>
      </c>
      <c r="F31" s="22">
        <f>IF(A31&lt;='APR and payment'!$E$5,F30-D31,"")</f>
        <v>3867192.4977451535</v>
      </c>
    </row>
    <row r="32" spans="1:6" x14ac:dyDescent="0.25">
      <c r="A32" s="15">
        <v>29</v>
      </c>
      <c r="B32" s="17">
        <f>IF(A32&lt;='APR and payment'!$E$5,'Remaining debt'!A32,"")</f>
        <v>29</v>
      </c>
      <c r="C32" s="22">
        <f>IF(A32&lt;='APR and payment'!$E$5,'APR and payment'!$E$24,"")</f>
        <v>22461.231674784805</v>
      </c>
      <c r="D32" s="22">
        <f>IF(A32&lt;='APR and payment'!$E$5,C32-E32,"")</f>
        <v>5058.865434931613</v>
      </c>
      <c r="E32" s="22">
        <f>IF(A32&lt;='APR and payment'!$E$5,F31*'APR and payment'!$E$6/'APR and payment'!$L$9,"")</f>
        <v>17402.366239853192</v>
      </c>
      <c r="F32" s="22">
        <f>IF(A32&lt;='APR and payment'!$E$5,F31-D32,"")</f>
        <v>3862133.6323102219</v>
      </c>
    </row>
    <row r="33" spans="1:6" x14ac:dyDescent="0.25">
      <c r="A33" s="15">
        <v>30</v>
      </c>
      <c r="B33" s="17">
        <f>IF(A33&lt;='APR and payment'!$E$5,'Remaining debt'!A33,"")</f>
        <v>30</v>
      </c>
      <c r="C33" s="22">
        <f>IF(A33&lt;='APR and payment'!$E$5,'APR and payment'!$E$24,"")</f>
        <v>22461.231674784805</v>
      </c>
      <c r="D33" s="22">
        <f>IF(A33&lt;='APR and payment'!$E$5,C33-E33,"")</f>
        <v>5081.630329388805</v>
      </c>
      <c r="E33" s="22">
        <f>IF(A33&lt;='APR and payment'!$E$5,F32*'APR and payment'!$E$6/'APR and payment'!$L$9,"")</f>
        <v>17379.601345396</v>
      </c>
      <c r="F33" s="22">
        <f>IF(A33&lt;='APR and payment'!$E$5,F32-D33,"")</f>
        <v>3857052.0019808332</v>
      </c>
    </row>
    <row r="34" spans="1:6" x14ac:dyDescent="0.25">
      <c r="A34" s="15">
        <v>31</v>
      </c>
      <c r="B34" s="17">
        <f>IF(A34&lt;='APR and payment'!$E$5,'Remaining debt'!A34,"")</f>
        <v>31</v>
      </c>
      <c r="C34" s="22">
        <f>IF(A34&lt;='APR and payment'!$E$5,'APR and payment'!$E$24,"")</f>
        <v>22461.231674784805</v>
      </c>
      <c r="D34" s="22">
        <f>IF(A34&lt;='APR and payment'!$E$5,C34-E34,"")</f>
        <v>5104.4976658710548</v>
      </c>
      <c r="E34" s="22">
        <f>IF(A34&lt;='APR and payment'!$E$5,F33*'APR and payment'!$E$6/'APR and payment'!$L$9,"")</f>
        <v>17356.734008913751</v>
      </c>
      <c r="F34" s="22">
        <f>IF(A34&lt;='APR and payment'!$E$5,F33-D34,"")</f>
        <v>3851947.5043149623</v>
      </c>
    </row>
    <row r="35" spans="1:6" x14ac:dyDescent="0.25">
      <c r="A35" s="15">
        <v>32</v>
      </c>
      <c r="B35" s="17">
        <f>IF(A35&lt;='APR and payment'!$E$5,'Remaining debt'!A35,"")</f>
        <v>32</v>
      </c>
      <c r="C35" s="22">
        <f>IF(A35&lt;='APR and payment'!$E$5,'APR and payment'!$E$24,"")</f>
        <v>22461.231674784805</v>
      </c>
      <c r="D35" s="22">
        <f>IF(A35&lt;='APR and payment'!$E$5,C35-E35,"")</f>
        <v>5127.4679053674772</v>
      </c>
      <c r="E35" s="22">
        <f>IF(A35&lt;='APR and payment'!$E$5,F34*'APR and payment'!$E$6/'APR and payment'!$L$9,"")</f>
        <v>17333.763769417328</v>
      </c>
      <c r="F35" s="22">
        <f>IF(A35&lt;='APR and payment'!$E$5,F34-D35,"")</f>
        <v>3846820.036409595</v>
      </c>
    </row>
    <row r="36" spans="1:6" x14ac:dyDescent="0.25">
      <c r="A36" s="15">
        <v>33</v>
      </c>
      <c r="B36" s="17">
        <f>IF(A36&lt;='APR and payment'!$E$5,'Remaining debt'!A36,"")</f>
        <v>33</v>
      </c>
      <c r="C36" s="22">
        <f>IF(A36&lt;='APR and payment'!$E$5,'APR and payment'!$E$24,"")</f>
        <v>22461.231674784805</v>
      </c>
      <c r="D36" s="22">
        <f>IF(A36&lt;='APR and payment'!$E$5,C36-E36,"")</f>
        <v>5150.5415109416281</v>
      </c>
      <c r="E36" s="22">
        <f>IF(A36&lt;='APR and payment'!$E$5,F35*'APR and payment'!$E$6/'APR and payment'!$L$9,"")</f>
        <v>17310.690163843177</v>
      </c>
      <c r="F36" s="22">
        <f>IF(A36&lt;='APR and payment'!$E$5,F35-D36,"")</f>
        <v>3841669.4948986536</v>
      </c>
    </row>
    <row r="37" spans="1:6" x14ac:dyDescent="0.25">
      <c r="A37" s="15">
        <v>34</v>
      </c>
      <c r="B37" s="17">
        <f>IF(A37&lt;='APR and payment'!$E$5,'Remaining debt'!A37,"")</f>
        <v>34</v>
      </c>
      <c r="C37" s="22">
        <f>IF(A37&lt;='APR and payment'!$E$5,'APR and payment'!$E$24,"")</f>
        <v>22461.231674784805</v>
      </c>
      <c r="D37" s="22">
        <f>IF(A37&lt;='APR and payment'!$E$5,C37-E37,"")</f>
        <v>5173.7189477408647</v>
      </c>
      <c r="E37" s="22">
        <f>IF(A37&lt;='APR and payment'!$E$5,F36*'APR and payment'!$E$6/'APR and payment'!$L$9,"")</f>
        <v>17287.512727043941</v>
      </c>
      <c r="F37" s="22">
        <f>IF(A37&lt;='APR and payment'!$E$5,F36-D37,"")</f>
        <v>3836495.7759509129</v>
      </c>
    </row>
    <row r="38" spans="1:6" x14ac:dyDescent="0.25">
      <c r="A38" s="15">
        <v>35</v>
      </c>
      <c r="B38" s="17">
        <f>IF(A38&lt;='APR and payment'!$E$5,'Remaining debt'!A38,"")</f>
        <v>35</v>
      </c>
      <c r="C38" s="22">
        <f>IF(A38&lt;='APR and payment'!$E$5,'APR and payment'!$E$24,"")</f>
        <v>22461.231674784805</v>
      </c>
      <c r="D38" s="22">
        <f>IF(A38&lt;='APR and payment'!$E$5,C38-E38,"")</f>
        <v>5197.0006830056955</v>
      </c>
      <c r="E38" s="22">
        <f>IF(A38&lt;='APR and payment'!$E$5,F37*'APR and payment'!$E$6/'APR and payment'!$L$9,"")</f>
        <v>17264.23099177911</v>
      </c>
      <c r="F38" s="22">
        <f>IF(A38&lt;='APR and payment'!$E$5,F37-D38,"")</f>
        <v>3831298.775267907</v>
      </c>
    </row>
    <row r="39" spans="1:6" x14ac:dyDescent="0.25">
      <c r="A39" s="15">
        <v>36</v>
      </c>
      <c r="B39" s="17">
        <f>IF(A39&lt;='APR and payment'!$E$5,'Remaining debt'!A39,"")</f>
        <v>36</v>
      </c>
      <c r="C39" s="22">
        <f>IF(A39&lt;='APR and payment'!$E$5,'APR and payment'!$E$24,"")</f>
        <v>22461.231674784805</v>
      </c>
      <c r="D39" s="22">
        <f>IF(A39&lt;='APR and payment'!$E$5,C39-E39,"")</f>
        <v>5220.3871860792242</v>
      </c>
      <c r="E39" s="22">
        <f>IF(A39&lt;='APR and payment'!$E$5,F38*'APR and payment'!$E$6/'APR and payment'!$L$9,"")</f>
        <v>17240.844488705581</v>
      </c>
      <c r="F39" s="22">
        <f>IF(A39&lt;='APR and payment'!$E$5,F38-D39,"")</f>
        <v>3826078.3880818277</v>
      </c>
    </row>
    <row r="40" spans="1:6" x14ac:dyDescent="0.25">
      <c r="A40" s="15">
        <v>37</v>
      </c>
      <c r="B40" s="17">
        <f>IF(A40&lt;='APR and payment'!$E$5,'Remaining debt'!A40,"")</f>
        <v>37</v>
      </c>
      <c r="C40" s="22">
        <f>IF(A40&lt;='APR and payment'!$E$5,'APR and payment'!$E$24,"")</f>
        <v>22461.231674784805</v>
      </c>
      <c r="D40" s="22">
        <f>IF(A40&lt;='APR and payment'!$E$5,C40-E40,"")</f>
        <v>5243.8789284165832</v>
      </c>
      <c r="E40" s="22">
        <f>IF(A40&lt;='APR and payment'!$E$5,F39*'APR and payment'!$E$6/'APR and payment'!$L$9,"")</f>
        <v>17217.352746368222</v>
      </c>
      <c r="F40" s="22">
        <f>IF(A40&lt;='APR and payment'!$E$5,F39-D40,"")</f>
        <v>3820834.5091534113</v>
      </c>
    </row>
    <row r="41" spans="1:6" x14ac:dyDescent="0.25">
      <c r="A41" s="15">
        <v>38</v>
      </c>
      <c r="B41" s="17">
        <f>IF(A41&lt;='APR and payment'!$E$5,'Remaining debt'!A41,"")</f>
        <v>38</v>
      </c>
      <c r="C41" s="22">
        <f>IF(A41&lt;='APR and payment'!$E$5,'APR and payment'!$E$24,"")</f>
        <v>22461.231674784805</v>
      </c>
      <c r="D41" s="22">
        <f>IF(A41&lt;='APR and payment'!$E$5,C41-E41,"")</f>
        <v>5267.4763835944541</v>
      </c>
      <c r="E41" s="22">
        <f>IF(A41&lt;='APR and payment'!$E$5,F40*'APR and payment'!$E$6/'APR and payment'!$L$9,"")</f>
        <v>17193.755291190351</v>
      </c>
      <c r="F41" s="22">
        <f>IF(A41&lt;='APR and payment'!$E$5,F40-D41,"")</f>
        <v>3815567.0327698169</v>
      </c>
    </row>
    <row r="42" spans="1:6" x14ac:dyDescent="0.25">
      <c r="A42" s="15">
        <v>39</v>
      </c>
      <c r="B42" s="17">
        <f>IF(A42&lt;='APR and payment'!$E$5,'Remaining debt'!A42,"")</f>
        <v>39</v>
      </c>
      <c r="C42" s="22">
        <f>IF(A42&lt;='APR and payment'!$E$5,'APR and payment'!$E$24,"")</f>
        <v>22461.231674784805</v>
      </c>
      <c r="D42" s="22">
        <f>IF(A42&lt;='APR and payment'!$E$5,C42-E42,"")</f>
        <v>5291.1800273206318</v>
      </c>
      <c r="E42" s="22">
        <f>IF(A42&lt;='APR and payment'!$E$5,F41*'APR and payment'!$E$6/'APR and payment'!$L$9,"")</f>
        <v>17170.051647464174</v>
      </c>
      <c r="F42" s="22">
        <f>IF(A42&lt;='APR and payment'!$E$5,F41-D42,"")</f>
        <v>3810275.8527424964</v>
      </c>
    </row>
    <row r="43" spans="1:6" x14ac:dyDescent="0.25">
      <c r="A43" s="15">
        <v>40</v>
      </c>
      <c r="B43" s="17">
        <f>IF(A43&lt;='APR and payment'!$E$5,'Remaining debt'!A43,"")</f>
        <v>40</v>
      </c>
      <c r="C43" s="22">
        <f>IF(A43&lt;='APR and payment'!$E$5,'APR and payment'!$E$24,"")</f>
        <v>22461.231674784805</v>
      </c>
      <c r="D43" s="22">
        <f>IF(A43&lt;='APR and payment'!$E$5,C43-E43,"")</f>
        <v>5314.9903374435708</v>
      </c>
      <c r="E43" s="22">
        <f>IF(A43&lt;='APR and payment'!$E$5,F42*'APR and payment'!$E$6/'APR and payment'!$L$9,"")</f>
        <v>17146.241337341235</v>
      </c>
      <c r="F43" s="22">
        <f>IF(A43&lt;='APR and payment'!$E$5,F42-D43,"")</f>
        <v>3804960.8624050529</v>
      </c>
    </row>
    <row r="44" spans="1:6" x14ac:dyDescent="0.25">
      <c r="A44" s="15">
        <v>41</v>
      </c>
      <c r="B44" s="17">
        <f>IF(A44&lt;='APR and payment'!$E$5,'Remaining debt'!A44,"")</f>
        <v>41</v>
      </c>
      <c r="C44" s="22">
        <f>IF(A44&lt;='APR and payment'!$E$5,'APR and payment'!$E$24,"")</f>
        <v>22461.231674784805</v>
      </c>
      <c r="D44" s="22">
        <f>IF(A44&lt;='APR and payment'!$E$5,C44-E44,"")</f>
        <v>5338.9077939620693</v>
      </c>
      <c r="E44" s="22">
        <f>IF(A44&lt;='APR and payment'!$E$5,F43*'APR and payment'!$E$6/'APR and payment'!$L$9,"")</f>
        <v>17122.323880822736</v>
      </c>
      <c r="F44" s="22">
        <f>IF(A44&lt;='APR and payment'!$E$5,F43-D44,"")</f>
        <v>3799621.9546110909</v>
      </c>
    </row>
    <row r="45" spans="1:6" x14ac:dyDescent="0.25">
      <c r="A45" s="15">
        <v>42</v>
      </c>
      <c r="B45" s="17">
        <f>IF(A45&lt;='APR and payment'!$E$5,'Remaining debt'!A45,"")</f>
        <v>42</v>
      </c>
      <c r="C45" s="22">
        <f>IF(A45&lt;='APR and payment'!$E$5,'APR and payment'!$E$24,"")</f>
        <v>22461.231674784805</v>
      </c>
      <c r="D45" s="22">
        <f>IF(A45&lt;='APR and payment'!$E$5,C45-E45,"")</f>
        <v>5362.9328790348954</v>
      </c>
      <c r="E45" s="22">
        <f>IF(A45&lt;='APR and payment'!$E$5,F44*'APR and payment'!$E$6/'APR and payment'!$L$9,"")</f>
        <v>17098.29879574991</v>
      </c>
      <c r="F45" s="22">
        <f>IF(A45&lt;='APR and payment'!$E$5,F44-D45,"")</f>
        <v>3794259.021732056</v>
      </c>
    </row>
    <row r="46" spans="1:6" x14ac:dyDescent="0.25">
      <c r="A46" s="15">
        <v>43</v>
      </c>
      <c r="B46" s="17">
        <f>IF(A46&lt;='APR and payment'!$E$5,'Remaining debt'!A46,"")</f>
        <v>43</v>
      </c>
      <c r="C46" s="22">
        <f>IF(A46&lt;='APR and payment'!$E$5,'APR and payment'!$E$24,"")</f>
        <v>22461.231674784805</v>
      </c>
      <c r="D46" s="22">
        <f>IF(A46&lt;='APR and payment'!$E$5,C46-E46,"")</f>
        <v>5387.0660769905517</v>
      </c>
      <c r="E46" s="22">
        <f>IF(A46&lt;='APR and payment'!$E$5,F45*'APR and payment'!$E$6/'APR and payment'!$L$9,"")</f>
        <v>17074.165597794254</v>
      </c>
      <c r="F46" s="22">
        <f>IF(A46&lt;='APR and payment'!$E$5,F45-D46,"")</f>
        <v>3788871.9556550654</v>
      </c>
    </row>
    <row r="47" spans="1:6" x14ac:dyDescent="0.25">
      <c r="A47" s="15">
        <v>44</v>
      </c>
      <c r="B47" s="17">
        <f>IF(A47&lt;='APR and payment'!$E$5,'Remaining debt'!A47,"")</f>
        <v>44</v>
      </c>
      <c r="C47" s="22">
        <f>IF(A47&lt;='APR and payment'!$E$5,'APR and payment'!$E$24,"")</f>
        <v>22461.231674784805</v>
      </c>
      <c r="D47" s="22">
        <f>IF(A47&lt;='APR and payment'!$E$5,C47-E47,"")</f>
        <v>5411.3078743370133</v>
      </c>
      <c r="E47" s="22">
        <f>IF(A47&lt;='APR and payment'!$E$5,F46*'APR and payment'!$E$6/'APR and payment'!$L$9,"")</f>
        <v>17049.923800447792</v>
      </c>
      <c r="F47" s="22">
        <f>IF(A47&lt;='APR and payment'!$E$5,F46-D47,"")</f>
        <v>3783460.6477807285</v>
      </c>
    </row>
    <row r="48" spans="1:6" x14ac:dyDescent="0.25">
      <c r="A48" s="15">
        <v>45</v>
      </c>
      <c r="B48" s="17">
        <f>IF(A48&lt;='APR and payment'!$E$5,'Remaining debt'!A48,"")</f>
        <v>45</v>
      </c>
      <c r="C48" s="22">
        <f>IF(A48&lt;='APR and payment'!$E$5,'APR and payment'!$E$24,"")</f>
        <v>22461.231674784805</v>
      </c>
      <c r="D48" s="22">
        <f>IF(A48&lt;='APR and payment'!$E$5,C48-E48,"")</f>
        <v>5435.6587597715261</v>
      </c>
      <c r="E48" s="22">
        <f>IF(A48&lt;='APR and payment'!$E$5,F47*'APR and payment'!$E$6/'APR and payment'!$L$9,"")</f>
        <v>17025.572915013279</v>
      </c>
      <c r="F48" s="22">
        <f>IF(A48&lt;='APR and payment'!$E$5,F47-D48,"")</f>
        <v>3778024.9890209571</v>
      </c>
    </row>
    <row r="49" spans="1:6" x14ac:dyDescent="0.25">
      <c r="A49" s="15">
        <v>46</v>
      </c>
      <c r="B49" s="17">
        <f>IF(A49&lt;='APR and payment'!$E$5,'Remaining debt'!A49,"")</f>
        <v>46</v>
      </c>
      <c r="C49" s="22">
        <f>IF(A49&lt;='APR and payment'!$E$5,'APR and payment'!$E$24,"")</f>
        <v>22461.231674784805</v>
      </c>
      <c r="D49" s="22">
        <f>IF(A49&lt;='APR and payment'!$E$5,C49-E49,"")</f>
        <v>5460.1192241904973</v>
      </c>
      <c r="E49" s="22">
        <f>IF(A49&lt;='APR and payment'!$E$5,F48*'APR and payment'!$E$6/'APR and payment'!$L$9,"")</f>
        <v>17001.112450594308</v>
      </c>
      <c r="F49" s="22">
        <f>IF(A49&lt;='APR and payment'!$E$5,F48-D49,"")</f>
        <v>3772564.8697967664</v>
      </c>
    </row>
    <row r="50" spans="1:6" x14ac:dyDescent="0.25">
      <c r="A50" s="15">
        <v>47</v>
      </c>
      <c r="B50" s="17">
        <f>IF(A50&lt;='APR and payment'!$E$5,'Remaining debt'!A50,"")</f>
        <v>47</v>
      </c>
      <c r="C50" s="22">
        <f>IF(A50&lt;='APR and payment'!$E$5,'APR and payment'!$E$24,"")</f>
        <v>22461.231674784805</v>
      </c>
      <c r="D50" s="22">
        <f>IF(A50&lt;='APR and payment'!$E$5,C50-E50,"")</f>
        <v>5484.6897606993589</v>
      </c>
      <c r="E50" s="22">
        <f>IF(A50&lt;='APR and payment'!$E$5,F49*'APR and payment'!$E$6/'APR and payment'!$L$9,"")</f>
        <v>16976.541914085446</v>
      </c>
      <c r="F50" s="22">
        <f>IF(A50&lt;='APR and payment'!$E$5,F49-D50,"")</f>
        <v>3767080.180036067</v>
      </c>
    </row>
    <row r="51" spans="1:6" x14ac:dyDescent="0.25">
      <c r="A51" s="15">
        <v>48</v>
      </c>
      <c r="B51" s="17">
        <f>IF(A51&lt;='APR and payment'!$E$5,'Remaining debt'!A51,"")</f>
        <v>48</v>
      </c>
      <c r="C51" s="22">
        <f>IF(A51&lt;='APR and payment'!$E$5,'APR and payment'!$E$24,"")</f>
        <v>22461.231674784805</v>
      </c>
      <c r="D51" s="22">
        <f>IF(A51&lt;='APR and payment'!$E$5,C51-E51,"")</f>
        <v>5509.3708646225059</v>
      </c>
      <c r="E51" s="22">
        <f>IF(A51&lt;='APR and payment'!$E$5,F50*'APR and payment'!$E$6/'APR and payment'!$L$9,"")</f>
        <v>16951.860810162299</v>
      </c>
      <c r="F51" s="22">
        <f>IF(A51&lt;='APR and payment'!$E$5,F50-D51,"")</f>
        <v>3761570.8091714447</v>
      </c>
    </row>
    <row r="52" spans="1:6" x14ac:dyDescent="0.25">
      <c r="A52" s="15">
        <v>49</v>
      </c>
      <c r="B52" s="17">
        <f>IF(A52&lt;='APR and payment'!$E$5,'Remaining debt'!A52,"")</f>
        <v>49</v>
      </c>
      <c r="C52" s="22">
        <f>IF(A52&lt;='APR and payment'!$E$5,'APR and payment'!$E$24,"")</f>
        <v>22461.231674784805</v>
      </c>
      <c r="D52" s="22">
        <f>IF(A52&lt;='APR and payment'!$E$5,C52-E52,"")</f>
        <v>5534.163033513305</v>
      </c>
      <c r="E52" s="22">
        <f>IF(A52&lt;='APR and payment'!$E$5,F51*'APR and payment'!$E$6/'APR and payment'!$L$9,"")</f>
        <v>16927.0686412715</v>
      </c>
      <c r="F52" s="22">
        <f>IF(A52&lt;='APR and payment'!$E$5,F51-D52,"")</f>
        <v>3756036.6461379314</v>
      </c>
    </row>
    <row r="53" spans="1:6" x14ac:dyDescent="0.25">
      <c r="A53" s="15">
        <v>50</v>
      </c>
      <c r="B53" s="17">
        <f>IF(A53&lt;='APR and payment'!$E$5,'Remaining debt'!A53,"")</f>
        <v>50</v>
      </c>
      <c r="C53" s="22">
        <f>IF(A53&lt;='APR and payment'!$E$5,'APR and payment'!$E$24,"")</f>
        <v>22461.231674784805</v>
      </c>
      <c r="D53" s="22">
        <f>IF(A53&lt;='APR and payment'!$E$5,C53-E53,"")</f>
        <v>5559.0667671641131</v>
      </c>
      <c r="E53" s="22">
        <f>IF(A53&lt;='APR and payment'!$E$5,F52*'APR and payment'!$E$6/'APR and payment'!$L$9,"")</f>
        <v>16902.164907620692</v>
      </c>
      <c r="F53" s="22">
        <f>IF(A53&lt;='APR and payment'!$E$5,F52-D53,"")</f>
        <v>3750477.5793707673</v>
      </c>
    </row>
    <row r="54" spans="1:6" x14ac:dyDescent="0.25">
      <c r="A54" s="15">
        <v>51</v>
      </c>
      <c r="B54" s="17">
        <f>IF(A54&lt;='APR and payment'!$E$5,'Remaining debt'!A54,"")</f>
        <v>51</v>
      </c>
      <c r="C54" s="22">
        <f>IF(A54&lt;='APR and payment'!$E$5,'APR and payment'!$E$24,"")</f>
        <v>22461.231674784805</v>
      </c>
      <c r="D54" s="22">
        <f>IF(A54&lt;='APR and payment'!$E$5,C54-E54,"")</f>
        <v>5584.0825676163513</v>
      </c>
      <c r="E54" s="22">
        <f>IF(A54&lt;='APR and payment'!$E$5,F53*'APR and payment'!$E$6/'APR and payment'!$L$9,"")</f>
        <v>16877.149107168454</v>
      </c>
      <c r="F54" s="22">
        <f>IF(A54&lt;='APR and payment'!$E$5,F53-D54,"")</f>
        <v>3744893.496803151</v>
      </c>
    </row>
    <row r="55" spans="1:6" x14ac:dyDescent="0.25">
      <c r="A55" s="15">
        <v>52</v>
      </c>
      <c r="B55" s="17">
        <f>IF(A55&lt;='APR and payment'!$E$5,'Remaining debt'!A55,"")</f>
        <v>52</v>
      </c>
      <c r="C55" s="22">
        <f>IF(A55&lt;='APR and payment'!$E$5,'APR and payment'!$E$24,"")</f>
        <v>22461.231674784805</v>
      </c>
      <c r="D55" s="22">
        <f>IF(A55&lt;='APR and payment'!$E$5,C55-E55,"")</f>
        <v>5609.2109391706254</v>
      </c>
      <c r="E55" s="22">
        <f>IF(A55&lt;='APR and payment'!$E$5,F54*'APR and payment'!$E$6/'APR and payment'!$L$9,"")</f>
        <v>16852.02073561418</v>
      </c>
      <c r="F55" s="22">
        <f>IF(A55&lt;='APR and payment'!$E$5,F54-D55,"")</f>
        <v>3739284.2858639802</v>
      </c>
    </row>
    <row r="56" spans="1:6" x14ac:dyDescent="0.25">
      <c r="A56" s="15">
        <v>53</v>
      </c>
      <c r="B56" s="17">
        <f>IF(A56&lt;='APR and payment'!$E$5,'Remaining debt'!A56,"")</f>
        <v>53</v>
      </c>
      <c r="C56" s="22">
        <f>IF(A56&lt;='APR and payment'!$E$5,'APR and payment'!$E$24,"")</f>
        <v>22461.231674784805</v>
      </c>
      <c r="D56" s="22">
        <f>IF(A56&lt;='APR and payment'!$E$5,C56-E56,"")</f>
        <v>5634.4523883968941</v>
      </c>
      <c r="E56" s="22">
        <f>IF(A56&lt;='APR and payment'!$E$5,F55*'APR and payment'!$E$6/'APR and payment'!$L$9,"")</f>
        <v>16826.779286387911</v>
      </c>
      <c r="F56" s="22">
        <f>IF(A56&lt;='APR and payment'!$E$5,F55-D56,"")</f>
        <v>3733649.8334755832</v>
      </c>
    </row>
    <row r="57" spans="1:6" x14ac:dyDescent="0.25">
      <c r="A57" s="15">
        <v>54</v>
      </c>
      <c r="B57" s="17">
        <f>IF(A57&lt;='APR and payment'!$E$5,'Remaining debt'!A57,"")</f>
        <v>54</v>
      </c>
      <c r="C57" s="22">
        <f>IF(A57&lt;='APR and payment'!$E$5,'APR and payment'!$E$24,"")</f>
        <v>22461.231674784805</v>
      </c>
      <c r="D57" s="22">
        <f>IF(A57&lt;='APR and payment'!$E$5,C57-E57,"")</f>
        <v>5659.8074241446811</v>
      </c>
      <c r="E57" s="22">
        <f>IF(A57&lt;='APR and payment'!$E$5,F56*'APR and payment'!$E$6/'APR and payment'!$L$9,"")</f>
        <v>16801.424250640124</v>
      </c>
      <c r="F57" s="22">
        <f>IF(A57&lt;='APR and payment'!$E$5,F56-D57,"")</f>
        <v>3727990.0260514384</v>
      </c>
    </row>
    <row r="58" spans="1:6" x14ac:dyDescent="0.25">
      <c r="A58" s="15">
        <v>55</v>
      </c>
      <c r="B58" s="17">
        <f>IF(A58&lt;='APR and payment'!$E$5,'Remaining debt'!A58,"")</f>
        <v>55</v>
      </c>
      <c r="C58" s="22">
        <f>IF(A58&lt;='APR and payment'!$E$5,'APR and payment'!$E$24,"")</f>
        <v>22461.231674784805</v>
      </c>
      <c r="D58" s="22">
        <f>IF(A58&lt;='APR and payment'!$E$5,C58-E58,"")</f>
        <v>5685.276557553334</v>
      </c>
      <c r="E58" s="22">
        <f>IF(A58&lt;='APR and payment'!$E$5,F57*'APR and payment'!$E$6/'APR and payment'!$L$9,"")</f>
        <v>16775.955117231471</v>
      </c>
      <c r="F58" s="22">
        <f>IF(A58&lt;='APR and payment'!$E$5,F57-D58,"")</f>
        <v>3722304.7494938849</v>
      </c>
    </row>
    <row r="59" spans="1:6" x14ac:dyDescent="0.25">
      <c r="A59" s="15">
        <v>56</v>
      </c>
      <c r="B59" s="17">
        <f>IF(A59&lt;='APR and payment'!$E$5,'Remaining debt'!A59,"")</f>
        <v>56</v>
      </c>
      <c r="C59" s="22">
        <f>IF(A59&lt;='APR and payment'!$E$5,'APR and payment'!$E$24,"")</f>
        <v>22461.231674784805</v>
      </c>
      <c r="D59" s="22">
        <f>IF(A59&lt;='APR and payment'!$E$5,C59-E59,"")</f>
        <v>5710.8603020623232</v>
      </c>
      <c r="E59" s="22">
        <f>IF(A59&lt;='APR and payment'!$E$5,F58*'APR and payment'!$E$6/'APR and payment'!$L$9,"")</f>
        <v>16750.371372722482</v>
      </c>
      <c r="F59" s="22">
        <f>IF(A59&lt;='APR and payment'!$E$5,F58-D59,"")</f>
        <v>3716593.8891918226</v>
      </c>
    </row>
    <row r="60" spans="1:6" x14ac:dyDescent="0.25">
      <c r="A60" s="15">
        <v>57</v>
      </c>
      <c r="B60" s="17">
        <f>IF(A60&lt;='APR and payment'!$E$5,'Remaining debt'!A60,"")</f>
        <v>57</v>
      </c>
      <c r="C60" s="22">
        <f>IF(A60&lt;='APR and payment'!$E$5,'APR and payment'!$E$24,"")</f>
        <v>22461.231674784805</v>
      </c>
      <c r="D60" s="22">
        <f>IF(A60&lt;='APR and payment'!$E$5,C60-E60,"")</f>
        <v>5736.5591734216032</v>
      </c>
      <c r="E60" s="22">
        <f>IF(A60&lt;='APR and payment'!$E$5,F59*'APR and payment'!$E$6/'APR and payment'!$L$9,"")</f>
        <v>16724.672501363202</v>
      </c>
      <c r="F60" s="22">
        <f>IF(A60&lt;='APR and payment'!$E$5,F59-D60,"")</f>
        <v>3710857.3300184011</v>
      </c>
    </row>
    <row r="61" spans="1:6" x14ac:dyDescent="0.25">
      <c r="A61" s="15">
        <v>58</v>
      </c>
      <c r="B61" s="17">
        <f>IF(A61&lt;='APR and payment'!$E$5,'Remaining debt'!A61,"")</f>
        <v>58</v>
      </c>
      <c r="C61" s="22">
        <f>IF(A61&lt;='APR and payment'!$E$5,'APR and payment'!$E$24,"")</f>
        <v>22461.231674784805</v>
      </c>
      <c r="D61" s="22">
        <f>IF(A61&lt;='APR and payment'!$E$5,C61-E61,"")</f>
        <v>5762.373689701999</v>
      </c>
      <c r="E61" s="22">
        <f>IF(A61&lt;='APR and payment'!$E$5,F60*'APR and payment'!$E$6/'APR and payment'!$L$9,"")</f>
        <v>16698.857985082806</v>
      </c>
      <c r="F61" s="22">
        <f>IF(A61&lt;='APR and payment'!$E$5,F60-D61,"")</f>
        <v>3705094.9563286994</v>
      </c>
    </row>
    <row r="62" spans="1:6" x14ac:dyDescent="0.25">
      <c r="A62" s="15">
        <v>59</v>
      </c>
      <c r="B62" s="17">
        <f>IF(A62&lt;='APR and payment'!$E$5,'Remaining debt'!A62,"")</f>
        <v>59</v>
      </c>
      <c r="C62" s="22">
        <f>IF(A62&lt;='APR and payment'!$E$5,'APR and payment'!$E$24,"")</f>
        <v>22461.231674784805</v>
      </c>
      <c r="D62" s="22">
        <f>IF(A62&lt;='APR and payment'!$E$5,C62-E62,"")</f>
        <v>5788.3043713056577</v>
      </c>
      <c r="E62" s="22">
        <f>IF(A62&lt;='APR and payment'!$E$5,F61*'APR and payment'!$E$6/'APR and payment'!$L$9,"")</f>
        <v>16672.927303479148</v>
      </c>
      <c r="F62" s="22">
        <f>IF(A62&lt;='APR and payment'!$E$5,F61-D62,"")</f>
        <v>3699306.6519573936</v>
      </c>
    </row>
    <row r="63" spans="1:6" x14ac:dyDescent="0.25">
      <c r="A63" s="15">
        <v>60</v>
      </c>
      <c r="B63" s="17">
        <f>IF(A63&lt;='APR and payment'!$E$5,'Remaining debt'!A63,"")</f>
        <v>60</v>
      </c>
      <c r="C63" s="22">
        <f>IF(A63&lt;='APR and payment'!$E$5,'APR and payment'!$E$24,"")</f>
        <v>22461.231674784805</v>
      </c>
      <c r="D63" s="22">
        <f>IF(A63&lt;='APR and payment'!$E$5,C63-E63,"")</f>
        <v>5814.3517409765336</v>
      </c>
      <c r="E63" s="22">
        <f>IF(A63&lt;='APR and payment'!$E$5,F62*'APR and payment'!$E$6/'APR and payment'!$L$9,"")</f>
        <v>16646.879933808272</v>
      </c>
      <c r="F63" s="22">
        <f>IF(A63&lt;='APR and payment'!$E$5,F62-D63,"")</f>
        <v>3693492.3002164173</v>
      </c>
    </row>
    <row r="64" spans="1:6" x14ac:dyDescent="0.25">
      <c r="A64" s="15">
        <v>61</v>
      </c>
      <c r="B64" s="17">
        <f>IF(A64&lt;='APR and payment'!$E$5,'Remaining debt'!A64,"")</f>
        <v>61</v>
      </c>
      <c r="C64" s="22">
        <f>IF(A64&lt;='APR and payment'!$E$5,'APR and payment'!$E$24,"")</f>
        <v>22461.231674784805</v>
      </c>
      <c r="D64" s="22">
        <f>IF(A64&lt;='APR and payment'!$E$5,C64-E64,"")</f>
        <v>5840.5163238109271</v>
      </c>
      <c r="E64" s="22">
        <f>IF(A64&lt;='APR and payment'!$E$5,F63*'APR and payment'!$E$6/'APR and payment'!$L$9,"")</f>
        <v>16620.715350973878</v>
      </c>
      <c r="F64" s="22">
        <f>IF(A64&lt;='APR and payment'!$E$5,F63-D64,"")</f>
        <v>3687651.7838926064</v>
      </c>
    </row>
    <row r="65" spans="1:6" x14ac:dyDescent="0.25">
      <c r="A65" s="15">
        <v>62</v>
      </c>
      <c r="B65" s="17">
        <f>IF(A65&lt;='APR and payment'!$E$5,'Remaining debt'!A65,"")</f>
        <v>62</v>
      </c>
      <c r="C65" s="22">
        <f>IF(A65&lt;='APR and payment'!$E$5,'APR and payment'!$E$24,"")</f>
        <v>22461.231674784805</v>
      </c>
      <c r="D65" s="22">
        <f>IF(A65&lt;='APR and payment'!$E$5,C65-E65,"")</f>
        <v>5866.7986472680786</v>
      </c>
      <c r="E65" s="22">
        <f>IF(A65&lt;='APR and payment'!$E$5,F64*'APR and payment'!$E$6/'APR and payment'!$L$9,"")</f>
        <v>16594.433027516727</v>
      </c>
      <c r="F65" s="22">
        <f>IF(A65&lt;='APR and payment'!$E$5,F64-D65,"")</f>
        <v>3681784.9852453382</v>
      </c>
    </row>
    <row r="66" spans="1:6" x14ac:dyDescent="0.25">
      <c r="A66" s="15">
        <v>63</v>
      </c>
      <c r="B66" s="17">
        <f>IF(A66&lt;='APR and payment'!$E$5,'Remaining debt'!A66,"")</f>
        <v>63</v>
      </c>
      <c r="C66" s="22">
        <f>IF(A66&lt;='APR and payment'!$E$5,'APR and payment'!$E$24,"")</f>
        <v>22461.231674784805</v>
      </c>
      <c r="D66" s="22">
        <f>IF(A66&lt;='APR and payment'!$E$5,C66-E66,"")</f>
        <v>5893.1992411807842</v>
      </c>
      <c r="E66" s="22">
        <f>IF(A66&lt;='APR and payment'!$E$5,F65*'APR and payment'!$E$6/'APR and payment'!$L$9,"")</f>
        <v>16568.032433604021</v>
      </c>
      <c r="F66" s="22">
        <f>IF(A66&lt;='APR and payment'!$E$5,F65-D66,"")</f>
        <v>3675891.7860041573</v>
      </c>
    </row>
    <row r="67" spans="1:6" x14ac:dyDescent="0.25">
      <c r="A67" s="15">
        <v>64</v>
      </c>
      <c r="B67" s="17">
        <f>IF(A67&lt;='APR and payment'!$E$5,'Remaining debt'!A67,"")</f>
        <v>64</v>
      </c>
      <c r="C67" s="22">
        <f>IF(A67&lt;='APR and payment'!$E$5,'APR and payment'!$E$24,"")</f>
        <v>22461.231674784805</v>
      </c>
      <c r="D67" s="22">
        <f>IF(A67&lt;='APR and payment'!$E$5,C67-E67,"")</f>
        <v>5919.7186377660983</v>
      </c>
      <c r="E67" s="22">
        <f>IF(A67&lt;='APR and payment'!$E$5,F66*'APR and payment'!$E$6/'APR and payment'!$L$9,"")</f>
        <v>16541.513037018707</v>
      </c>
      <c r="F67" s="22">
        <f>IF(A67&lt;='APR and payment'!$E$5,F66-D67,"")</f>
        <v>3669972.067366391</v>
      </c>
    </row>
    <row r="68" spans="1:6" x14ac:dyDescent="0.25">
      <c r="A68" s="15">
        <v>65</v>
      </c>
      <c r="B68" s="17">
        <f>IF(A68&lt;='APR and payment'!$E$5,'Remaining debt'!A68,"")</f>
        <v>65</v>
      </c>
      <c r="C68" s="22">
        <f>IF(A68&lt;='APR and payment'!$E$5,'APR and payment'!$E$24,"")</f>
        <v>22461.231674784805</v>
      </c>
      <c r="D68" s="22">
        <f>IF(A68&lt;='APR and payment'!$E$5,C68-E68,"")</f>
        <v>5946.3573716360479</v>
      </c>
      <c r="E68" s="22">
        <f>IF(A68&lt;='APR and payment'!$E$5,F67*'APR and payment'!$E$6/'APR and payment'!$L$9,"")</f>
        <v>16514.874303148757</v>
      </c>
      <c r="F68" s="22">
        <f>IF(A68&lt;='APR and payment'!$E$5,F67-D68,"")</f>
        <v>3664025.7099947548</v>
      </c>
    </row>
    <row r="69" spans="1:6" x14ac:dyDescent="0.25">
      <c r="A69" s="15">
        <v>66</v>
      </c>
      <c r="B69" s="17">
        <f>IF(A69&lt;='APR and payment'!$E$5,'Remaining debt'!A69,"")</f>
        <v>66</v>
      </c>
      <c r="C69" s="22">
        <f>IF(A69&lt;='APR and payment'!$E$5,'APR and payment'!$E$24,"")</f>
        <v>22461.231674784805</v>
      </c>
      <c r="D69" s="22">
        <f>IF(A69&lt;='APR and payment'!$E$5,C69-E69,"")</f>
        <v>5973.1159798084082</v>
      </c>
      <c r="E69" s="22">
        <f>IF(A69&lt;='APR and payment'!$E$5,F68*'APR and payment'!$E$6/'APR and payment'!$L$9,"")</f>
        <v>16488.115694976397</v>
      </c>
      <c r="F69" s="22">
        <f>IF(A69&lt;='APR and payment'!$E$5,F68-D69,"")</f>
        <v>3658052.5940149464</v>
      </c>
    </row>
    <row r="70" spans="1:6" x14ac:dyDescent="0.25">
      <c r="A70" s="15">
        <v>67</v>
      </c>
      <c r="B70" s="17">
        <f>IF(A70&lt;='APR and payment'!$E$5,'Remaining debt'!A70,"")</f>
        <v>67</v>
      </c>
      <c r="C70" s="22">
        <f>IF(A70&lt;='APR and payment'!$E$5,'APR and payment'!$E$24,"")</f>
        <v>22461.231674784805</v>
      </c>
      <c r="D70" s="22">
        <f>IF(A70&lt;='APR and payment'!$E$5,C70-E70,"")</f>
        <v>5999.995001717547</v>
      </c>
      <c r="E70" s="22">
        <f>IF(A70&lt;='APR and payment'!$E$5,F69*'APR and payment'!$E$6/'APR and payment'!$L$9,"")</f>
        <v>16461.236673067258</v>
      </c>
      <c r="F70" s="22">
        <f>IF(A70&lt;='APR and payment'!$E$5,F69-D70,"")</f>
        <v>3652052.5990132289</v>
      </c>
    </row>
    <row r="71" spans="1:6" x14ac:dyDescent="0.25">
      <c r="A71" s="15">
        <v>68</v>
      </c>
      <c r="B71" s="17">
        <f>IF(A71&lt;='APR and payment'!$E$5,'Remaining debt'!A71,"")</f>
        <v>68</v>
      </c>
      <c r="C71" s="22">
        <f>IF(A71&lt;='APR and payment'!$E$5,'APR and payment'!$E$24,"")</f>
        <v>22461.231674784805</v>
      </c>
      <c r="D71" s="22">
        <f>IF(A71&lt;='APR and payment'!$E$5,C71-E71,"")</f>
        <v>6026.9949792252737</v>
      </c>
      <c r="E71" s="22">
        <f>IF(A71&lt;='APR and payment'!$E$5,F70*'APR and payment'!$E$6/'APR and payment'!$L$9,"")</f>
        <v>16434.236695559532</v>
      </c>
      <c r="F71" s="22">
        <f>IF(A71&lt;='APR and payment'!$E$5,F70-D71,"")</f>
        <v>3646025.6040340038</v>
      </c>
    </row>
    <row r="72" spans="1:6" x14ac:dyDescent="0.25">
      <c r="A72" s="15">
        <v>69</v>
      </c>
      <c r="B72" s="17">
        <f>IF(A72&lt;='APR and payment'!$E$5,'Remaining debt'!A72,"")</f>
        <v>69</v>
      </c>
      <c r="C72" s="22">
        <f>IF(A72&lt;='APR and payment'!$E$5,'APR and payment'!$E$24,"")</f>
        <v>22461.231674784805</v>
      </c>
      <c r="D72" s="22">
        <f>IF(A72&lt;='APR and payment'!$E$5,C72-E72,"")</f>
        <v>6054.1164566317893</v>
      </c>
      <c r="E72" s="22">
        <f>IF(A72&lt;='APR and payment'!$E$5,F71*'APR and payment'!$E$6/'APR and payment'!$L$9,"")</f>
        <v>16407.115218153016</v>
      </c>
      <c r="F72" s="22">
        <f>IF(A72&lt;='APR and payment'!$E$5,F71-D72,"")</f>
        <v>3639971.4875773722</v>
      </c>
    </row>
    <row r="73" spans="1:6" x14ac:dyDescent="0.25">
      <c r="A73" s="15">
        <v>70</v>
      </c>
      <c r="B73" s="17">
        <f>IF(A73&lt;='APR and payment'!$E$5,'Remaining debt'!A73,"")</f>
        <v>70</v>
      </c>
      <c r="C73" s="22">
        <f>IF(A73&lt;='APR and payment'!$E$5,'APR and payment'!$E$24,"")</f>
        <v>22461.231674784805</v>
      </c>
      <c r="D73" s="22">
        <f>IF(A73&lt;='APR and payment'!$E$5,C73-E73,"")</f>
        <v>6081.3599806866296</v>
      </c>
      <c r="E73" s="22">
        <f>IF(A73&lt;='APR and payment'!$E$5,F72*'APR and payment'!$E$6/'APR and payment'!$L$9,"")</f>
        <v>16379.871694098176</v>
      </c>
      <c r="F73" s="22">
        <f>IF(A73&lt;='APR and payment'!$E$5,F72-D73,"")</f>
        <v>3633890.1275966857</v>
      </c>
    </row>
    <row r="74" spans="1:6" x14ac:dyDescent="0.25">
      <c r="A74" s="15">
        <v>71</v>
      </c>
      <c r="B74" s="17">
        <f>IF(A74&lt;='APR and payment'!$E$5,'Remaining debt'!A74,"")</f>
        <v>71</v>
      </c>
      <c r="C74" s="22">
        <f>IF(A74&lt;='APR and payment'!$E$5,'APR and payment'!$E$24,"")</f>
        <v>22461.231674784805</v>
      </c>
      <c r="D74" s="22">
        <f>IF(A74&lt;='APR and payment'!$E$5,C74-E74,"")</f>
        <v>6108.7261005997188</v>
      </c>
      <c r="E74" s="22">
        <f>IF(A74&lt;='APR and payment'!$E$5,F73*'APR and payment'!$E$6/'APR and payment'!$L$9,"")</f>
        <v>16352.505574185087</v>
      </c>
      <c r="F74" s="22">
        <f>IF(A74&lt;='APR and payment'!$E$5,F73-D74,"")</f>
        <v>3627781.4014960858</v>
      </c>
    </row>
    <row r="75" spans="1:6" x14ac:dyDescent="0.25">
      <c r="A75" s="15">
        <v>72</v>
      </c>
      <c r="B75" s="17">
        <f>IF(A75&lt;='APR and payment'!$E$5,'Remaining debt'!A75,"")</f>
        <v>72</v>
      </c>
      <c r="C75" s="22">
        <f>IF(A75&lt;='APR and payment'!$E$5,'APR and payment'!$E$24,"")</f>
        <v>22461.231674784805</v>
      </c>
      <c r="D75" s="22">
        <f>IF(A75&lt;='APR and payment'!$E$5,C75-E75,"")</f>
        <v>6136.2153680524189</v>
      </c>
      <c r="E75" s="22">
        <f>IF(A75&lt;='APR and payment'!$E$5,F74*'APR and payment'!$E$6/'APR and payment'!$L$9,"")</f>
        <v>16325.016306732387</v>
      </c>
      <c r="F75" s="22">
        <f>IF(A75&lt;='APR and payment'!$E$5,F74-D75,"")</f>
        <v>3621645.1861280333</v>
      </c>
    </row>
    <row r="76" spans="1:6" x14ac:dyDescent="0.25">
      <c r="A76" s="15">
        <v>73</v>
      </c>
      <c r="B76" s="17">
        <f>IF(A76&lt;='APR and payment'!$E$5,'Remaining debt'!A76,"")</f>
        <v>73</v>
      </c>
      <c r="C76" s="22">
        <f>IF(A76&lt;='APR and payment'!$E$5,'APR and payment'!$E$24,"")</f>
        <v>22461.231674784805</v>
      </c>
      <c r="D76" s="22">
        <f>IF(A76&lt;='APR and payment'!$E$5,C76-E76,"")</f>
        <v>6163.8283372086553</v>
      </c>
      <c r="E76" s="22">
        <f>IF(A76&lt;='APR and payment'!$E$5,F75*'APR and payment'!$E$6/'APR and payment'!$L$9,"")</f>
        <v>16297.40333757615</v>
      </c>
      <c r="F76" s="22">
        <f>IF(A76&lt;='APR and payment'!$E$5,F75-D76,"")</f>
        <v>3615481.3577908245</v>
      </c>
    </row>
    <row r="77" spans="1:6" x14ac:dyDescent="0.25">
      <c r="A77" s="15">
        <v>74</v>
      </c>
      <c r="B77" s="17">
        <f>IF(A77&lt;='APR and payment'!$E$5,'Remaining debt'!A77,"")</f>
        <v>74</v>
      </c>
      <c r="C77" s="22">
        <f>IF(A77&lt;='APR and payment'!$E$5,'APR and payment'!$E$24,"")</f>
        <v>22461.231674784805</v>
      </c>
      <c r="D77" s="22">
        <f>IF(A77&lt;='APR and payment'!$E$5,C77-E77,"")</f>
        <v>6191.5655647260955</v>
      </c>
      <c r="E77" s="22">
        <f>IF(A77&lt;='APR and payment'!$E$5,F76*'APR and payment'!$E$6/'APR and payment'!$L$9,"")</f>
        <v>16269.66611005871</v>
      </c>
      <c r="F77" s="22">
        <f>IF(A77&lt;='APR and payment'!$E$5,F76-D77,"")</f>
        <v>3609289.7922260985</v>
      </c>
    </row>
    <row r="78" spans="1:6" x14ac:dyDescent="0.25">
      <c r="A78" s="15">
        <v>75</v>
      </c>
      <c r="B78" s="17">
        <f>IF(A78&lt;='APR and payment'!$E$5,'Remaining debt'!A78,"")</f>
        <v>75</v>
      </c>
      <c r="C78" s="22">
        <f>IF(A78&lt;='APR and payment'!$E$5,'APR and payment'!$E$24,"")</f>
        <v>22461.231674784805</v>
      </c>
      <c r="D78" s="22">
        <f>IF(A78&lt;='APR and payment'!$E$5,C78-E78,"")</f>
        <v>6219.4276097673628</v>
      </c>
      <c r="E78" s="22">
        <f>IF(A78&lt;='APR and payment'!$E$5,F77*'APR and payment'!$E$6/'APR and payment'!$L$9,"")</f>
        <v>16241.804065017443</v>
      </c>
      <c r="F78" s="22">
        <f>IF(A78&lt;='APR and payment'!$E$5,F77-D78,"")</f>
        <v>3603070.3646163312</v>
      </c>
    </row>
    <row r="79" spans="1:6" x14ac:dyDescent="0.25">
      <c r="A79" s="15">
        <v>76</v>
      </c>
      <c r="B79" s="17">
        <f>IF(A79&lt;='APR and payment'!$E$5,'Remaining debt'!A79,"")</f>
        <v>76</v>
      </c>
      <c r="C79" s="22">
        <f>IF(A79&lt;='APR and payment'!$E$5,'APR and payment'!$E$24,"")</f>
        <v>22461.231674784805</v>
      </c>
      <c r="D79" s="22">
        <f>IF(A79&lt;='APR and payment'!$E$5,C79-E79,"")</f>
        <v>6247.4150340113156</v>
      </c>
      <c r="E79" s="22">
        <f>IF(A79&lt;='APR and payment'!$E$5,F78*'APR and payment'!$E$6/'APR and payment'!$L$9,"")</f>
        <v>16213.81664077349</v>
      </c>
      <c r="F79" s="22">
        <f>IF(A79&lt;='APR and payment'!$E$5,F78-D79,"")</f>
        <v>3596822.9495823197</v>
      </c>
    </row>
    <row r="80" spans="1:6" x14ac:dyDescent="0.25">
      <c r="A80" s="15">
        <v>77</v>
      </c>
      <c r="B80" s="17">
        <f>IF(A80&lt;='APR and payment'!$E$5,'Remaining debt'!A80,"")</f>
        <v>77</v>
      </c>
      <c r="C80" s="22">
        <f>IF(A80&lt;='APR and payment'!$E$5,'APR and payment'!$E$24,"")</f>
        <v>22461.231674784805</v>
      </c>
      <c r="D80" s="22">
        <f>IF(A80&lt;='APR and payment'!$E$5,C80-E80,"")</f>
        <v>6275.5284016643673</v>
      </c>
      <c r="E80" s="22">
        <f>IF(A80&lt;='APR and payment'!$E$5,F79*'APR and payment'!$E$6/'APR and payment'!$L$9,"")</f>
        <v>16185.703273120438</v>
      </c>
      <c r="F80" s="22">
        <f>IF(A80&lt;='APR and payment'!$E$5,F79-D80,"")</f>
        <v>3590547.4211806552</v>
      </c>
    </row>
    <row r="81" spans="1:6" x14ac:dyDescent="0.25">
      <c r="A81" s="15">
        <v>78</v>
      </c>
      <c r="B81" s="17">
        <f>IF(A81&lt;='APR and payment'!$E$5,'Remaining debt'!A81,"")</f>
        <v>78</v>
      </c>
      <c r="C81" s="22">
        <f>IF(A81&lt;='APR and payment'!$E$5,'APR and payment'!$E$24,"")</f>
        <v>22461.231674784805</v>
      </c>
      <c r="D81" s="22">
        <f>IF(A81&lt;='APR and payment'!$E$5,C81-E81,"")</f>
        <v>6303.7682794718585</v>
      </c>
      <c r="E81" s="22">
        <f>IF(A81&lt;='APR and payment'!$E$5,F80*'APR and payment'!$E$6/'APR and payment'!$L$9,"")</f>
        <v>16157.463395312947</v>
      </c>
      <c r="F81" s="22">
        <f>IF(A81&lt;='APR and payment'!$E$5,F80-D81,"")</f>
        <v>3584243.6529011833</v>
      </c>
    </row>
    <row r="82" spans="1:6" x14ac:dyDescent="0.25">
      <c r="A82" s="15">
        <v>79</v>
      </c>
      <c r="B82" s="17">
        <f>IF(A82&lt;='APR and payment'!$E$5,'Remaining debt'!A82,"")</f>
        <v>79</v>
      </c>
      <c r="C82" s="22">
        <f>IF(A82&lt;='APR and payment'!$E$5,'APR and payment'!$E$24,"")</f>
        <v>22461.231674784805</v>
      </c>
      <c r="D82" s="22">
        <f>IF(A82&lt;='APR and payment'!$E$5,C82-E82,"")</f>
        <v>6332.1352367294803</v>
      </c>
      <c r="E82" s="22">
        <f>IF(A82&lt;='APR and payment'!$E$5,F81*'APR and payment'!$E$6/'APR and payment'!$L$9,"")</f>
        <v>16129.096438055325</v>
      </c>
      <c r="F82" s="22">
        <f>IF(A82&lt;='APR and payment'!$E$5,F81-D82,"")</f>
        <v>3577911.5176644539</v>
      </c>
    </row>
    <row r="83" spans="1:6" x14ac:dyDescent="0.25">
      <c r="A83" s="15">
        <v>80</v>
      </c>
      <c r="B83" s="17">
        <f>IF(A83&lt;='APR and payment'!$E$5,'Remaining debt'!A83,"")</f>
        <v>80</v>
      </c>
      <c r="C83" s="22">
        <f>IF(A83&lt;='APR and payment'!$E$5,'APR and payment'!$E$24,"")</f>
        <v>22461.231674784805</v>
      </c>
      <c r="D83" s="22">
        <f>IF(A83&lt;='APR and payment'!$E$5,C83-E83,"")</f>
        <v>6360.6298452947631</v>
      </c>
      <c r="E83" s="22">
        <f>IF(A83&lt;='APR and payment'!$E$5,F82*'APR and payment'!$E$6/'APR and payment'!$L$9,"")</f>
        <v>16100.601829490042</v>
      </c>
      <c r="F83" s="22">
        <f>IF(A83&lt;='APR and payment'!$E$5,F82-D83,"")</f>
        <v>3571550.8878191593</v>
      </c>
    </row>
    <row r="84" spans="1:6" x14ac:dyDescent="0.25">
      <c r="A84" s="15">
        <v>81</v>
      </c>
      <c r="B84" s="17">
        <f>IF(A84&lt;='APR and payment'!$E$5,'Remaining debt'!A84,"")</f>
        <v>81</v>
      </c>
      <c r="C84" s="22">
        <f>IF(A84&lt;='APR and payment'!$E$5,'APR and payment'!$E$24,"")</f>
        <v>22461.231674784805</v>
      </c>
      <c r="D84" s="22">
        <f>IF(A84&lt;='APR and payment'!$E$5,C84-E84,"")</f>
        <v>6389.2526795985887</v>
      </c>
      <c r="E84" s="22">
        <f>IF(A84&lt;='APR and payment'!$E$5,F83*'APR and payment'!$E$6/'APR and payment'!$L$9,"")</f>
        <v>16071.978995186217</v>
      </c>
      <c r="F84" s="22">
        <f>IF(A84&lt;='APR and payment'!$E$5,F83-D84,"")</f>
        <v>3565161.6351395608</v>
      </c>
    </row>
    <row r="85" spans="1:6" x14ac:dyDescent="0.25">
      <c r="A85" s="15">
        <v>82</v>
      </c>
      <c r="B85" s="17">
        <f>IF(A85&lt;='APR and payment'!$E$5,'Remaining debt'!A85,"")</f>
        <v>82</v>
      </c>
      <c r="C85" s="22">
        <f>IF(A85&lt;='APR and payment'!$E$5,'APR and payment'!$E$24,"")</f>
        <v>22461.231674784805</v>
      </c>
      <c r="D85" s="22">
        <f>IF(A85&lt;='APR and payment'!$E$5,C85-E85,"")</f>
        <v>6418.0043166567812</v>
      </c>
      <c r="E85" s="22">
        <f>IF(A85&lt;='APR and payment'!$E$5,F84*'APR and payment'!$E$6/'APR and payment'!$L$9,"")</f>
        <v>16043.227358128024</v>
      </c>
      <c r="F85" s="22">
        <f>IF(A85&lt;='APR and payment'!$E$5,F84-D85,"")</f>
        <v>3558743.6308229039</v>
      </c>
    </row>
    <row r="86" spans="1:6" x14ac:dyDescent="0.25">
      <c r="A86" s="15">
        <v>83</v>
      </c>
      <c r="B86" s="17">
        <f>IF(A86&lt;='APR and payment'!$E$5,'Remaining debt'!A86,"")</f>
        <v>83</v>
      </c>
      <c r="C86" s="22">
        <f>IF(A86&lt;='APR and payment'!$E$5,'APR and payment'!$E$24,"")</f>
        <v>22461.231674784805</v>
      </c>
      <c r="D86" s="22">
        <f>IF(A86&lt;='APR and payment'!$E$5,C86-E86,"")</f>
        <v>6446.8853360817393</v>
      </c>
      <c r="E86" s="22">
        <f>IF(A86&lt;='APR and payment'!$E$5,F85*'APR and payment'!$E$6/'APR and payment'!$L$9,"")</f>
        <v>16014.346338703066</v>
      </c>
      <c r="F86" s="22">
        <f>IF(A86&lt;='APR and payment'!$E$5,F85-D86,"")</f>
        <v>3552296.745486822</v>
      </c>
    </row>
    <row r="87" spans="1:6" x14ac:dyDescent="0.25">
      <c r="A87" s="15">
        <v>84</v>
      </c>
      <c r="B87" s="17">
        <f>IF(A87&lt;='APR and payment'!$E$5,'Remaining debt'!A87,"")</f>
        <v>84</v>
      </c>
      <c r="C87" s="22">
        <f>IF(A87&lt;='APR and payment'!$E$5,'APR and payment'!$E$24,"")</f>
        <v>22461.231674784805</v>
      </c>
      <c r="D87" s="22">
        <f>IF(A87&lt;='APR and payment'!$E$5,C87-E87,"")</f>
        <v>6475.8963200941052</v>
      </c>
      <c r="E87" s="22">
        <f>IF(A87&lt;='APR and payment'!$E$5,F86*'APR and payment'!$E$6/'APR and payment'!$L$9,"")</f>
        <v>15985.3353546907</v>
      </c>
      <c r="F87" s="22">
        <f>IF(A87&lt;='APR and payment'!$E$5,F86-D87,"")</f>
        <v>3545820.8491667281</v>
      </c>
    </row>
    <row r="88" spans="1:6" x14ac:dyDescent="0.25">
      <c r="A88" s="15">
        <v>85</v>
      </c>
      <c r="B88" s="17">
        <f>IF(A88&lt;='APR and payment'!$E$5,'Remaining debt'!A88,"")</f>
        <v>85</v>
      </c>
      <c r="C88" s="22">
        <f>IF(A88&lt;='APR and payment'!$E$5,'APR and payment'!$E$24,"")</f>
        <v>22461.231674784805</v>
      </c>
      <c r="D88" s="22">
        <f>IF(A88&lt;='APR and payment'!$E$5,C88-E88,"")</f>
        <v>6505.037853534528</v>
      </c>
      <c r="E88" s="22">
        <f>IF(A88&lt;='APR and payment'!$E$5,F87*'APR and payment'!$E$6/'APR and payment'!$L$9,"")</f>
        <v>15956.193821250277</v>
      </c>
      <c r="F88" s="22">
        <f>IF(A88&lt;='APR and payment'!$E$5,F87-D88,"")</f>
        <v>3539315.8113131938</v>
      </c>
    </row>
    <row r="89" spans="1:6" x14ac:dyDescent="0.25">
      <c r="A89" s="15">
        <v>86</v>
      </c>
      <c r="B89" s="17">
        <f>IF(A89&lt;='APR and payment'!$E$5,'Remaining debt'!A89,"")</f>
        <v>86</v>
      </c>
      <c r="C89" s="22">
        <f>IF(A89&lt;='APR and payment'!$E$5,'APR and payment'!$E$24,"")</f>
        <v>22461.231674784805</v>
      </c>
      <c r="D89" s="22">
        <f>IF(A89&lt;='APR and payment'!$E$5,C89-E89,"")</f>
        <v>6534.3105238754342</v>
      </c>
      <c r="E89" s="22">
        <f>IF(A89&lt;='APR and payment'!$E$5,F88*'APR and payment'!$E$6/'APR and payment'!$L$9,"")</f>
        <v>15926.921150909371</v>
      </c>
      <c r="F89" s="22">
        <f>IF(A89&lt;='APR and payment'!$E$5,F88-D89,"")</f>
        <v>3532781.5007893182</v>
      </c>
    </row>
    <row r="90" spans="1:6" x14ac:dyDescent="0.25">
      <c r="A90" s="15">
        <v>87</v>
      </c>
      <c r="B90" s="17">
        <f>IF(A90&lt;='APR and payment'!$E$5,'Remaining debt'!A90,"")</f>
        <v>87</v>
      </c>
      <c r="C90" s="22">
        <f>IF(A90&lt;='APR and payment'!$E$5,'APR and payment'!$E$24,"")</f>
        <v>22461.231674784805</v>
      </c>
      <c r="D90" s="22">
        <f>IF(A90&lt;='APR and payment'!$E$5,C90-E90,"")</f>
        <v>6563.714921232875</v>
      </c>
      <c r="E90" s="22">
        <f>IF(A90&lt;='APR and payment'!$E$5,F89*'APR and payment'!$E$6/'APR and payment'!$L$9,"")</f>
        <v>15897.51675355193</v>
      </c>
      <c r="F90" s="22">
        <f>IF(A90&lt;='APR and payment'!$E$5,F89-D90,"")</f>
        <v>3526217.7858680855</v>
      </c>
    </row>
    <row r="91" spans="1:6" x14ac:dyDescent="0.25">
      <c r="A91" s="15">
        <v>88</v>
      </c>
      <c r="B91" s="17">
        <f>IF(A91&lt;='APR and payment'!$E$5,'Remaining debt'!A91,"")</f>
        <v>88</v>
      </c>
      <c r="C91" s="22">
        <f>IF(A91&lt;='APR and payment'!$E$5,'APR and payment'!$E$24,"")</f>
        <v>22461.231674784805</v>
      </c>
      <c r="D91" s="22">
        <f>IF(A91&lt;='APR and payment'!$E$5,C91-E91,"")</f>
        <v>6593.2516383784205</v>
      </c>
      <c r="E91" s="22">
        <f>IF(A91&lt;='APR and payment'!$E$5,F90*'APR and payment'!$E$6/'APR and payment'!$L$9,"")</f>
        <v>15867.980036406385</v>
      </c>
      <c r="F91" s="22">
        <f>IF(A91&lt;='APR and payment'!$E$5,F90-D91,"")</f>
        <v>3519624.534229707</v>
      </c>
    </row>
    <row r="92" spans="1:6" x14ac:dyDescent="0.25">
      <c r="A92" s="15">
        <v>89</v>
      </c>
      <c r="B92" s="17">
        <f>IF(A92&lt;='APR and payment'!$E$5,'Remaining debt'!A92,"")</f>
        <v>89</v>
      </c>
      <c r="C92" s="22">
        <f>IF(A92&lt;='APR and payment'!$E$5,'APR and payment'!$E$24,"")</f>
        <v>22461.231674784805</v>
      </c>
      <c r="D92" s="22">
        <f>IF(A92&lt;='APR and payment'!$E$5,C92-E92,"")</f>
        <v>6622.9212707511233</v>
      </c>
      <c r="E92" s="22">
        <f>IF(A92&lt;='APR and payment'!$E$5,F91*'APR and payment'!$E$6/'APR and payment'!$L$9,"")</f>
        <v>15838.310404033682</v>
      </c>
      <c r="F92" s="22">
        <f>IF(A92&lt;='APR and payment'!$E$5,F91-D92,"")</f>
        <v>3513001.612958956</v>
      </c>
    </row>
    <row r="93" spans="1:6" x14ac:dyDescent="0.25">
      <c r="A93" s="15">
        <v>90</v>
      </c>
      <c r="B93" s="17">
        <f>IF(A93&lt;='APR and payment'!$E$5,'Remaining debt'!A93,"")</f>
        <v>90</v>
      </c>
      <c r="C93" s="22">
        <f>IF(A93&lt;='APR and payment'!$E$5,'APR and payment'!$E$24,"")</f>
        <v>22461.231674784805</v>
      </c>
      <c r="D93" s="22">
        <f>IF(A93&lt;='APR and payment'!$E$5,C93-E93,"")</f>
        <v>6652.7244164695039</v>
      </c>
      <c r="E93" s="22">
        <f>IF(A93&lt;='APR and payment'!$E$5,F92*'APR and payment'!$E$6/'APR and payment'!$L$9,"")</f>
        <v>15808.507258315301</v>
      </c>
      <c r="F93" s="22">
        <f>IF(A93&lt;='APR and payment'!$E$5,F92-D93,"")</f>
        <v>3506348.8885424864</v>
      </c>
    </row>
    <row r="94" spans="1:6" x14ac:dyDescent="0.25">
      <c r="A94" s="15">
        <v>91</v>
      </c>
      <c r="B94" s="17">
        <f>IF(A94&lt;='APR and payment'!$E$5,'Remaining debt'!A94,"")</f>
        <v>91</v>
      </c>
      <c r="C94" s="22">
        <f>IF(A94&lt;='APR and payment'!$E$5,'APR and payment'!$E$24,"")</f>
        <v>22461.231674784805</v>
      </c>
      <c r="D94" s="22">
        <f>IF(A94&lt;='APR and payment'!$E$5,C94-E94,"")</f>
        <v>6682.6616763436159</v>
      </c>
      <c r="E94" s="22">
        <f>IF(A94&lt;='APR and payment'!$E$5,F93*'APR and payment'!$E$6/'APR and payment'!$L$9,"")</f>
        <v>15778.569998441189</v>
      </c>
      <c r="F94" s="22">
        <f>IF(A94&lt;='APR and payment'!$E$5,F93-D94,"")</f>
        <v>3499666.2268661428</v>
      </c>
    </row>
    <row r="95" spans="1:6" x14ac:dyDescent="0.25">
      <c r="A95" s="15">
        <v>92</v>
      </c>
      <c r="B95" s="17">
        <f>IF(A95&lt;='APR and payment'!$E$5,'Remaining debt'!A95,"")</f>
        <v>92</v>
      </c>
      <c r="C95" s="22">
        <f>IF(A95&lt;='APR and payment'!$E$5,'APR and payment'!$E$24,"")</f>
        <v>22461.231674784805</v>
      </c>
      <c r="D95" s="22">
        <f>IF(A95&lt;='APR and payment'!$E$5,C95-E95,"")</f>
        <v>6712.7336538871623</v>
      </c>
      <c r="E95" s="22">
        <f>IF(A95&lt;='APR and payment'!$E$5,F94*'APR and payment'!$E$6/'APR and payment'!$L$9,"")</f>
        <v>15748.498020897643</v>
      </c>
      <c r="F95" s="22">
        <f>IF(A95&lt;='APR and payment'!$E$5,F94-D95,"")</f>
        <v>3492953.4932122556</v>
      </c>
    </row>
    <row r="96" spans="1:6" x14ac:dyDescent="0.25">
      <c r="A96" s="15">
        <v>93</v>
      </c>
      <c r="B96" s="17">
        <f>IF(A96&lt;='APR and payment'!$E$5,'Remaining debt'!A96,"")</f>
        <v>93</v>
      </c>
      <c r="C96" s="22">
        <f>IF(A96&lt;='APR and payment'!$E$5,'APR and payment'!$E$24,"")</f>
        <v>22461.231674784805</v>
      </c>
      <c r="D96" s="22">
        <f>IF(A96&lt;='APR and payment'!$E$5,C96-E96,"")</f>
        <v>6742.9409553296555</v>
      </c>
      <c r="E96" s="22">
        <f>IF(A96&lt;='APR and payment'!$E$5,F95*'APR and payment'!$E$6/'APR and payment'!$L$9,"")</f>
        <v>15718.29071945515</v>
      </c>
      <c r="F96" s="22">
        <f>IF(A96&lt;='APR and payment'!$E$5,F95-D96,"")</f>
        <v>3486210.552256926</v>
      </c>
    </row>
    <row r="97" spans="1:6" x14ac:dyDescent="0.25">
      <c r="A97" s="15">
        <v>94</v>
      </c>
      <c r="B97" s="17">
        <f>IF(A97&lt;='APR and payment'!$E$5,'Remaining debt'!A97,"")</f>
        <v>94</v>
      </c>
      <c r="C97" s="22">
        <f>IF(A97&lt;='APR and payment'!$E$5,'APR and payment'!$E$24,"")</f>
        <v>22461.231674784805</v>
      </c>
      <c r="D97" s="22">
        <f>IF(A97&lt;='APR and payment'!$E$5,C97-E97,"")</f>
        <v>6773.2841896286391</v>
      </c>
      <c r="E97" s="22">
        <f>IF(A97&lt;='APR and payment'!$E$5,F96*'APR and payment'!$E$6/'APR and payment'!$L$9,"")</f>
        <v>15687.947485156166</v>
      </c>
      <c r="F97" s="22">
        <f>IF(A97&lt;='APR and payment'!$E$5,F96-D97,"")</f>
        <v>3479437.2680672975</v>
      </c>
    </row>
    <row r="98" spans="1:6" x14ac:dyDescent="0.25">
      <c r="A98" s="15">
        <v>95</v>
      </c>
      <c r="B98" s="17">
        <f>IF(A98&lt;='APR and payment'!$E$5,'Remaining debt'!A98,"")</f>
        <v>95</v>
      </c>
      <c r="C98" s="22">
        <f>IF(A98&lt;='APR and payment'!$E$5,'APR and payment'!$E$24,"")</f>
        <v>22461.231674784805</v>
      </c>
      <c r="D98" s="22">
        <f>IF(A98&lt;='APR and payment'!$E$5,C98-E98,"")</f>
        <v>6803.7639684819678</v>
      </c>
      <c r="E98" s="22">
        <f>IF(A98&lt;='APR and payment'!$E$5,F97*'APR and payment'!$E$6/'APR and payment'!$L$9,"")</f>
        <v>15657.467706302838</v>
      </c>
      <c r="F98" s="22">
        <f>IF(A98&lt;='APR and payment'!$E$5,F97-D98,"")</f>
        <v>3472633.5040988154</v>
      </c>
    </row>
    <row r="99" spans="1:6" x14ac:dyDescent="0.25">
      <c r="A99" s="15">
        <v>96</v>
      </c>
      <c r="B99" s="17">
        <f>IF(A99&lt;='APR and payment'!$E$5,'Remaining debt'!A99,"")</f>
        <v>96</v>
      </c>
      <c r="C99" s="22">
        <f>IF(A99&lt;='APR and payment'!$E$5,'APR and payment'!$E$24,"")</f>
        <v>22461.231674784805</v>
      </c>
      <c r="D99" s="22">
        <f>IF(A99&lt;='APR and payment'!$E$5,C99-E99,"")</f>
        <v>6834.3809063401368</v>
      </c>
      <c r="E99" s="22">
        <f>IF(A99&lt;='APR and payment'!$E$5,F98*'APR and payment'!$E$6/'APR and payment'!$L$9,"")</f>
        <v>15626.850768444669</v>
      </c>
      <c r="F99" s="22">
        <f>IF(A99&lt;='APR and payment'!$E$5,F98-D99,"")</f>
        <v>3465799.1231924752</v>
      </c>
    </row>
    <row r="100" spans="1:6" x14ac:dyDescent="0.25">
      <c r="A100" s="15">
        <v>97</v>
      </c>
      <c r="B100" s="17">
        <f>IF(A100&lt;='APR and payment'!$E$5,'Remaining debt'!A100,"")</f>
        <v>97</v>
      </c>
      <c r="C100" s="22">
        <f>IF(A100&lt;='APR and payment'!$E$5,'APR and payment'!$E$24,"")</f>
        <v>22461.231674784805</v>
      </c>
      <c r="D100" s="22">
        <f>IF(A100&lt;='APR and payment'!$E$5,C100-E100,"")</f>
        <v>6865.1356204186686</v>
      </c>
      <c r="E100" s="22">
        <f>IF(A100&lt;='APR and payment'!$E$5,F99*'APR and payment'!$E$6/'APR and payment'!$L$9,"")</f>
        <v>15596.096054366137</v>
      </c>
      <c r="F100" s="22">
        <f>IF(A100&lt;='APR and payment'!$E$5,F99-D100,"")</f>
        <v>3458933.9875720567</v>
      </c>
    </row>
    <row r="101" spans="1:6" x14ac:dyDescent="0.25">
      <c r="A101" s="15">
        <v>98</v>
      </c>
      <c r="B101" s="17">
        <f>IF(A101&lt;='APR and payment'!$E$5,'Remaining debt'!A101,"")</f>
        <v>98</v>
      </c>
      <c r="C101" s="22">
        <f>IF(A101&lt;='APR and payment'!$E$5,'APR and payment'!$E$24,"")</f>
        <v>22461.231674784805</v>
      </c>
      <c r="D101" s="22">
        <f>IF(A101&lt;='APR and payment'!$E$5,C101-E101,"")</f>
        <v>6896.02873071055</v>
      </c>
      <c r="E101" s="22">
        <f>IF(A101&lt;='APR and payment'!$E$5,F100*'APR and payment'!$E$6/'APR and payment'!$L$9,"")</f>
        <v>15565.202944074255</v>
      </c>
      <c r="F101" s="22">
        <f>IF(A101&lt;='APR and payment'!$E$5,F100-D101,"")</f>
        <v>3452037.9588413462</v>
      </c>
    </row>
    <row r="102" spans="1:6" x14ac:dyDescent="0.25">
      <c r="A102" s="15">
        <v>99</v>
      </c>
      <c r="B102" s="17">
        <f>IF(A102&lt;='APR and payment'!$E$5,'Remaining debt'!A102,"")</f>
        <v>99</v>
      </c>
      <c r="C102" s="22">
        <f>IF(A102&lt;='APR and payment'!$E$5,'APR and payment'!$E$24,"")</f>
        <v>22461.231674784805</v>
      </c>
      <c r="D102" s="22">
        <f>IF(A102&lt;='APR and payment'!$E$5,C102-E102,"")</f>
        <v>6927.0608599987481</v>
      </c>
      <c r="E102" s="22">
        <f>IF(A102&lt;='APR and payment'!$E$5,F101*'APR and payment'!$E$6/'APR and payment'!$L$9,"")</f>
        <v>15534.170814786057</v>
      </c>
      <c r="F102" s="22">
        <f>IF(A102&lt;='APR and payment'!$E$5,F101-D102,"")</f>
        <v>3445110.8979813475</v>
      </c>
    </row>
    <row r="103" spans="1:6" x14ac:dyDescent="0.25">
      <c r="A103" s="15">
        <v>100</v>
      </c>
      <c r="B103" s="17">
        <f>IF(A103&lt;='APR and payment'!$E$5,'Remaining debt'!A103,"")</f>
        <v>100</v>
      </c>
      <c r="C103" s="22">
        <f>IF(A103&lt;='APR and payment'!$E$5,'APR and payment'!$E$24,"")</f>
        <v>22461.231674784805</v>
      </c>
      <c r="D103" s="22">
        <f>IF(A103&lt;='APR and payment'!$E$5,C103-E103,"")</f>
        <v>6958.2326338687435</v>
      </c>
      <c r="E103" s="22">
        <f>IF(A103&lt;='APR and payment'!$E$5,F102*'APR and payment'!$E$6/'APR and payment'!$L$9,"")</f>
        <v>15502.999040916062</v>
      </c>
      <c r="F103" s="22">
        <f>IF(A103&lt;='APR and payment'!$E$5,F102-D103,"")</f>
        <v>3438152.6653474788</v>
      </c>
    </row>
    <row r="104" spans="1:6" x14ac:dyDescent="0.25">
      <c r="A104" s="15">
        <v>101</v>
      </c>
      <c r="B104" s="17">
        <f>IF(A104&lt;='APR and payment'!$E$5,'Remaining debt'!A104,"")</f>
        <v>101</v>
      </c>
      <c r="C104" s="22">
        <f>IF(A104&lt;='APR and payment'!$E$5,'APR and payment'!$E$24,"")</f>
        <v>22461.231674784805</v>
      </c>
      <c r="D104" s="22">
        <f>IF(A104&lt;='APR and payment'!$E$5,C104-E104,"")</f>
        <v>6989.544680721152</v>
      </c>
      <c r="E104" s="22">
        <f>IF(A104&lt;='APR and payment'!$E$5,F103*'APR and payment'!$E$6/'APR and payment'!$L$9,"")</f>
        <v>15471.686994063653</v>
      </c>
      <c r="F104" s="22">
        <f>IF(A104&lt;='APR and payment'!$E$5,F103-D104,"")</f>
        <v>3431163.1206667577</v>
      </c>
    </row>
    <row r="105" spans="1:6" x14ac:dyDescent="0.25">
      <c r="A105" s="15">
        <v>102</v>
      </c>
      <c r="B105" s="17">
        <f>IF(A105&lt;='APR and payment'!$E$5,'Remaining debt'!A105,"")</f>
        <v>102</v>
      </c>
      <c r="C105" s="22">
        <f>IF(A105&lt;='APR and payment'!$E$5,'APR and payment'!$E$24,"")</f>
        <v>22461.231674784805</v>
      </c>
      <c r="D105" s="22">
        <f>IF(A105&lt;='APR and payment'!$E$5,C105-E105,"")</f>
        <v>7020.9976317843957</v>
      </c>
      <c r="E105" s="22">
        <f>IF(A105&lt;='APR and payment'!$E$5,F104*'APR and payment'!$E$6/'APR and payment'!$L$9,"")</f>
        <v>15440.23404300041</v>
      </c>
      <c r="F105" s="22">
        <f>IF(A105&lt;='APR and payment'!$E$5,F104-D105,"")</f>
        <v>3424142.1230349732</v>
      </c>
    </row>
    <row r="106" spans="1:6" x14ac:dyDescent="0.25">
      <c r="A106" s="15">
        <v>103</v>
      </c>
      <c r="B106" s="17">
        <f>IF(A106&lt;='APR and payment'!$E$5,'Remaining debt'!A106,"")</f>
        <v>103</v>
      </c>
      <c r="C106" s="22">
        <f>IF(A106&lt;='APR and payment'!$E$5,'APR and payment'!$E$24,"")</f>
        <v>22461.231674784805</v>
      </c>
      <c r="D106" s="22">
        <f>IF(A106&lt;='APR and payment'!$E$5,C106-E106,"")</f>
        <v>7052.5921211274272</v>
      </c>
      <c r="E106" s="22">
        <f>IF(A106&lt;='APR and payment'!$E$5,F105*'APR and payment'!$E$6/'APR and payment'!$L$9,"")</f>
        <v>15408.639553657378</v>
      </c>
      <c r="F106" s="22">
        <f>IF(A106&lt;='APR and payment'!$E$5,F105-D106,"")</f>
        <v>3417089.5309138456</v>
      </c>
    </row>
    <row r="107" spans="1:6" x14ac:dyDescent="0.25">
      <c r="A107" s="15">
        <v>104</v>
      </c>
      <c r="B107" s="17">
        <f>IF(A107&lt;='APR and payment'!$E$5,'Remaining debt'!A107,"")</f>
        <v>104</v>
      </c>
      <c r="C107" s="22">
        <f>IF(A107&lt;='APR and payment'!$E$5,'APR and payment'!$E$24,"")</f>
        <v>22461.231674784805</v>
      </c>
      <c r="D107" s="22">
        <f>IF(A107&lt;='APR and payment'!$E$5,C107-E107,"")</f>
        <v>7084.3287856725019</v>
      </c>
      <c r="E107" s="22">
        <f>IF(A107&lt;='APR and payment'!$E$5,F106*'APR and payment'!$E$6/'APR and payment'!$L$9,"")</f>
        <v>15376.902889112303</v>
      </c>
      <c r="F107" s="22">
        <f>IF(A107&lt;='APR and payment'!$E$5,F106-D107,"")</f>
        <v>3410005.2021281733</v>
      </c>
    </row>
    <row r="108" spans="1:6" x14ac:dyDescent="0.25">
      <c r="A108" s="15">
        <v>105</v>
      </c>
      <c r="B108" s="17">
        <f>IF(A108&lt;='APR and payment'!$E$5,'Remaining debt'!A108,"")</f>
        <v>105</v>
      </c>
      <c r="C108" s="22">
        <f>IF(A108&lt;='APR and payment'!$E$5,'APR and payment'!$E$24,"")</f>
        <v>22461.231674784805</v>
      </c>
      <c r="D108" s="22">
        <f>IF(A108&lt;='APR and payment'!$E$5,C108-E108,"")</f>
        <v>7116.2082652080262</v>
      </c>
      <c r="E108" s="22">
        <f>IF(A108&lt;='APR and payment'!$E$5,F107*'APR and payment'!$E$6/'APR and payment'!$L$9,"")</f>
        <v>15345.023409576779</v>
      </c>
      <c r="F108" s="22">
        <f>IF(A108&lt;='APR and payment'!$E$5,F107-D108,"")</f>
        <v>3402888.9938629651</v>
      </c>
    </row>
    <row r="109" spans="1:6" x14ac:dyDescent="0.25">
      <c r="A109" s="15">
        <v>106</v>
      </c>
      <c r="B109" s="17">
        <f>IF(A109&lt;='APR and payment'!$E$5,'Remaining debt'!A109,"")</f>
        <v>106</v>
      </c>
      <c r="C109" s="22">
        <f>IF(A109&lt;='APR and payment'!$E$5,'APR and payment'!$E$24,"")</f>
        <v>22461.231674784805</v>
      </c>
      <c r="D109" s="22">
        <f>IF(A109&lt;='APR and payment'!$E$5,C109-E109,"")</f>
        <v>7148.2312024014627</v>
      </c>
      <c r="E109" s="22">
        <f>IF(A109&lt;='APR and payment'!$E$5,F108*'APR and payment'!$E$6/'APR and payment'!$L$9,"")</f>
        <v>15313.000472383343</v>
      </c>
      <c r="F109" s="22">
        <f>IF(A109&lt;='APR and payment'!$E$5,F108-D109,"")</f>
        <v>3395740.7626605635</v>
      </c>
    </row>
    <row r="110" spans="1:6" x14ac:dyDescent="0.25">
      <c r="A110" s="15">
        <v>107</v>
      </c>
      <c r="B110" s="17">
        <f>IF(A110&lt;='APR and payment'!$E$5,'Remaining debt'!A110,"")</f>
        <v>107</v>
      </c>
      <c r="C110" s="22">
        <f>IF(A110&lt;='APR and payment'!$E$5,'APR and payment'!$E$24,"")</f>
        <v>22461.231674784805</v>
      </c>
      <c r="D110" s="22">
        <f>IF(A110&lt;='APR and payment'!$E$5,C110-E110,"")</f>
        <v>7180.3982428122708</v>
      </c>
      <c r="E110" s="22">
        <f>IF(A110&lt;='APR and payment'!$E$5,F109*'APR and payment'!$E$6/'APR and payment'!$L$9,"")</f>
        <v>15280.833431972535</v>
      </c>
      <c r="F110" s="22">
        <f>IF(A110&lt;='APR and payment'!$E$5,F109-D110,"")</f>
        <v>3388560.3644177513</v>
      </c>
    </row>
    <row r="111" spans="1:6" x14ac:dyDescent="0.25">
      <c r="A111" s="15">
        <v>108</v>
      </c>
      <c r="B111" s="17">
        <f>IF(A111&lt;='APR and payment'!$E$5,'Remaining debt'!A111,"")</f>
        <v>108</v>
      </c>
      <c r="C111" s="22">
        <f>IF(A111&lt;='APR and payment'!$E$5,'APR and payment'!$E$24,"")</f>
        <v>22461.231674784805</v>
      </c>
      <c r="D111" s="22">
        <f>IF(A111&lt;='APR and payment'!$E$5,C111-E111,"")</f>
        <v>7212.7100349049251</v>
      </c>
      <c r="E111" s="22">
        <f>IF(A111&lt;='APR and payment'!$E$5,F110*'APR and payment'!$E$6/'APR and payment'!$L$9,"")</f>
        <v>15248.52163987988</v>
      </c>
      <c r="F111" s="22">
        <f>IF(A111&lt;='APR and payment'!$E$5,F110-D111,"")</f>
        <v>3381347.6543828463</v>
      </c>
    </row>
    <row r="112" spans="1:6" x14ac:dyDescent="0.25">
      <c r="A112" s="15">
        <v>109</v>
      </c>
      <c r="B112" s="17">
        <f>IF(A112&lt;='APR and payment'!$E$5,'Remaining debt'!A112,"")</f>
        <v>109</v>
      </c>
      <c r="C112" s="22">
        <f>IF(A112&lt;='APR and payment'!$E$5,'APR and payment'!$E$24,"")</f>
        <v>22461.231674784805</v>
      </c>
      <c r="D112" s="22">
        <f>IF(A112&lt;='APR and payment'!$E$5,C112-E112,"")</f>
        <v>7245.1672300619957</v>
      </c>
      <c r="E112" s="22">
        <f>IF(A112&lt;='APR and payment'!$E$5,F111*'APR and payment'!$E$6/'APR and payment'!$L$9,"")</f>
        <v>15216.06444472281</v>
      </c>
      <c r="F112" s="22">
        <f>IF(A112&lt;='APR and payment'!$E$5,F111-D112,"")</f>
        <v>3374102.4871527841</v>
      </c>
    </row>
    <row r="113" spans="1:6" x14ac:dyDescent="0.25">
      <c r="A113" s="15">
        <v>110</v>
      </c>
      <c r="B113" s="17">
        <f>IF(A113&lt;='APR and payment'!$E$5,'Remaining debt'!A113,"")</f>
        <v>110</v>
      </c>
      <c r="C113" s="22">
        <f>IF(A113&lt;='APR and payment'!$E$5,'APR and payment'!$E$24,"")</f>
        <v>22461.231674784805</v>
      </c>
      <c r="D113" s="22">
        <f>IF(A113&lt;='APR and payment'!$E$5,C113-E113,"")</f>
        <v>7277.7704825972778</v>
      </c>
      <c r="E113" s="22">
        <f>IF(A113&lt;='APR and payment'!$E$5,F112*'APR and payment'!$E$6/'APR and payment'!$L$9,"")</f>
        <v>15183.461192187528</v>
      </c>
      <c r="F113" s="22">
        <f>IF(A113&lt;='APR and payment'!$E$5,F112-D113,"")</f>
        <v>3366824.7166701867</v>
      </c>
    </row>
    <row r="114" spans="1:6" x14ac:dyDescent="0.25">
      <c r="A114" s="15">
        <v>111</v>
      </c>
      <c r="B114" s="17">
        <f>IF(A114&lt;='APR and payment'!$E$5,'Remaining debt'!A114,"")</f>
        <v>111</v>
      </c>
      <c r="C114" s="22">
        <f>IF(A114&lt;='APR and payment'!$E$5,'APR and payment'!$E$24,"")</f>
        <v>22461.231674784805</v>
      </c>
      <c r="D114" s="22">
        <f>IF(A114&lt;='APR and payment'!$E$5,C114-E114,"")</f>
        <v>7310.5204497689647</v>
      </c>
      <c r="E114" s="22">
        <f>IF(A114&lt;='APR and payment'!$E$5,F113*'APR and payment'!$E$6/'APR and payment'!$L$9,"")</f>
        <v>15150.711225015841</v>
      </c>
      <c r="F114" s="22">
        <f>IF(A114&lt;='APR and payment'!$E$5,F113-D114,"")</f>
        <v>3359514.196220418</v>
      </c>
    </row>
    <row r="115" spans="1:6" x14ac:dyDescent="0.25">
      <c r="A115" s="15">
        <v>112</v>
      </c>
      <c r="B115" s="17">
        <f>IF(A115&lt;='APR and payment'!$E$5,'Remaining debt'!A115,"")</f>
        <v>112</v>
      </c>
      <c r="C115" s="22">
        <f>IF(A115&lt;='APR and payment'!$E$5,'APR and payment'!$E$24,"")</f>
        <v>22461.231674784805</v>
      </c>
      <c r="D115" s="22">
        <f>IF(A115&lt;='APR and payment'!$E$5,C115-E115,"")</f>
        <v>7343.4177917929246</v>
      </c>
      <c r="E115" s="22">
        <f>IF(A115&lt;='APR and payment'!$E$5,F114*'APR and payment'!$E$6/'APR and payment'!$L$9,"")</f>
        <v>15117.813882991881</v>
      </c>
      <c r="F115" s="22">
        <f>IF(A115&lt;='APR and payment'!$E$5,F114-D115,"")</f>
        <v>3352170.7784286248</v>
      </c>
    </row>
    <row r="116" spans="1:6" x14ac:dyDescent="0.25">
      <c r="A116" s="15">
        <v>113</v>
      </c>
      <c r="B116" s="17">
        <f>IF(A116&lt;='APR and payment'!$E$5,'Remaining debt'!A116,"")</f>
        <v>113</v>
      </c>
      <c r="C116" s="22">
        <f>IF(A116&lt;='APR and payment'!$E$5,'APR and payment'!$E$24,"")</f>
        <v>22461.231674784805</v>
      </c>
      <c r="D116" s="22">
        <f>IF(A116&lt;='APR and payment'!$E$5,C116-E116,"")</f>
        <v>7376.463171855994</v>
      </c>
      <c r="E116" s="22">
        <f>IF(A116&lt;='APR and payment'!$E$5,F115*'APR and payment'!$E$6/'APR and payment'!$L$9,"")</f>
        <v>15084.768502928811</v>
      </c>
      <c r="F116" s="22">
        <f>IF(A116&lt;='APR and payment'!$E$5,F115-D116,"")</f>
        <v>3344794.3152567688</v>
      </c>
    </row>
    <row r="117" spans="1:6" x14ac:dyDescent="0.25">
      <c r="A117" s="15">
        <v>114</v>
      </c>
      <c r="B117" s="17">
        <f>IF(A117&lt;='APR and payment'!$E$5,'Remaining debt'!A117,"")</f>
        <v>114</v>
      </c>
      <c r="C117" s="22">
        <f>IF(A117&lt;='APR and payment'!$E$5,'APR and payment'!$E$24,"")</f>
        <v>22461.231674784805</v>
      </c>
      <c r="D117" s="22">
        <f>IF(A117&lt;='APR and payment'!$E$5,C117-E117,"")</f>
        <v>7409.6572561293469</v>
      </c>
      <c r="E117" s="22">
        <f>IF(A117&lt;='APR and payment'!$E$5,F116*'APR and payment'!$E$6/'APR and payment'!$L$9,"")</f>
        <v>15051.574418655458</v>
      </c>
      <c r="F117" s="22">
        <f>IF(A117&lt;='APR and payment'!$E$5,F116-D117,"")</f>
        <v>3337384.6580006396</v>
      </c>
    </row>
    <row r="118" spans="1:6" x14ac:dyDescent="0.25">
      <c r="A118" s="15">
        <v>115</v>
      </c>
      <c r="B118" s="17">
        <f>IF(A118&lt;='APR and payment'!$E$5,'Remaining debt'!A118,"")</f>
        <v>115</v>
      </c>
      <c r="C118" s="22">
        <f>IF(A118&lt;='APR and payment'!$E$5,'APR and payment'!$E$24,"")</f>
        <v>22461.231674784805</v>
      </c>
      <c r="D118" s="22">
        <f>IF(A118&lt;='APR and payment'!$E$5,C118-E118,"")</f>
        <v>7443.0007137819284</v>
      </c>
      <c r="E118" s="22">
        <f>IF(A118&lt;='APR and payment'!$E$5,F117*'APR and payment'!$E$6/'APR and payment'!$L$9,"")</f>
        <v>15018.230961002877</v>
      </c>
      <c r="F118" s="22">
        <f>IF(A118&lt;='APR and payment'!$E$5,F117-D118,"")</f>
        <v>3329941.6572868577</v>
      </c>
    </row>
    <row r="119" spans="1:6" x14ac:dyDescent="0.25">
      <c r="A119" s="15">
        <v>116</v>
      </c>
      <c r="B119" s="17">
        <f>IF(A119&lt;='APR and payment'!$E$5,'Remaining debt'!A119,"")</f>
        <v>116</v>
      </c>
      <c r="C119" s="22">
        <f>IF(A119&lt;='APR and payment'!$E$5,'APR and payment'!$E$24,"")</f>
        <v>22461.231674784805</v>
      </c>
      <c r="D119" s="22">
        <f>IF(A119&lt;='APR and payment'!$E$5,C119-E119,"")</f>
        <v>7476.4942169939441</v>
      </c>
      <c r="E119" s="22">
        <f>IF(A119&lt;='APR and payment'!$E$5,F118*'APR and payment'!$E$6/'APR and payment'!$L$9,"")</f>
        <v>14984.737457790861</v>
      </c>
      <c r="F119" s="22">
        <f>IF(A119&lt;='APR and payment'!$E$5,F118-D119,"")</f>
        <v>3322465.1630698638</v>
      </c>
    </row>
    <row r="120" spans="1:6" x14ac:dyDescent="0.25">
      <c r="A120" s="15">
        <v>117</v>
      </c>
      <c r="B120" s="17">
        <f>IF(A120&lt;='APR and payment'!$E$5,'Remaining debt'!A120,"")</f>
        <v>117</v>
      </c>
      <c r="C120" s="22">
        <f>IF(A120&lt;='APR and payment'!$E$5,'APR and payment'!$E$24,"")</f>
        <v>22461.231674784805</v>
      </c>
      <c r="D120" s="22">
        <f>IF(A120&lt;='APR and payment'!$E$5,C120-E120,"")</f>
        <v>7510.1384409704169</v>
      </c>
      <c r="E120" s="22">
        <f>IF(A120&lt;='APR and payment'!$E$5,F119*'APR and payment'!$E$6/'APR and payment'!$L$9,"")</f>
        <v>14951.093233814388</v>
      </c>
      <c r="F120" s="22">
        <f>IF(A120&lt;='APR and payment'!$E$5,F119-D120,"")</f>
        <v>3314955.0246288935</v>
      </c>
    </row>
    <row r="121" spans="1:6" x14ac:dyDescent="0.25">
      <c r="A121" s="15">
        <v>118</v>
      </c>
      <c r="B121" s="17">
        <f>IF(A121&lt;='APR and payment'!$E$5,'Remaining debt'!A121,"")</f>
        <v>118</v>
      </c>
      <c r="C121" s="22">
        <f>IF(A121&lt;='APR and payment'!$E$5,'APR and payment'!$E$24,"")</f>
        <v>22461.231674784805</v>
      </c>
      <c r="D121" s="22">
        <f>IF(A121&lt;='APR and payment'!$E$5,C121-E121,"")</f>
        <v>7543.9340639547845</v>
      </c>
      <c r="E121" s="22">
        <f>IF(A121&lt;='APR and payment'!$E$5,F120*'APR and payment'!$E$6/'APR and payment'!$L$9,"")</f>
        <v>14917.297610830021</v>
      </c>
      <c r="F121" s="22">
        <f>IF(A121&lt;='APR and payment'!$E$5,F120-D121,"")</f>
        <v>3307411.0905649387</v>
      </c>
    </row>
    <row r="122" spans="1:6" x14ac:dyDescent="0.25">
      <c r="A122" s="15">
        <v>119</v>
      </c>
      <c r="B122" s="17">
        <f>IF(A122&lt;='APR and payment'!$E$5,'Remaining debt'!A122,"")</f>
        <v>119</v>
      </c>
      <c r="C122" s="22">
        <f>IF(A122&lt;='APR and payment'!$E$5,'APR and payment'!$E$24,"")</f>
        <v>22461.231674784805</v>
      </c>
      <c r="D122" s="22">
        <f>IF(A122&lt;='APR and payment'!$E$5,C122-E122,"")</f>
        <v>7577.8817672425812</v>
      </c>
      <c r="E122" s="22">
        <f>IF(A122&lt;='APR and payment'!$E$5,F121*'APR and payment'!$E$6/'APR and payment'!$L$9,"")</f>
        <v>14883.349907542224</v>
      </c>
      <c r="F122" s="22">
        <f>IF(A122&lt;='APR and payment'!$E$5,F121-D122,"")</f>
        <v>3299833.208797696</v>
      </c>
    </row>
    <row r="123" spans="1:6" x14ac:dyDescent="0.25">
      <c r="A123" s="15">
        <v>120</v>
      </c>
      <c r="B123" s="17">
        <f>IF(A123&lt;='APR and payment'!$E$5,'Remaining debt'!A123,"")</f>
        <v>120</v>
      </c>
      <c r="C123" s="22">
        <f>IF(A123&lt;='APR and payment'!$E$5,'APR and payment'!$E$24,"")</f>
        <v>22461.231674784805</v>
      </c>
      <c r="D123" s="22">
        <f>IF(A123&lt;='APR and payment'!$E$5,C123-E123,"")</f>
        <v>7611.9822351951716</v>
      </c>
      <c r="E123" s="22">
        <f>IF(A123&lt;='APR and payment'!$E$5,F122*'APR and payment'!$E$6/'APR and payment'!$L$9,"")</f>
        <v>14849.249439589634</v>
      </c>
      <c r="F123" s="22">
        <f>IF(A123&lt;='APR and payment'!$E$5,F122-D123,"")</f>
        <v>3292221.2265625009</v>
      </c>
    </row>
    <row r="124" spans="1:6" x14ac:dyDescent="0.25">
      <c r="A124" s="15">
        <v>121</v>
      </c>
      <c r="B124" s="17">
        <f>IF(A124&lt;='APR and payment'!$E$5,'Remaining debt'!A124,"")</f>
        <v>121</v>
      </c>
      <c r="C124" s="22">
        <f>IF(A124&lt;='APR and payment'!$E$5,'APR and payment'!$E$24,"")</f>
        <v>22461.231674784805</v>
      </c>
      <c r="D124" s="22">
        <f>IF(A124&lt;='APR and payment'!$E$5,C124-E124,"")</f>
        <v>7646.2361552535531</v>
      </c>
      <c r="E124" s="22">
        <f>IF(A124&lt;='APR and payment'!$E$5,F123*'APR and payment'!$E$6/'APR and payment'!$L$9,"")</f>
        <v>14814.995519531252</v>
      </c>
      <c r="F124" s="22">
        <f>IF(A124&lt;='APR and payment'!$E$5,F123-D124,"")</f>
        <v>3284574.9904072476</v>
      </c>
    </row>
    <row r="125" spans="1:6" x14ac:dyDescent="0.25">
      <c r="A125" s="15">
        <v>122</v>
      </c>
      <c r="B125" s="17">
        <f>IF(A125&lt;='APR and payment'!$E$5,'Remaining debt'!A125,"")</f>
        <v>122</v>
      </c>
      <c r="C125" s="22">
        <f>IF(A125&lt;='APR and payment'!$E$5,'APR and payment'!$E$24,"")</f>
        <v>22461.231674784805</v>
      </c>
      <c r="D125" s="22">
        <f>IF(A125&lt;='APR and payment'!$E$5,C125-E125,"")</f>
        <v>7680.6442179521928</v>
      </c>
      <c r="E125" s="22">
        <f>IF(A125&lt;='APR and payment'!$E$5,F124*'APR and payment'!$E$6/'APR and payment'!$L$9,"")</f>
        <v>14780.587456832613</v>
      </c>
      <c r="F125" s="22">
        <f>IF(A125&lt;='APR and payment'!$E$5,F124-D125,"")</f>
        <v>3276894.3461892954</v>
      </c>
    </row>
    <row r="126" spans="1:6" x14ac:dyDescent="0.25">
      <c r="A126" s="15">
        <v>123</v>
      </c>
      <c r="B126" s="17">
        <f>IF(A126&lt;='APR and payment'!$E$5,'Remaining debt'!A126,"")</f>
        <v>123</v>
      </c>
      <c r="C126" s="22">
        <f>IF(A126&lt;='APR and payment'!$E$5,'APR and payment'!$E$24,"")</f>
        <v>22461.231674784805</v>
      </c>
      <c r="D126" s="22">
        <f>IF(A126&lt;='APR and payment'!$E$5,C126-E126,"")</f>
        <v>7715.2071169329756</v>
      </c>
      <c r="E126" s="22">
        <f>IF(A126&lt;='APR and payment'!$E$5,F125*'APR and payment'!$E$6/'APR and payment'!$L$9,"")</f>
        <v>14746.02455785183</v>
      </c>
      <c r="F126" s="22">
        <f>IF(A126&lt;='APR and payment'!$E$5,F125-D126,"")</f>
        <v>3269179.1390723623</v>
      </c>
    </row>
    <row r="127" spans="1:6" x14ac:dyDescent="0.25">
      <c r="A127" s="15">
        <v>124</v>
      </c>
      <c r="B127" s="17">
        <f>IF(A127&lt;='APR and payment'!$E$5,'Remaining debt'!A127,"")</f>
        <v>124</v>
      </c>
      <c r="C127" s="22">
        <f>IF(A127&lt;='APR and payment'!$E$5,'APR and payment'!$E$24,"")</f>
        <v>22461.231674784805</v>
      </c>
      <c r="D127" s="22">
        <f>IF(A127&lt;='APR and payment'!$E$5,C127-E127,"")</f>
        <v>7749.925548959176</v>
      </c>
      <c r="E127" s="22">
        <f>IF(A127&lt;='APR and payment'!$E$5,F126*'APR and payment'!$E$6/'APR and payment'!$L$9,"")</f>
        <v>14711.306125825629</v>
      </c>
      <c r="F127" s="22">
        <f>IF(A127&lt;='APR and payment'!$E$5,F126-D127,"")</f>
        <v>3261429.2135234033</v>
      </c>
    </row>
    <row r="128" spans="1:6" x14ac:dyDescent="0.25">
      <c r="A128" s="15">
        <v>125</v>
      </c>
      <c r="B128" s="17">
        <f>IF(A128&lt;='APR and payment'!$E$5,'Remaining debt'!A128,"")</f>
        <v>125</v>
      </c>
      <c r="C128" s="22">
        <f>IF(A128&lt;='APR and payment'!$E$5,'APR and payment'!$E$24,"")</f>
        <v>22461.231674784805</v>
      </c>
      <c r="D128" s="22">
        <f>IF(A128&lt;='APR and payment'!$E$5,C128-E128,"")</f>
        <v>7784.8002139294895</v>
      </c>
      <c r="E128" s="22">
        <f>IF(A128&lt;='APR and payment'!$E$5,F127*'APR and payment'!$E$6/'APR and payment'!$L$9,"")</f>
        <v>14676.431460855316</v>
      </c>
      <c r="F128" s="22">
        <f>IF(A128&lt;='APR and payment'!$E$5,F127-D128,"")</f>
        <v>3253644.413309474</v>
      </c>
    </row>
    <row r="129" spans="1:6" x14ac:dyDescent="0.25">
      <c r="A129" s="15">
        <v>126</v>
      </c>
      <c r="B129" s="17">
        <f>IF(A129&lt;='APR and payment'!$E$5,'Remaining debt'!A129,"")</f>
        <v>126</v>
      </c>
      <c r="C129" s="22">
        <f>IF(A129&lt;='APR and payment'!$E$5,'APR and payment'!$E$24,"")</f>
        <v>22461.231674784805</v>
      </c>
      <c r="D129" s="22">
        <f>IF(A129&lt;='APR and payment'!$E$5,C129-E129,"")</f>
        <v>7819.8318148921717</v>
      </c>
      <c r="E129" s="22">
        <f>IF(A129&lt;='APR and payment'!$E$5,F128*'APR and payment'!$E$6/'APR and payment'!$L$9,"")</f>
        <v>14641.399859892634</v>
      </c>
      <c r="F129" s="22">
        <f>IF(A129&lt;='APR and payment'!$E$5,F128-D129,"")</f>
        <v>3245824.5814945819</v>
      </c>
    </row>
    <row r="130" spans="1:6" x14ac:dyDescent="0.25">
      <c r="A130" s="15">
        <v>127</v>
      </c>
      <c r="B130" s="17">
        <f>IF(A130&lt;='APR and payment'!$E$5,'Remaining debt'!A130,"")</f>
        <v>127</v>
      </c>
      <c r="C130" s="22">
        <f>IF(A130&lt;='APR and payment'!$E$5,'APR and payment'!$E$24,"")</f>
        <v>22461.231674784805</v>
      </c>
      <c r="D130" s="22">
        <f>IF(A130&lt;='APR and payment'!$E$5,C130-E130,"")</f>
        <v>7855.0210580591865</v>
      </c>
      <c r="E130" s="22">
        <f>IF(A130&lt;='APR and payment'!$E$5,F129*'APR and payment'!$E$6/'APR and payment'!$L$9,"")</f>
        <v>14606.210616725619</v>
      </c>
      <c r="F130" s="22">
        <f>IF(A130&lt;='APR and payment'!$E$5,F129-D130,"")</f>
        <v>3237969.5604365226</v>
      </c>
    </row>
    <row r="131" spans="1:6" x14ac:dyDescent="0.25">
      <c r="A131" s="15">
        <v>128</v>
      </c>
      <c r="B131" s="17">
        <f>IF(A131&lt;='APR and payment'!$E$5,'Remaining debt'!A131,"")</f>
        <v>128</v>
      </c>
      <c r="C131" s="22">
        <f>IF(A131&lt;='APR and payment'!$E$5,'APR and payment'!$E$24,"")</f>
        <v>22461.231674784805</v>
      </c>
      <c r="D131" s="22">
        <f>IF(A131&lt;='APR and payment'!$E$5,C131-E131,"")</f>
        <v>7890.3686528204544</v>
      </c>
      <c r="E131" s="22">
        <f>IF(A131&lt;='APR and payment'!$E$5,F130*'APR and payment'!$E$6/'APR and payment'!$L$9,"")</f>
        <v>14570.863021964351</v>
      </c>
      <c r="F131" s="22">
        <f>IF(A131&lt;='APR and payment'!$E$5,F130-D131,"")</f>
        <v>3230079.191783702</v>
      </c>
    </row>
    <row r="132" spans="1:6" x14ac:dyDescent="0.25">
      <c r="A132" s="15">
        <v>129</v>
      </c>
      <c r="B132" s="17">
        <f>IF(A132&lt;='APR and payment'!$E$5,'Remaining debt'!A132,"")</f>
        <v>129</v>
      </c>
      <c r="C132" s="22">
        <f>IF(A132&lt;='APR and payment'!$E$5,'APR and payment'!$E$24,"")</f>
        <v>22461.231674784805</v>
      </c>
      <c r="D132" s="22">
        <f>IF(A132&lt;='APR and payment'!$E$5,C132-E132,"")</f>
        <v>7925.8753117581473</v>
      </c>
      <c r="E132" s="22">
        <f>IF(A132&lt;='APR and payment'!$E$5,F131*'APR and payment'!$E$6/'APR and payment'!$L$9,"")</f>
        <v>14535.356363026658</v>
      </c>
      <c r="F132" s="22">
        <f>IF(A132&lt;='APR and payment'!$E$5,F131-D132,"")</f>
        <v>3222153.3164719436</v>
      </c>
    </row>
    <row r="133" spans="1:6" x14ac:dyDescent="0.25">
      <c r="A133" s="15">
        <v>130</v>
      </c>
      <c r="B133" s="17">
        <f>IF(A133&lt;='APR and payment'!$E$5,'Remaining debt'!A133,"")</f>
        <v>130</v>
      </c>
      <c r="C133" s="22">
        <f>IF(A133&lt;='APR and payment'!$E$5,'APR and payment'!$E$24,"")</f>
        <v>22461.231674784805</v>
      </c>
      <c r="D133" s="22">
        <f>IF(A133&lt;='APR and payment'!$E$5,C133-E133,"")</f>
        <v>7961.5417506610593</v>
      </c>
      <c r="E133" s="22">
        <f>IF(A133&lt;='APR and payment'!$E$5,F132*'APR and payment'!$E$6/'APR and payment'!$L$9,"")</f>
        <v>14499.689924123746</v>
      </c>
      <c r="F133" s="22">
        <f>IF(A133&lt;='APR and payment'!$E$5,F132-D133,"")</f>
        <v>3214191.7747212825</v>
      </c>
    </row>
    <row r="134" spans="1:6" x14ac:dyDescent="0.25">
      <c r="A134" s="15">
        <v>131</v>
      </c>
      <c r="B134" s="17">
        <f>IF(A134&lt;='APR and payment'!$E$5,'Remaining debt'!A134,"")</f>
        <v>131</v>
      </c>
      <c r="C134" s="22">
        <f>IF(A134&lt;='APR and payment'!$E$5,'APR and payment'!$E$24,"")</f>
        <v>22461.231674784805</v>
      </c>
      <c r="D134" s="22">
        <f>IF(A134&lt;='APR and payment'!$E$5,C134-E134,"")</f>
        <v>7997.3686885390325</v>
      </c>
      <c r="E134" s="22">
        <f>IF(A134&lt;='APR and payment'!$E$5,F133*'APR and payment'!$E$6/'APR and payment'!$L$9,"")</f>
        <v>14463.862986245773</v>
      </c>
      <c r="F134" s="22">
        <f>IF(A134&lt;='APR and payment'!$E$5,F133-D134,"")</f>
        <v>3206194.4060327434</v>
      </c>
    </row>
    <row r="135" spans="1:6" x14ac:dyDescent="0.25">
      <c r="A135" s="15">
        <v>132</v>
      </c>
      <c r="B135" s="17">
        <f>IF(A135&lt;='APR and payment'!$E$5,'Remaining debt'!A135,"")</f>
        <v>132</v>
      </c>
      <c r="C135" s="22">
        <f>IF(A135&lt;='APR and payment'!$E$5,'APR and payment'!$E$24,"")</f>
        <v>22461.231674784805</v>
      </c>
      <c r="D135" s="22">
        <f>IF(A135&lt;='APR and payment'!$E$5,C135-E135,"")</f>
        <v>8033.3568476374603</v>
      </c>
      <c r="E135" s="22">
        <f>IF(A135&lt;='APR and payment'!$E$5,F134*'APR and payment'!$E$6/'APR and payment'!$L$9,"")</f>
        <v>14427.874827147345</v>
      </c>
      <c r="F135" s="22">
        <f>IF(A135&lt;='APR and payment'!$E$5,F134-D135,"")</f>
        <v>3198161.0491851061</v>
      </c>
    </row>
    <row r="136" spans="1:6" x14ac:dyDescent="0.25">
      <c r="A136" s="15">
        <v>133</v>
      </c>
      <c r="B136" s="17">
        <f>IF(A136&lt;='APR and payment'!$E$5,'Remaining debt'!A136,"")</f>
        <v>133</v>
      </c>
      <c r="C136" s="22">
        <f>IF(A136&lt;='APR and payment'!$E$5,'APR and payment'!$E$24,"")</f>
        <v>22461.231674784805</v>
      </c>
      <c r="D136" s="22">
        <f>IF(A136&lt;='APR and payment'!$E$5,C136-E136,"")</f>
        <v>8069.5069534518279</v>
      </c>
      <c r="E136" s="22">
        <f>IF(A136&lt;='APR and payment'!$E$5,F135*'APR and payment'!$E$6/'APR and payment'!$L$9,"")</f>
        <v>14391.724721332977</v>
      </c>
      <c r="F136" s="22">
        <f>IF(A136&lt;='APR and payment'!$E$5,F135-D136,"")</f>
        <v>3190091.5422316543</v>
      </c>
    </row>
    <row r="137" spans="1:6" x14ac:dyDescent="0.25">
      <c r="A137" s="15">
        <v>134</v>
      </c>
      <c r="B137" s="17">
        <f>IF(A137&lt;='APR and payment'!$E$5,'Remaining debt'!A137,"")</f>
        <v>134</v>
      </c>
      <c r="C137" s="22">
        <f>IF(A137&lt;='APR and payment'!$E$5,'APR and payment'!$E$24,"")</f>
        <v>22461.231674784805</v>
      </c>
      <c r="D137" s="22">
        <f>IF(A137&lt;='APR and payment'!$E$5,C137-E137,"")</f>
        <v>8105.8197347423611</v>
      </c>
      <c r="E137" s="22">
        <f>IF(A137&lt;='APR and payment'!$E$5,F136*'APR and payment'!$E$6/'APR and payment'!$L$9,"")</f>
        <v>14355.411940042444</v>
      </c>
      <c r="F137" s="22">
        <f>IF(A137&lt;='APR and payment'!$E$5,F136-D137,"")</f>
        <v>3181985.7224969119</v>
      </c>
    </row>
    <row r="138" spans="1:6" x14ac:dyDescent="0.25">
      <c r="A138" s="15">
        <v>135</v>
      </c>
      <c r="B138" s="17">
        <f>IF(A138&lt;='APR and payment'!$E$5,'Remaining debt'!A138,"")</f>
        <v>135</v>
      </c>
      <c r="C138" s="22">
        <f>IF(A138&lt;='APR and payment'!$E$5,'APR and payment'!$E$24,"")</f>
        <v>22461.231674784805</v>
      </c>
      <c r="D138" s="22">
        <f>IF(A138&lt;='APR and payment'!$E$5,C138-E138,"")</f>
        <v>8142.2959235487015</v>
      </c>
      <c r="E138" s="22">
        <f>IF(A138&lt;='APR and payment'!$E$5,F137*'APR and payment'!$E$6/'APR and payment'!$L$9,"")</f>
        <v>14318.935751236104</v>
      </c>
      <c r="F138" s="22">
        <f>IF(A138&lt;='APR and payment'!$E$5,F137-D138,"")</f>
        <v>3173843.4265733631</v>
      </c>
    </row>
    <row r="139" spans="1:6" x14ac:dyDescent="0.25">
      <c r="A139" s="15">
        <v>136</v>
      </c>
      <c r="B139" s="17">
        <f>IF(A139&lt;='APR and payment'!$E$5,'Remaining debt'!A139,"")</f>
        <v>136</v>
      </c>
      <c r="C139" s="22">
        <f>IF(A139&lt;='APR and payment'!$E$5,'APR and payment'!$E$24,"")</f>
        <v>22461.231674784805</v>
      </c>
      <c r="D139" s="22">
        <f>IF(A139&lt;='APR and payment'!$E$5,C139-E139,"")</f>
        <v>8178.9362552046714</v>
      </c>
      <c r="E139" s="22">
        <f>IF(A139&lt;='APR and payment'!$E$5,F138*'APR and payment'!$E$6/'APR and payment'!$L$9,"")</f>
        <v>14282.295419580134</v>
      </c>
      <c r="F139" s="22">
        <f>IF(A139&lt;='APR and payment'!$E$5,F138-D139,"")</f>
        <v>3165664.4903181586</v>
      </c>
    </row>
    <row r="140" spans="1:6" x14ac:dyDescent="0.25">
      <c r="A140" s="15">
        <v>137</v>
      </c>
      <c r="B140" s="17">
        <f>IF(A140&lt;='APR and payment'!$E$5,'Remaining debt'!A140,"")</f>
        <v>137</v>
      </c>
      <c r="C140" s="22">
        <f>IF(A140&lt;='APR and payment'!$E$5,'APR and payment'!$E$24,"")</f>
        <v>22461.231674784805</v>
      </c>
      <c r="D140" s="22">
        <f>IF(A140&lt;='APR and payment'!$E$5,C140-E140,"")</f>
        <v>8215.7414683530915</v>
      </c>
      <c r="E140" s="22">
        <f>IF(A140&lt;='APR and payment'!$E$5,F139*'APR and payment'!$E$6/'APR and payment'!$L$9,"")</f>
        <v>14245.490206431714</v>
      </c>
      <c r="F140" s="22">
        <f>IF(A140&lt;='APR and payment'!$E$5,F139-D140,"")</f>
        <v>3157448.7488498054</v>
      </c>
    </row>
    <row r="141" spans="1:6" x14ac:dyDescent="0.25">
      <c r="A141" s="15">
        <v>138</v>
      </c>
      <c r="B141" s="17">
        <f>IF(A141&lt;='APR and payment'!$E$5,'Remaining debt'!A141,"")</f>
        <v>138</v>
      </c>
      <c r="C141" s="22">
        <f>IF(A141&lt;='APR and payment'!$E$5,'APR and payment'!$E$24,"")</f>
        <v>22461.231674784805</v>
      </c>
      <c r="D141" s="22">
        <f>IF(A141&lt;='APR and payment'!$E$5,C141-E141,"")</f>
        <v>8252.7123049606798</v>
      </c>
      <c r="E141" s="22">
        <f>IF(A141&lt;='APR and payment'!$E$5,F140*'APR and payment'!$E$6/'APR and payment'!$L$9,"")</f>
        <v>14208.519369824126</v>
      </c>
      <c r="F141" s="22">
        <f>IF(A141&lt;='APR and payment'!$E$5,F140-D141,"")</f>
        <v>3149196.036544845</v>
      </c>
    </row>
    <row r="142" spans="1:6" x14ac:dyDescent="0.25">
      <c r="A142" s="15">
        <v>139</v>
      </c>
      <c r="B142" s="17">
        <f>IF(A142&lt;='APR and payment'!$E$5,'Remaining debt'!A142,"")</f>
        <v>139</v>
      </c>
      <c r="C142" s="22">
        <f>IF(A142&lt;='APR and payment'!$E$5,'APR and payment'!$E$24,"")</f>
        <v>22461.231674784805</v>
      </c>
      <c r="D142" s="22">
        <f>IF(A142&lt;='APR and payment'!$E$5,C142-E142,"")</f>
        <v>8289.8495103330024</v>
      </c>
      <c r="E142" s="22">
        <f>IF(A142&lt;='APR and payment'!$E$5,F141*'APR and payment'!$E$6/'APR and payment'!$L$9,"")</f>
        <v>14171.382164451803</v>
      </c>
      <c r="F142" s="22">
        <f>IF(A142&lt;='APR and payment'!$E$5,F141-D142,"")</f>
        <v>3140906.1870345119</v>
      </c>
    </row>
    <row r="143" spans="1:6" x14ac:dyDescent="0.25">
      <c r="A143" s="15">
        <v>140</v>
      </c>
      <c r="B143" s="17">
        <f>IF(A143&lt;='APR and payment'!$E$5,'Remaining debt'!A143,"")</f>
        <v>140</v>
      </c>
      <c r="C143" s="22">
        <f>IF(A143&lt;='APR and payment'!$E$5,'APR and payment'!$E$24,"")</f>
        <v>22461.231674784805</v>
      </c>
      <c r="D143" s="22">
        <f>IF(A143&lt;='APR and payment'!$E$5,C143-E143,"")</f>
        <v>8327.1538331295033</v>
      </c>
      <c r="E143" s="22">
        <f>IF(A143&lt;='APR and payment'!$E$5,F142*'APR and payment'!$E$6/'APR and payment'!$L$9,"")</f>
        <v>14134.077841655302</v>
      </c>
      <c r="F143" s="22">
        <f>IF(A143&lt;='APR and payment'!$E$5,F142-D143,"")</f>
        <v>3132579.0332013825</v>
      </c>
    </row>
    <row r="144" spans="1:6" x14ac:dyDescent="0.25">
      <c r="A144" s="15">
        <v>141</v>
      </c>
      <c r="B144" s="17">
        <f>IF(A144&lt;='APR and payment'!$E$5,'Remaining debt'!A144,"")</f>
        <v>141</v>
      </c>
      <c r="C144" s="22">
        <f>IF(A144&lt;='APR and payment'!$E$5,'APR and payment'!$E$24,"")</f>
        <v>22461.231674784805</v>
      </c>
      <c r="D144" s="22">
        <f>IF(A144&lt;='APR and payment'!$E$5,C144-E144,"")</f>
        <v>8364.626025378584</v>
      </c>
      <c r="E144" s="22">
        <f>IF(A144&lt;='APR and payment'!$E$5,F143*'APR and payment'!$E$6/'APR and payment'!$L$9,"")</f>
        <v>14096.605649406221</v>
      </c>
      <c r="F144" s="22">
        <f>IF(A144&lt;='APR and payment'!$E$5,F143-D144,"")</f>
        <v>3124214.4071760038</v>
      </c>
    </row>
    <row r="145" spans="1:6" x14ac:dyDescent="0.25">
      <c r="A145" s="15">
        <v>142</v>
      </c>
      <c r="B145" s="17">
        <f>IF(A145&lt;='APR and payment'!$E$5,'Remaining debt'!A145,"")</f>
        <v>142</v>
      </c>
      <c r="C145" s="22">
        <f>IF(A145&lt;='APR and payment'!$E$5,'APR and payment'!$E$24,"")</f>
        <v>22461.231674784805</v>
      </c>
      <c r="D145" s="22">
        <f>IF(A145&lt;='APR and payment'!$E$5,C145-E145,"")</f>
        <v>8402.2668424927888</v>
      </c>
      <c r="E145" s="22">
        <f>IF(A145&lt;='APR and payment'!$E$5,F144*'APR and payment'!$E$6/'APR and payment'!$L$9,"")</f>
        <v>14058.964832292017</v>
      </c>
      <c r="F145" s="22">
        <f>IF(A145&lt;='APR and payment'!$E$5,F144-D145,"")</f>
        <v>3115812.1403335109</v>
      </c>
    </row>
    <row r="146" spans="1:6" x14ac:dyDescent="0.25">
      <c r="A146" s="15">
        <v>143</v>
      </c>
      <c r="B146" s="17">
        <f>IF(A146&lt;='APR and payment'!$E$5,'Remaining debt'!A146,"")</f>
        <v>143</v>
      </c>
      <c r="C146" s="22">
        <f>IF(A146&lt;='APR and payment'!$E$5,'APR and payment'!$E$24,"")</f>
        <v>22461.231674784805</v>
      </c>
      <c r="D146" s="22">
        <f>IF(A146&lt;='APR and payment'!$E$5,C146-E146,"")</f>
        <v>8440.0770432840054</v>
      </c>
      <c r="E146" s="22">
        <f>IF(A146&lt;='APR and payment'!$E$5,F145*'APR and payment'!$E$6/'APR and payment'!$L$9,"")</f>
        <v>14021.1546315008</v>
      </c>
      <c r="F146" s="22">
        <f>IF(A146&lt;='APR and payment'!$E$5,F145-D146,"")</f>
        <v>3107372.0632902267</v>
      </c>
    </row>
    <row r="147" spans="1:6" x14ac:dyDescent="0.25">
      <c r="A147" s="15">
        <v>144</v>
      </c>
      <c r="B147" s="17">
        <f>IF(A147&lt;='APR and payment'!$E$5,'Remaining debt'!A147,"")</f>
        <v>144</v>
      </c>
      <c r="C147" s="22">
        <f>IF(A147&lt;='APR and payment'!$E$5,'APR and payment'!$E$24,"")</f>
        <v>22461.231674784805</v>
      </c>
      <c r="D147" s="22">
        <f>IF(A147&lt;='APR and payment'!$E$5,C147-E147,"")</f>
        <v>8478.0573899787869</v>
      </c>
      <c r="E147" s="22">
        <f>IF(A147&lt;='APR and payment'!$E$5,F146*'APR and payment'!$E$6/'APR and payment'!$L$9,"")</f>
        <v>13983.174284806018</v>
      </c>
      <c r="F147" s="22">
        <f>IF(A147&lt;='APR and payment'!$E$5,F146-D147,"")</f>
        <v>3098894.005900248</v>
      </c>
    </row>
    <row r="148" spans="1:6" x14ac:dyDescent="0.25">
      <c r="A148" s="15">
        <v>145</v>
      </c>
      <c r="B148" s="17">
        <f>IF(A148&lt;='APR and payment'!$E$5,'Remaining debt'!A148,"")</f>
        <v>145</v>
      </c>
      <c r="C148" s="22">
        <f>IF(A148&lt;='APR and payment'!$E$5,'APR and payment'!$E$24,"")</f>
        <v>22461.231674784805</v>
      </c>
      <c r="D148" s="22">
        <f>IF(A148&lt;='APR and payment'!$E$5,C148-E148,"")</f>
        <v>8516.2086482336908</v>
      </c>
      <c r="E148" s="22">
        <f>IF(A148&lt;='APR and payment'!$E$5,F147*'APR and payment'!$E$6/'APR and payment'!$L$9,"")</f>
        <v>13945.023026551115</v>
      </c>
      <c r="F148" s="22">
        <f>IF(A148&lt;='APR and payment'!$E$5,F147-D148,"")</f>
        <v>3090377.7972520143</v>
      </c>
    </row>
    <row r="149" spans="1:6" x14ac:dyDescent="0.25">
      <c r="A149" s="15">
        <v>146</v>
      </c>
      <c r="B149" s="17">
        <f>IF(A149&lt;='APR and payment'!$E$5,'Remaining debt'!A149,"")</f>
        <v>146</v>
      </c>
      <c r="C149" s="22">
        <f>IF(A149&lt;='APR and payment'!$E$5,'APR and payment'!$E$24,"")</f>
        <v>22461.231674784805</v>
      </c>
      <c r="D149" s="22">
        <f>IF(A149&lt;='APR and payment'!$E$5,C149-E149,"")</f>
        <v>8554.5315871507428</v>
      </c>
      <c r="E149" s="22">
        <f>IF(A149&lt;='APR and payment'!$E$5,F148*'APR and payment'!$E$6/'APR and payment'!$L$9,"")</f>
        <v>13906.700087634063</v>
      </c>
      <c r="F149" s="22">
        <f>IF(A149&lt;='APR and payment'!$E$5,F148-D149,"")</f>
        <v>3081823.2656648634</v>
      </c>
    </row>
    <row r="150" spans="1:6" x14ac:dyDescent="0.25">
      <c r="A150" s="15">
        <v>147</v>
      </c>
      <c r="B150" s="17">
        <f>IF(A150&lt;='APR and payment'!$E$5,'Remaining debt'!A150,"")</f>
        <v>147</v>
      </c>
      <c r="C150" s="22">
        <f>IF(A150&lt;='APR and payment'!$E$5,'APR and payment'!$E$24,"")</f>
        <v>22461.231674784805</v>
      </c>
      <c r="D150" s="22">
        <f>IF(A150&lt;='APR and payment'!$E$5,C150-E150,"")</f>
        <v>8593.0269792929212</v>
      </c>
      <c r="E150" s="22">
        <f>IF(A150&lt;='APR and payment'!$E$5,F149*'APR and payment'!$E$6/'APR and payment'!$L$9,"")</f>
        <v>13868.204695491884</v>
      </c>
      <c r="F150" s="22">
        <f>IF(A150&lt;='APR and payment'!$E$5,F149-D150,"")</f>
        <v>3073230.2386855707</v>
      </c>
    </row>
    <row r="151" spans="1:6" x14ac:dyDescent="0.25">
      <c r="A151" s="15">
        <v>148</v>
      </c>
      <c r="B151" s="17">
        <f>IF(A151&lt;='APR and payment'!$E$5,'Remaining debt'!A151,"")</f>
        <v>148</v>
      </c>
      <c r="C151" s="22">
        <f>IF(A151&lt;='APR and payment'!$E$5,'APR and payment'!$E$24,"")</f>
        <v>22461.231674784805</v>
      </c>
      <c r="D151" s="22">
        <f>IF(A151&lt;='APR and payment'!$E$5,C151-E151,"")</f>
        <v>8631.695600699737</v>
      </c>
      <c r="E151" s="22">
        <f>IF(A151&lt;='APR and payment'!$E$5,F150*'APR and payment'!$E$6/'APR and payment'!$L$9,"")</f>
        <v>13829.536074085068</v>
      </c>
      <c r="F151" s="22">
        <f>IF(A151&lt;='APR and payment'!$E$5,F150-D151,"")</f>
        <v>3064598.543084871</v>
      </c>
    </row>
    <row r="152" spans="1:6" x14ac:dyDescent="0.25">
      <c r="A152" s="15">
        <v>149</v>
      </c>
      <c r="B152" s="17">
        <f>IF(A152&lt;='APR and payment'!$E$5,'Remaining debt'!A152,"")</f>
        <v>149</v>
      </c>
      <c r="C152" s="22">
        <f>IF(A152&lt;='APR and payment'!$E$5,'APR and payment'!$E$24,"")</f>
        <v>22461.231674784805</v>
      </c>
      <c r="D152" s="22">
        <f>IF(A152&lt;='APR and payment'!$E$5,C152-E152,"")</f>
        <v>8670.5382309028846</v>
      </c>
      <c r="E152" s="22">
        <f>IF(A152&lt;='APR and payment'!$E$5,F151*'APR and payment'!$E$6/'APR and payment'!$L$9,"")</f>
        <v>13790.693443881921</v>
      </c>
      <c r="F152" s="22">
        <f>IF(A152&lt;='APR and payment'!$E$5,F151-D152,"")</f>
        <v>3055928.004853968</v>
      </c>
    </row>
    <row r="153" spans="1:6" x14ac:dyDescent="0.25">
      <c r="A153" s="15">
        <v>150</v>
      </c>
      <c r="B153" s="17">
        <f>IF(A153&lt;='APR and payment'!$E$5,'Remaining debt'!A153,"")</f>
        <v>150</v>
      </c>
      <c r="C153" s="22">
        <f>IF(A153&lt;='APR and payment'!$E$5,'APR and payment'!$E$24,"")</f>
        <v>22461.231674784805</v>
      </c>
      <c r="D153" s="22">
        <f>IF(A153&lt;='APR and payment'!$E$5,C153-E153,"")</f>
        <v>8709.55565294195</v>
      </c>
      <c r="E153" s="22">
        <f>IF(A153&lt;='APR and payment'!$E$5,F152*'APR and payment'!$E$6/'APR and payment'!$L$9,"")</f>
        <v>13751.676021842855</v>
      </c>
      <c r="F153" s="22">
        <f>IF(A153&lt;='APR and payment'!$E$5,F152-D153,"")</f>
        <v>3047218.449201026</v>
      </c>
    </row>
    <row r="154" spans="1:6" x14ac:dyDescent="0.25">
      <c r="A154" s="15">
        <v>151</v>
      </c>
      <c r="B154" s="17">
        <f>IF(A154&lt;='APR and payment'!$E$5,'Remaining debt'!A154,"")</f>
        <v>151</v>
      </c>
      <c r="C154" s="22">
        <f>IF(A154&lt;='APR and payment'!$E$5,'APR and payment'!$E$24,"")</f>
        <v>22461.231674784805</v>
      </c>
      <c r="D154" s="22">
        <f>IF(A154&lt;='APR and payment'!$E$5,C154-E154,"")</f>
        <v>8748.7486533801894</v>
      </c>
      <c r="E154" s="22">
        <f>IF(A154&lt;='APR and payment'!$E$5,F153*'APR and payment'!$E$6/'APR and payment'!$L$9,"")</f>
        <v>13712.483021404616</v>
      </c>
      <c r="F154" s="22">
        <f>IF(A154&lt;='APR and payment'!$E$5,F153-D154,"")</f>
        <v>3038469.7005476458</v>
      </c>
    </row>
    <row r="155" spans="1:6" x14ac:dyDescent="0.25">
      <c r="A155" s="15">
        <v>152</v>
      </c>
      <c r="B155" s="17">
        <f>IF(A155&lt;='APR and payment'!$E$5,'Remaining debt'!A155,"")</f>
        <v>152</v>
      </c>
      <c r="C155" s="22">
        <f>IF(A155&lt;='APR and payment'!$E$5,'APR and payment'!$E$24,"")</f>
        <v>22461.231674784805</v>
      </c>
      <c r="D155" s="22">
        <f>IF(A155&lt;='APR and payment'!$E$5,C155-E155,"")</f>
        <v>8788.118022320401</v>
      </c>
      <c r="E155" s="22">
        <f>IF(A155&lt;='APR and payment'!$E$5,F154*'APR and payment'!$E$6/'APR and payment'!$L$9,"")</f>
        <v>13673.113652464404</v>
      </c>
      <c r="F155" s="22">
        <f>IF(A155&lt;='APR and payment'!$E$5,F154-D155,"")</f>
        <v>3029681.5825253255</v>
      </c>
    </row>
    <row r="156" spans="1:6" x14ac:dyDescent="0.25">
      <c r="A156" s="15">
        <v>153</v>
      </c>
      <c r="B156" s="17">
        <f>IF(A156&lt;='APR and payment'!$E$5,'Remaining debt'!A156,"")</f>
        <v>153</v>
      </c>
      <c r="C156" s="22">
        <f>IF(A156&lt;='APR and payment'!$E$5,'APR and payment'!$E$24,"")</f>
        <v>22461.231674784805</v>
      </c>
      <c r="D156" s="22">
        <f>IF(A156&lt;='APR and payment'!$E$5,C156-E156,"")</f>
        <v>8827.6645534208401</v>
      </c>
      <c r="E156" s="22">
        <f>IF(A156&lt;='APR and payment'!$E$5,F155*'APR and payment'!$E$6/'APR and payment'!$L$9,"")</f>
        <v>13633.567121363965</v>
      </c>
      <c r="F156" s="22">
        <f>IF(A156&lt;='APR and payment'!$E$5,F155-D156,"")</f>
        <v>3020853.9179719049</v>
      </c>
    </row>
    <row r="157" spans="1:6" x14ac:dyDescent="0.25">
      <c r="A157" s="15">
        <v>154</v>
      </c>
      <c r="B157" s="17">
        <f>IF(A157&lt;='APR and payment'!$E$5,'Remaining debt'!A157,"")</f>
        <v>154</v>
      </c>
      <c r="C157" s="22">
        <f>IF(A157&lt;='APR and payment'!$E$5,'APR and payment'!$E$24,"")</f>
        <v>22461.231674784805</v>
      </c>
      <c r="D157" s="22">
        <f>IF(A157&lt;='APR and payment'!$E$5,C157-E157,"")</f>
        <v>8867.3890439112329</v>
      </c>
      <c r="E157" s="22">
        <f>IF(A157&lt;='APR and payment'!$E$5,F156*'APR and payment'!$E$6/'APR and payment'!$L$9,"")</f>
        <v>13593.842630873572</v>
      </c>
      <c r="F157" s="22">
        <f>IF(A157&lt;='APR and payment'!$E$5,F156-D157,"")</f>
        <v>3011986.5289279935</v>
      </c>
    </row>
    <row r="158" spans="1:6" x14ac:dyDescent="0.25">
      <c r="A158" s="15">
        <v>155</v>
      </c>
      <c r="B158" s="17">
        <f>IF(A158&lt;='APR and payment'!$E$5,'Remaining debt'!A158,"")</f>
        <v>155</v>
      </c>
      <c r="C158" s="22">
        <f>IF(A158&lt;='APR and payment'!$E$5,'APR and payment'!$E$24,"")</f>
        <v>22461.231674784805</v>
      </c>
      <c r="D158" s="22">
        <f>IF(A158&lt;='APR and payment'!$E$5,C158-E158,"")</f>
        <v>8907.2922946088347</v>
      </c>
      <c r="E158" s="22">
        <f>IF(A158&lt;='APR and payment'!$E$5,F157*'APR and payment'!$E$6/'APR and payment'!$L$9,"")</f>
        <v>13553.939380175971</v>
      </c>
      <c r="F158" s="22">
        <f>IF(A158&lt;='APR and payment'!$E$5,F157-D158,"")</f>
        <v>3003079.2366333846</v>
      </c>
    </row>
    <row r="159" spans="1:6" x14ac:dyDescent="0.25">
      <c r="A159" s="15">
        <v>156</v>
      </c>
      <c r="B159" s="17">
        <f>IF(A159&lt;='APR and payment'!$E$5,'Remaining debt'!A159,"")</f>
        <v>156</v>
      </c>
      <c r="C159" s="22">
        <f>IF(A159&lt;='APR and payment'!$E$5,'APR and payment'!$E$24,"")</f>
        <v>22461.231674784805</v>
      </c>
      <c r="D159" s="22">
        <f>IF(A159&lt;='APR and payment'!$E$5,C159-E159,"")</f>
        <v>8947.3751099345736</v>
      </c>
      <c r="E159" s="22">
        <f>IF(A159&lt;='APR and payment'!$E$5,F158*'APR and payment'!$E$6/'APR and payment'!$L$9,"")</f>
        <v>13513.856564850232</v>
      </c>
      <c r="F159" s="22">
        <f>IF(A159&lt;='APR and payment'!$E$5,F158-D159,"")</f>
        <v>2994131.8615234499</v>
      </c>
    </row>
    <row r="160" spans="1:6" x14ac:dyDescent="0.25">
      <c r="A160" s="15">
        <v>157</v>
      </c>
      <c r="B160" s="17">
        <f>IF(A160&lt;='APR and payment'!$E$5,'Remaining debt'!A160,"")</f>
        <v>157</v>
      </c>
      <c r="C160" s="22">
        <f>IF(A160&lt;='APR and payment'!$E$5,'APR and payment'!$E$24,"")</f>
        <v>22461.231674784805</v>
      </c>
      <c r="D160" s="22">
        <f>IF(A160&lt;='APR and payment'!$E$5,C160-E160,"")</f>
        <v>8987.6382979292812</v>
      </c>
      <c r="E160" s="22">
        <f>IF(A160&lt;='APR and payment'!$E$5,F159*'APR and payment'!$E$6/'APR and payment'!$L$9,"")</f>
        <v>13473.593376855524</v>
      </c>
      <c r="F160" s="22">
        <f>IF(A160&lt;='APR and payment'!$E$5,F159-D160,"")</f>
        <v>2985144.2232255205</v>
      </c>
    </row>
    <row r="161" spans="1:6" x14ac:dyDescent="0.25">
      <c r="A161" s="15">
        <v>158</v>
      </c>
      <c r="B161" s="17">
        <f>IF(A161&lt;='APR and payment'!$E$5,'Remaining debt'!A161,"")</f>
        <v>158</v>
      </c>
      <c r="C161" s="22">
        <f>IF(A161&lt;='APR and payment'!$E$5,'APR and payment'!$E$24,"")</f>
        <v>22461.231674784805</v>
      </c>
      <c r="D161" s="22">
        <f>IF(A161&lt;='APR and payment'!$E$5,C161-E161,"")</f>
        <v>9028.0826702699651</v>
      </c>
      <c r="E161" s="22">
        <f>IF(A161&lt;='APR and payment'!$E$5,F160*'APR and payment'!$E$6/'APR and payment'!$L$9,"")</f>
        <v>13433.14900451484</v>
      </c>
      <c r="F161" s="22">
        <f>IF(A161&lt;='APR and payment'!$E$5,F160-D161,"")</f>
        <v>2976116.1405552505</v>
      </c>
    </row>
    <row r="162" spans="1:6" x14ac:dyDescent="0.25">
      <c r="A162" s="15">
        <v>159</v>
      </c>
      <c r="B162" s="17">
        <f>IF(A162&lt;='APR and payment'!$E$5,'Remaining debt'!A162,"")</f>
        <v>159</v>
      </c>
      <c r="C162" s="22">
        <f>IF(A162&lt;='APR and payment'!$E$5,'APR and payment'!$E$24,"")</f>
        <v>22461.231674784805</v>
      </c>
      <c r="D162" s="22">
        <f>IF(A162&lt;='APR and payment'!$E$5,C162-E162,"")</f>
        <v>9068.7090422861784</v>
      </c>
      <c r="E162" s="22">
        <f>IF(A162&lt;='APR and payment'!$E$5,F161*'APR and payment'!$E$6/'APR and payment'!$L$9,"")</f>
        <v>13392.522632498627</v>
      </c>
      <c r="F162" s="22">
        <f>IF(A162&lt;='APR and payment'!$E$5,F161-D162,"")</f>
        <v>2967047.4315129644</v>
      </c>
    </row>
    <row r="163" spans="1:6" x14ac:dyDescent="0.25">
      <c r="A163" s="15">
        <v>160</v>
      </c>
      <c r="B163" s="17">
        <f>IF(A163&lt;='APR and payment'!$E$5,'Remaining debt'!A163,"")</f>
        <v>160</v>
      </c>
      <c r="C163" s="22">
        <f>IF(A163&lt;='APR and payment'!$E$5,'APR and payment'!$E$24,"")</f>
        <v>22461.231674784805</v>
      </c>
      <c r="D163" s="22">
        <f>IF(A163&lt;='APR and payment'!$E$5,C163-E163,"")</f>
        <v>9109.5182329764666</v>
      </c>
      <c r="E163" s="22">
        <f>IF(A163&lt;='APR and payment'!$E$5,F162*'APR and payment'!$E$6/'APR and payment'!$L$9,"")</f>
        <v>13351.713441808339</v>
      </c>
      <c r="F163" s="22">
        <f>IF(A163&lt;='APR and payment'!$E$5,F162-D163,"")</f>
        <v>2957937.9132799879</v>
      </c>
    </row>
    <row r="164" spans="1:6" x14ac:dyDescent="0.25">
      <c r="A164" s="15">
        <v>161</v>
      </c>
      <c r="B164" s="17">
        <f>IF(A164&lt;='APR and payment'!$E$5,'Remaining debt'!A164,"")</f>
        <v>161</v>
      </c>
      <c r="C164" s="22">
        <f>IF(A164&lt;='APR and payment'!$E$5,'APR and payment'!$E$24,"")</f>
        <v>22461.231674784805</v>
      </c>
      <c r="D164" s="22">
        <f>IF(A164&lt;='APR and payment'!$E$5,C164-E164,"")</f>
        <v>9150.5110650248589</v>
      </c>
      <c r="E164" s="22">
        <f>IF(A164&lt;='APR and payment'!$E$5,F163*'APR and payment'!$E$6/'APR and payment'!$L$9,"")</f>
        <v>13310.720609759946</v>
      </c>
      <c r="F164" s="22">
        <f>IF(A164&lt;='APR and payment'!$E$5,F163-D164,"")</f>
        <v>2948787.402214963</v>
      </c>
    </row>
    <row r="165" spans="1:6" x14ac:dyDescent="0.25">
      <c r="A165" s="15">
        <v>162</v>
      </c>
      <c r="B165" s="17">
        <f>IF(A165&lt;='APR and payment'!$E$5,'Remaining debt'!A165,"")</f>
        <v>162</v>
      </c>
      <c r="C165" s="22">
        <f>IF(A165&lt;='APR and payment'!$E$5,'APR and payment'!$E$24,"")</f>
        <v>22461.231674784805</v>
      </c>
      <c r="D165" s="22">
        <f>IF(A165&lt;='APR and payment'!$E$5,C165-E165,"")</f>
        <v>9191.6883648174717</v>
      </c>
      <c r="E165" s="22">
        <f>IF(A165&lt;='APR and payment'!$E$5,F164*'APR and payment'!$E$6/'APR and payment'!$L$9,"")</f>
        <v>13269.543309967334</v>
      </c>
      <c r="F165" s="22">
        <f>IF(A165&lt;='APR and payment'!$E$5,F164-D165,"")</f>
        <v>2939595.7138501457</v>
      </c>
    </row>
    <row r="166" spans="1:6" x14ac:dyDescent="0.25">
      <c r="A166" s="15">
        <v>163</v>
      </c>
      <c r="B166" s="17">
        <f>IF(A166&lt;='APR and payment'!$E$5,'Remaining debt'!A166,"")</f>
        <v>163</v>
      </c>
      <c r="C166" s="22">
        <f>IF(A166&lt;='APR and payment'!$E$5,'APR and payment'!$E$24,"")</f>
        <v>22461.231674784805</v>
      </c>
      <c r="D166" s="22">
        <f>IF(A166&lt;='APR and payment'!$E$5,C166-E166,"")</f>
        <v>9233.0509624591486</v>
      </c>
      <c r="E166" s="22">
        <f>IF(A166&lt;='APR and payment'!$E$5,F165*'APR and payment'!$E$6/'APR and payment'!$L$9,"")</f>
        <v>13228.180712325657</v>
      </c>
      <c r="F166" s="22">
        <f>IF(A166&lt;='APR and payment'!$E$5,F165-D166,"")</f>
        <v>2930362.6628876864</v>
      </c>
    </row>
    <row r="167" spans="1:6" x14ac:dyDescent="0.25">
      <c r="A167" s="15">
        <v>164</v>
      </c>
      <c r="B167" s="17">
        <f>IF(A167&lt;='APR and payment'!$E$5,'Remaining debt'!A167,"")</f>
        <v>164</v>
      </c>
      <c r="C167" s="22">
        <f>IF(A167&lt;='APR and payment'!$E$5,'APR and payment'!$E$24,"")</f>
        <v>22461.231674784805</v>
      </c>
      <c r="D167" s="22">
        <f>IF(A167&lt;='APR and payment'!$E$5,C167-E167,"")</f>
        <v>9274.5996917902175</v>
      </c>
      <c r="E167" s="22">
        <f>IF(A167&lt;='APR and payment'!$E$5,F166*'APR and payment'!$E$6/'APR and payment'!$L$9,"")</f>
        <v>13186.631982994588</v>
      </c>
      <c r="F167" s="22">
        <f>IF(A167&lt;='APR and payment'!$E$5,F166-D167,"")</f>
        <v>2921088.0631958963</v>
      </c>
    </row>
    <row r="168" spans="1:6" x14ac:dyDescent="0.25">
      <c r="A168" s="15">
        <v>165</v>
      </c>
      <c r="B168" s="17">
        <f>IF(A168&lt;='APR and payment'!$E$5,'Remaining debt'!A168,"")</f>
        <v>165</v>
      </c>
      <c r="C168" s="22">
        <f>IF(A168&lt;='APR and payment'!$E$5,'APR and payment'!$E$24,"")</f>
        <v>22461.231674784805</v>
      </c>
      <c r="D168" s="22">
        <f>IF(A168&lt;='APR and payment'!$E$5,C168-E168,"")</f>
        <v>9316.335390403272</v>
      </c>
      <c r="E168" s="22">
        <f>IF(A168&lt;='APR and payment'!$E$5,F167*'APR and payment'!$E$6/'APR and payment'!$L$9,"")</f>
        <v>13144.896284381533</v>
      </c>
      <c r="F168" s="22">
        <f>IF(A168&lt;='APR and payment'!$E$5,F167-D168,"")</f>
        <v>2911771.7278054929</v>
      </c>
    </row>
    <row r="169" spans="1:6" x14ac:dyDescent="0.25">
      <c r="A169" s="15">
        <v>166</v>
      </c>
      <c r="B169" s="17">
        <f>IF(A169&lt;='APR and payment'!$E$5,'Remaining debt'!A169,"")</f>
        <v>166</v>
      </c>
      <c r="C169" s="22">
        <f>IF(A169&lt;='APR and payment'!$E$5,'APR and payment'!$E$24,"")</f>
        <v>22461.231674784805</v>
      </c>
      <c r="D169" s="22">
        <f>IF(A169&lt;='APR and payment'!$E$5,C169-E169,"")</f>
        <v>9358.2588996600862</v>
      </c>
      <c r="E169" s="22">
        <f>IF(A169&lt;='APR and payment'!$E$5,F168*'APR and payment'!$E$6/'APR and payment'!$L$9,"")</f>
        <v>13102.972775124719</v>
      </c>
      <c r="F169" s="22">
        <f>IF(A169&lt;='APR and payment'!$E$5,F168-D169,"")</f>
        <v>2902413.4689058326</v>
      </c>
    </row>
    <row r="170" spans="1:6" x14ac:dyDescent="0.25">
      <c r="A170" s="15">
        <v>167</v>
      </c>
      <c r="B170" s="17">
        <f>IF(A170&lt;='APR and payment'!$E$5,'Remaining debt'!A170,"")</f>
        <v>167</v>
      </c>
      <c r="C170" s="22">
        <f>IF(A170&lt;='APR and payment'!$E$5,'APR and payment'!$E$24,"")</f>
        <v>22461.231674784805</v>
      </c>
      <c r="D170" s="22">
        <f>IF(A170&lt;='APR and payment'!$E$5,C170-E170,"")</f>
        <v>9400.3710647085591</v>
      </c>
      <c r="E170" s="22">
        <f>IF(A170&lt;='APR and payment'!$E$5,F169*'APR and payment'!$E$6/'APR and payment'!$L$9,"")</f>
        <v>13060.860610076246</v>
      </c>
      <c r="F170" s="22">
        <f>IF(A170&lt;='APR and payment'!$E$5,F169-D170,"")</f>
        <v>2893013.0978411241</v>
      </c>
    </row>
    <row r="171" spans="1:6" x14ac:dyDescent="0.25">
      <c r="A171" s="15">
        <v>168</v>
      </c>
      <c r="B171" s="17">
        <f>IF(A171&lt;='APR and payment'!$E$5,'Remaining debt'!A171,"")</f>
        <v>168</v>
      </c>
      <c r="C171" s="22">
        <f>IF(A171&lt;='APR and payment'!$E$5,'APR and payment'!$E$24,"")</f>
        <v>22461.231674784805</v>
      </c>
      <c r="D171" s="22">
        <f>IF(A171&lt;='APR and payment'!$E$5,C171-E171,"")</f>
        <v>9442.6727344997471</v>
      </c>
      <c r="E171" s="22">
        <f>IF(A171&lt;='APR and payment'!$E$5,F170*'APR and payment'!$E$6/'APR and payment'!$L$9,"")</f>
        <v>13018.558940285058</v>
      </c>
      <c r="F171" s="22">
        <f>IF(A171&lt;='APR and payment'!$E$5,F170-D171,"")</f>
        <v>2883570.4251066241</v>
      </c>
    </row>
    <row r="172" spans="1:6" x14ac:dyDescent="0.25">
      <c r="A172" s="15">
        <v>169</v>
      </c>
      <c r="B172" s="17">
        <f>IF(A172&lt;='APR and payment'!$E$5,'Remaining debt'!A172,"")</f>
        <v>169</v>
      </c>
      <c r="C172" s="22">
        <f>IF(A172&lt;='APR and payment'!$E$5,'APR and payment'!$E$24,"")</f>
        <v>22461.231674784805</v>
      </c>
      <c r="D172" s="22">
        <f>IF(A172&lt;='APR and payment'!$E$5,C172-E172,"")</f>
        <v>9485.1647618049956</v>
      </c>
      <c r="E172" s="22">
        <f>IF(A172&lt;='APR and payment'!$E$5,F171*'APR and payment'!$E$6/'APR and payment'!$L$9,"")</f>
        <v>12976.06691297981</v>
      </c>
      <c r="F172" s="22">
        <f>IF(A172&lt;='APR and payment'!$E$5,F171-D172,"")</f>
        <v>2874085.2603448192</v>
      </c>
    </row>
    <row r="173" spans="1:6" x14ac:dyDescent="0.25">
      <c r="A173" s="15">
        <v>170</v>
      </c>
      <c r="B173" s="17">
        <f>IF(A173&lt;='APR and payment'!$E$5,'Remaining debt'!A173,"")</f>
        <v>170</v>
      </c>
      <c r="C173" s="22">
        <f>IF(A173&lt;='APR and payment'!$E$5,'APR and payment'!$E$24,"")</f>
        <v>22461.231674784805</v>
      </c>
      <c r="D173" s="22">
        <f>IF(A173&lt;='APR and payment'!$E$5,C173-E173,"")</f>
        <v>9527.848003233119</v>
      </c>
      <c r="E173" s="22">
        <f>IF(A173&lt;='APR and payment'!$E$5,F172*'APR and payment'!$E$6/'APR and payment'!$L$9,"")</f>
        <v>12933.383671551686</v>
      </c>
      <c r="F173" s="22">
        <f>IF(A173&lt;='APR and payment'!$E$5,F172-D173,"")</f>
        <v>2864557.4123415858</v>
      </c>
    </row>
    <row r="174" spans="1:6" x14ac:dyDescent="0.25">
      <c r="A174" s="15">
        <v>171</v>
      </c>
      <c r="B174" s="17">
        <f>IF(A174&lt;='APR and payment'!$E$5,'Remaining debt'!A174,"")</f>
        <v>171</v>
      </c>
      <c r="C174" s="22">
        <f>IF(A174&lt;='APR and payment'!$E$5,'APR and payment'!$E$24,"")</f>
        <v>22461.231674784805</v>
      </c>
      <c r="D174" s="22">
        <f>IF(A174&lt;='APR and payment'!$E$5,C174-E174,"")</f>
        <v>9570.7233192476688</v>
      </c>
      <c r="E174" s="22">
        <f>IF(A174&lt;='APR and payment'!$E$5,F173*'APR and payment'!$E$6/'APR and payment'!$L$9,"")</f>
        <v>12890.508355537137</v>
      </c>
      <c r="F174" s="22">
        <f>IF(A174&lt;='APR and payment'!$E$5,F173-D174,"")</f>
        <v>2854986.689022338</v>
      </c>
    </row>
    <row r="175" spans="1:6" x14ac:dyDescent="0.25">
      <c r="A175" s="15">
        <v>172</v>
      </c>
      <c r="B175" s="17">
        <f>IF(A175&lt;='APR and payment'!$E$5,'Remaining debt'!A175,"")</f>
        <v>172</v>
      </c>
      <c r="C175" s="22">
        <f>IF(A175&lt;='APR and payment'!$E$5,'APR and payment'!$E$24,"")</f>
        <v>22461.231674784805</v>
      </c>
      <c r="D175" s="22">
        <f>IF(A175&lt;='APR and payment'!$E$5,C175-E175,"")</f>
        <v>9613.7915741842844</v>
      </c>
      <c r="E175" s="22">
        <f>IF(A175&lt;='APR and payment'!$E$5,F174*'APR and payment'!$E$6/'APR and payment'!$L$9,"")</f>
        <v>12847.440100600521</v>
      </c>
      <c r="F175" s="22">
        <f>IF(A175&lt;='APR and payment'!$E$5,F174-D175,"")</f>
        <v>2845372.8974481537</v>
      </c>
    </row>
    <row r="176" spans="1:6" x14ac:dyDescent="0.25">
      <c r="A176" s="15">
        <v>173</v>
      </c>
      <c r="B176" s="17">
        <f>IF(A176&lt;='APR and payment'!$E$5,'Remaining debt'!A176,"")</f>
        <v>173</v>
      </c>
      <c r="C176" s="22">
        <f>IF(A176&lt;='APR and payment'!$E$5,'APR and payment'!$E$24,"")</f>
        <v>22461.231674784805</v>
      </c>
      <c r="D176" s="22">
        <f>IF(A176&lt;='APR and payment'!$E$5,C176-E176,"")</f>
        <v>9657.0536362681141</v>
      </c>
      <c r="E176" s="22">
        <f>IF(A176&lt;='APR and payment'!$E$5,F175*'APR and payment'!$E$6/'APR and payment'!$L$9,"")</f>
        <v>12804.178038516691</v>
      </c>
      <c r="F176" s="22">
        <f>IF(A176&lt;='APR and payment'!$E$5,F175-D176,"")</f>
        <v>2835715.8438118855</v>
      </c>
    </row>
    <row r="177" spans="1:6" x14ac:dyDescent="0.25">
      <c r="A177" s="15">
        <v>174</v>
      </c>
      <c r="B177" s="17">
        <f>IF(A177&lt;='APR and payment'!$E$5,'Remaining debt'!A177,"")</f>
        <v>174</v>
      </c>
      <c r="C177" s="22">
        <f>IF(A177&lt;='APR and payment'!$E$5,'APR and payment'!$E$24,"")</f>
        <v>22461.231674784805</v>
      </c>
      <c r="D177" s="22">
        <f>IF(A177&lt;='APR and payment'!$E$5,C177-E177,"")</f>
        <v>9700.5103776313208</v>
      </c>
      <c r="E177" s="22">
        <f>IF(A177&lt;='APR and payment'!$E$5,F176*'APR and payment'!$E$6/'APR and payment'!$L$9,"")</f>
        <v>12760.721297153485</v>
      </c>
      <c r="F177" s="22">
        <f>IF(A177&lt;='APR and payment'!$E$5,F176-D177,"")</f>
        <v>2826015.3334342539</v>
      </c>
    </row>
    <row r="178" spans="1:6" x14ac:dyDescent="0.25">
      <c r="A178" s="15">
        <v>175</v>
      </c>
      <c r="B178" s="17">
        <f>IF(A178&lt;='APR and payment'!$E$5,'Remaining debt'!A178,"")</f>
        <v>175</v>
      </c>
      <c r="C178" s="22">
        <f>IF(A178&lt;='APR and payment'!$E$5,'APR and payment'!$E$24,"")</f>
        <v>22461.231674784805</v>
      </c>
      <c r="D178" s="22">
        <f>IF(A178&lt;='APR and payment'!$E$5,C178-E178,"")</f>
        <v>9744.1626743306642</v>
      </c>
      <c r="E178" s="22">
        <f>IF(A178&lt;='APR and payment'!$E$5,F177*'APR and payment'!$E$6/'APR and payment'!$L$9,"")</f>
        <v>12717.069000454141</v>
      </c>
      <c r="F178" s="22">
        <f>IF(A178&lt;='APR and payment'!$E$5,F177-D178,"")</f>
        <v>2816271.1707599233</v>
      </c>
    </row>
    <row r="179" spans="1:6" x14ac:dyDescent="0.25">
      <c r="A179" s="15">
        <v>176</v>
      </c>
      <c r="B179" s="17">
        <f>IF(A179&lt;='APR and payment'!$E$5,'Remaining debt'!A179,"")</f>
        <v>176</v>
      </c>
      <c r="C179" s="22">
        <f>IF(A179&lt;='APR and payment'!$E$5,'APR and payment'!$E$24,"")</f>
        <v>22461.231674784805</v>
      </c>
      <c r="D179" s="22">
        <f>IF(A179&lt;='APR and payment'!$E$5,C179-E179,"")</f>
        <v>9788.0114063651508</v>
      </c>
      <c r="E179" s="22">
        <f>IF(A179&lt;='APR and payment'!$E$5,F178*'APR and payment'!$E$6/'APR and payment'!$L$9,"")</f>
        <v>12673.220268419655</v>
      </c>
      <c r="F179" s="22">
        <f>IF(A179&lt;='APR and payment'!$E$5,F178-D179,"")</f>
        <v>2806483.159353558</v>
      </c>
    </row>
    <row r="180" spans="1:6" x14ac:dyDescent="0.25">
      <c r="A180" s="15">
        <v>177</v>
      </c>
      <c r="B180" s="17">
        <f>IF(A180&lt;='APR and payment'!$E$5,'Remaining debt'!A180,"")</f>
        <v>177</v>
      </c>
      <c r="C180" s="22">
        <f>IF(A180&lt;='APR and payment'!$E$5,'APR and payment'!$E$24,"")</f>
        <v>22461.231674784805</v>
      </c>
      <c r="D180" s="22">
        <f>IF(A180&lt;='APR and payment'!$E$5,C180-E180,"")</f>
        <v>9832.0574576937961</v>
      </c>
      <c r="E180" s="22">
        <f>IF(A180&lt;='APR and payment'!$E$5,F179*'APR and payment'!$E$6/'APR and payment'!$L$9,"")</f>
        <v>12629.174217091009</v>
      </c>
      <c r="F180" s="22">
        <f>IF(A180&lt;='APR and payment'!$E$5,F179-D180,"")</f>
        <v>2796651.1018958641</v>
      </c>
    </row>
    <row r="181" spans="1:6" x14ac:dyDescent="0.25">
      <c r="A181" s="15">
        <v>178</v>
      </c>
      <c r="B181" s="17">
        <f>IF(A181&lt;='APR and payment'!$E$5,'Remaining debt'!A181,"")</f>
        <v>178</v>
      </c>
      <c r="C181" s="22">
        <f>IF(A181&lt;='APR and payment'!$E$5,'APR and payment'!$E$24,"")</f>
        <v>22461.231674784805</v>
      </c>
      <c r="D181" s="22">
        <f>IF(A181&lt;='APR and payment'!$E$5,C181-E181,"")</f>
        <v>9876.3017162534179</v>
      </c>
      <c r="E181" s="22">
        <f>IF(A181&lt;='APR and payment'!$E$5,F180*'APR and payment'!$E$6/'APR and payment'!$L$9,"")</f>
        <v>12584.929958531387</v>
      </c>
      <c r="F181" s="22">
        <f>IF(A181&lt;='APR and payment'!$E$5,F180-D181,"")</f>
        <v>2786774.8001796105</v>
      </c>
    </row>
    <row r="182" spans="1:6" x14ac:dyDescent="0.25">
      <c r="A182" s="15">
        <v>179</v>
      </c>
      <c r="B182" s="17">
        <f>IF(A182&lt;='APR and payment'!$E$5,'Remaining debt'!A182,"")</f>
        <v>179</v>
      </c>
      <c r="C182" s="22">
        <f>IF(A182&lt;='APR and payment'!$E$5,'APR and payment'!$E$24,"")</f>
        <v>22461.231674784805</v>
      </c>
      <c r="D182" s="22">
        <f>IF(A182&lt;='APR and payment'!$E$5,C182-E182,"")</f>
        <v>9920.7450739765591</v>
      </c>
      <c r="E182" s="22">
        <f>IF(A182&lt;='APR and payment'!$E$5,F181*'APR and payment'!$E$6/'APR and payment'!$L$9,"")</f>
        <v>12540.486600808246</v>
      </c>
      <c r="F182" s="22">
        <f>IF(A182&lt;='APR and payment'!$E$5,F181-D182,"")</f>
        <v>2776854.055105634</v>
      </c>
    </row>
    <row r="183" spans="1:6" x14ac:dyDescent="0.25">
      <c r="A183" s="15">
        <v>180</v>
      </c>
      <c r="B183" s="17">
        <f>IF(A183&lt;='APR and payment'!$E$5,'Remaining debt'!A183,"")</f>
        <v>180</v>
      </c>
      <c r="C183" s="22">
        <f>IF(A183&lt;='APR and payment'!$E$5,'APR and payment'!$E$24,"")</f>
        <v>22461.231674784805</v>
      </c>
      <c r="D183" s="22">
        <f>IF(A183&lt;='APR and payment'!$E$5,C183-E183,"")</f>
        <v>9965.3884268094516</v>
      </c>
      <c r="E183" s="22">
        <f>IF(A183&lt;='APR and payment'!$E$5,F182*'APR and payment'!$E$6/'APR and payment'!$L$9,"")</f>
        <v>12495.843247975354</v>
      </c>
      <c r="F183" s="22">
        <f>IF(A183&lt;='APR and payment'!$E$5,F182-D183,"")</f>
        <v>2766888.6666788245</v>
      </c>
    </row>
    <row r="184" spans="1:6" x14ac:dyDescent="0.25">
      <c r="A184" s="15">
        <v>181</v>
      </c>
      <c r="B184" s="17">
        <f>IF(A184&lt;='APR and payment'!$E$5,'Remaining debt'!A184,"")</f>
        <v>181</v>
      </c>
      <c r="C184" s="22">
        <f>IF(A184&lt;='APR and payment'!$E$5,'APR and payment'!$E$24,"")</f>
        <v>22461.231674784805</v>
      </c>
      <c r="D184" s="22">
        <f>IF(A184&lt;='APR and payment'!$E$5,C184-E184,"")</f>
        <v>10010.232674730096</v>
      </c>
      <c r="E184" s="22">
        <f>IF(A184&lt;='APR and payment'!$E$5,F183*'APR and payment'!$E$6/'APR and payment'!$L$9,"")</f>
        <v>12450.99900005471</v>
      </c>
      <c r="F184" s="22">
        <f>IF(A184&lt;='APR and payment'!$E$5,F183-D184,"")</f>
        <v>2756878.4340040945</v>
      </c>
    </row>
    <row r="185" spans="1:6" x14ac:dyDescent="0.25">
      <c r="A185" s="15">
        <v>182</v>
      </c>
      <c r="B185" s="17">
        <f>IF(A185&lt;='APR and payment'!$E$5,'Remaining debt'!A185,"")</f>
        <v>182</v>
      </c>
      <c r="C185" s="22">
        <f>IF(A185&lt;='APR and payment'!$E$5,'APR and payment'!$E$24,"")</f>
        <v>22461.231674784805</v>
      </c>
      <c r="D185" s="22">
        <f>IF(A185&lt;='APR and payment'!$E$5,C185-E185,"")</f>
        <v>10055.278721766381</v>
      </c>
      <c r="E185" s="22">
        <f>IF(A185&lt;='APR and payment'!$E$5,F184*'APR and payment'!$E$6/'APR and payment'!$L$9,"")</f>
        <v>12405.952953018425</v>
      </c>
      <c r="F185" s="22">
        <f>IF(A185&lt;='APR and payment'!$E$5,F184-D185,"")</f>
        <v>2746823.1552823279</v>
      </c>
    </row>
    <row r="186" spans="1:6" x14ac:dyDescent="0.25">
      <c r="A186" s="15">
        <v>183</v>
      </c>
      <c r="B186" s="17">
        <f>IF(A186&lt;='APR and payment'!$E$5,'Remaining debt'!A186,"")</f>
        <v>183</v>
      </c>
      <c r="C186" s="22">
        <f>IF(A186&lt;='APR and payment'!$E$5,'APR and payment'!$E$24,"")</f>
        <v>22461.231674784805</v>
      </c>
      <c r="D186" s="22">
        <f>IF(A186&lt;='APR and payment'!$E$5,C186-E186,"")</f>
        <v>10100.527476014331</v>
      </c>
      <c r="E186" s="22">
        <f>IF(A186&lt;='APR and payment'!$E$5,F185*'APR and payment'!$E$6/'APR and payment'!$L$9,"")</f>
        <v>12360.704198770474</v>
      </c>
      <c r="F186" s="22">
        <f>IF(A186&lt;='APR and payment'!$E$5,F185-D186,"")</f>
        <v>2736722.6278063138</v>
      </c>
    </row>
    <row r="187" spans="1:6" x14ac:dyDescent="0.25">
      <c r="A187" s="15">
        <v>184</v>
      </c>
      <c r="B187" s="17">
        <f>IF(A187&lt;='APR and payment'!$E$5,'Remaining debt'!A187,"")</f>
        <v>184</v>
      </c>
      <c r="C187" s="22">
        <f>IF(A187&lt;='APR and payment'!$E$5,'APR and payment'!$E$24,"")</f>
        <v>22461.231674784805</v>
      </c>
      <c r="D187" s="22">
        <f>IF(A187&lt;='APR and payment'!$E$5,C187-E187,"")</f>
        <v>10145.979849656393</v>
      </c>
      <c r="E187" s="22">
        <f>IF(A187&lt;='APR and payment'!$E$5,F186*'APR and payment'!$E$6/'APR and payment'!$L$9,"")</f>
        <v>12315.251825128413</v>
      </c>
      <c r="F187" s="22">
        <f>IF(A187&lt;='APR and payment'!$E$5,F186-D187,"")</f>
        <v>2726576.6479566572</v>
      </c>
    </row>
    <row r="188" spans="1:6" x14ac:dyDescent="0.25">
      <c r="A188" s="15">
        <v>185</v>
      </c>
      <c r="B188" s="17">
        <f>IF(A188&lt;='APR and payment'!$E$5,'Remaining debt'!A188,"")</f>
        <v>185</v>
      </c>
      <c r="C188" s="22">
        <f>IF(A188&lt;='APR and payment'!$E$5,'APR and payment'!$E$24,"")</f>
        <v>22461.231674784805</v>
      </c>
      <c r="D188" s="22">
        <f>IF(A188&lt;='APR and payment'!$E$5,C188-E188,"")</f>
        <v>10191.636758979848</v>
      </c>
      <c r="E188" s="22">
        <f>IF(A188&lt;='APR and payment'!$E$5,F187*'APR and payment'!$E$6/'APR and payment'!$L$9,"")</f>
        <v>12269.594915804957</v>
      </c>
      <c r="F188" s="22">
        <f>IF(A188&lt;='APR and payment'!$E$5,F187-D188,"")</f>
        <v>2716385.0111976773</v>
      </c>
    </row>
    <row r="189" spans="1:6" x14ac:dyDescent="0.25">
      <c r="A189" s="15">
        <v>186</v>
      </c>
      <c r="B189" s="17">
        <f>IF(A189&lt;='APR and payment'!$E$5,'Remaining debt'!A189,"")</f>
        <v>186</v>
      </c>
      <c r="C189" s="22">
        <f>IF(A189&lt;='APR and payment'!$E$5,'APR and payment'!$E$24,"")</f>
        <v>22461.231674784805</v>
      </c>
      <c r="D189" s="22">
        <f>IF(A189&lt;='APR and payment'!$E$5,C189-E189,"")</f>
        <v>10237.499124395257</v>
      </c>
      <c r="E189" s="22">
        <f>IF(A189&lt;='APR and payment'!$E$5,F188*'APR and payment'!$E$6/'APR and payment'!$L$9,"")</f>
        <v>12223.732550389548</v>
      </c>
      <c r="F189" s="22">
        <f>IF(A189&lt;='APR and payment'!$E$5,F188-D189,"")</f>
        <v>2706147.5120732822</v>
      </c>
    </row>
    <row r="190" spans="1:6" x14ac:dyDescent="0.25">
      <c r="A190" s="15">
        <v>187</v>
      </c>
      <c r="B190" s="17">
        <f>IF(A190&lt;='APR and payment'!$E$5,'Remaining debt'!A190,"")</f>
        <v>187</v>
      </c>
      <c r="C190" s="22">
        <f>IF(A190&lt;='APR and payment'!$E$5,'APR and payment'!$E$24,"")</f>
        <v>22461.231674784805</v>
      </c>
      <c r="D190" s="22">
        <f>IF(A190&lt;='APR and payment'!$E$5,C190-E190,"")</f>
        <v>10283.567870455036</v>
      </c>
      <c r="E190" s="22">
        <f>IF(A190&lt;='APR and payment'!$E$5,F189*'APR and payment'!$E$6/'APR and payment'!$L$9,"")</f>
        <v>12177.66380432977</v>
      </c>
      <c r="F190" s="22">
        <f>IF(A190&lt;='APR and payment'!$E$5,F189-D190,"")</f>
        <v>2695863.9442028273</v>
      </c>
    </row>
    <row r="191" spans="1:6" x14ac:dyDescent="0.25">
      <c r="A191" s="15">
        <v>188</v>
      </c>
      <c r="B191" s="17">
        <f>IF(A191&lt;='APR and payment'!$E$5,'Remaining debt'!A191,"")</f>
        <v>188</v>
      </c>
      <c r="C191" s="22">
        <f>IF(A191&lt;='APR and payment'!$E$5,'APR and payment'!$E$24,"")</f>
        <v>22461.231674784805</v>
      </c>
      <c r="D191" s="22">
        <f>IF(A191&lt;='APR and payment'!$E$5,C191-E191,"")</f>
        <v>10329.843925872081</v>
      </c>
      <c r="E191" s="22">
        <f>IF(A191&lt;='APR and payment'!$E$5,F190*'APR and payment'!$E$6/'APR and payment'!$L$9,"")</f>
        <v>12131.387748912724</v>
      </c>
      <c r="F191" s="22">
        <f>IF(A191&lt;='APR and payment'!$E$5,F190-D191,"")</f>
        <v>2685534.1002769554</v>
      </c>
    </row>
    <row r="192" spans="1:6" x14ac:dyDescent="0.25">
      <c r="A192" s="15">
        <v>189</v>
      </c>
      <c r="B192" s="17">
        <f>IF(A192&lt;='APR and payment'!$E$5,'Remaining debt'!A192,"")</f>
        <v>189</v>
      </c>
      <c r="C192" s="22">
        <f>IF(A192&lt;='APR and payment'!$E$5,'APR and payment'!$E$24,"")</f>
        <v>22461.231674784805</v>
      </c>
      <c r="D192" s="22">
        <f>IF(A192&lt;='APR and payment'!$E$5,C192-E192,"")</f>
        <v>10376.328223538507</v>
      </c>
      <c r="E192" s="22">
        <f>IF(A192&lt;='APR and payment'!$E$5,F191*'APR and payment'!$E$6/'APR and payment'!$L$9,"")</f>
        <v>12084.903451246299</v>
      </c>
      <c r="F192" s="22">
        <f>IF(A192&lt;='APR and payment'!$E$5,F191-D192,"")</f>
        <v>2675157.7720534168</v>
      </c>
    </row>
    <row r="193" spans="1:6" x14ac:dyDescent="0.25">
      <c r="A193" s="15">
        <v>190</v>
      </c>
      <c r="B193" s="17">
        <f>IF(A193&lt;='APR and payment'!$E$5,'Remaining debt'!A193,"")</f>
        <v>190</v>
      </c>
      <c r="C193" s="22">
        <f>IF(A193&lt;='APR and payment'!$E$5,'APR and payment'!$E$24,"")</f>
        <v>22461.231674784805</v>
      </c>
      <c r="D193" s="22">
        <f>IF(A193&lt;='APR and payment'!$E$5,C193-E193,"")</f>
        <v>10423.02170054443</v>
      </c>
      <c r="E193" s="22">
        <f>IF(A193&lt;='APR and payment'!$E$5,F192*'APR and payment'!$E$6/'APR and payment'!$L$9,"")</f>
        <v>12038.209974240375</v>
      </c>
      <c r="F193" s="22">
        <f>IF(A193&lt;='APR and payment'!$E$5,F192-D193,"")</f>
        <v>2664734.7503528725</v>
      </c>
    </row>
    <row r="194" spans="1:6" x14ac:dyDescent="0.25">
      <c r="A194" s="15">
        <v>191</v>
      </c>
      <c r="B194" s="17">
        <f>IF(A194&lt;='APR and payment'!$E$5,'Remaining debt'!A194,"")</f>
        <v>191</v>
      </c>
      <c r="C194" s="22">
        <f>IF(A194&lt;='APR and payment'!$E$5,'APR and payment'!$E$24,"")</f>
        <v>22461.231674784805</v>
      </c>
      <c r="D194" s="22">
        <f>IF(A194&lt;='APR and payment'!$E$5,C194-E194,"")</f>
        <v>10469.925298196878</v>
      </c>
      <c r="E194" s="22">
        <f>IF(A194&lt;='APR and payment'!$E$5,F193*'APR and payment'!$E$6/'APR and payment'!$L$9,"")</f>
        <v>11991.306376587927</v>
      </c>
      <c r="F194" s="22">
        <f>IF(A194&lt;='APR and payment'!$E$5,F193-D194,"")</f>
        <v>2654264.8250546758</v>
      </c>
    </row>
    <row r="195" spans="1:6" x14ac:dyDescent="0.25">
      <c r="A195" s="15">
        <v>192</v>
      </c>
      <c r="B195" s="17">
        <f>IF(A195&lt;='APR and payment'!$E$5,'Remaining debt'!A195,"")</f>
        <v>192</v>
      </c>
      <c r="C195" s="22">
        <f>IF(A195&lt;='APR and payment'!$E$5,'APR and payment'!$E$24,"")</f>
        <v>22461.231674784805</v>
      </c>
      <c r="D195" s="22">
        <f>IF(A195&lt;='APR and payment'!$E$5,C195-E195,"")</f>
        <v>10517.039962038765</v>
      </c>
      <c r="E195" s="22">
        <f>IF(A195&lt;='APR and payment'!$E$5,F194*'APR and payment'!$E$6/'APR and payment'!$L$9,"")</f>
        <v>11944.19171274604</v>
      </c>
      <c r="F195" s="22">
        <f>IF(A195&lt;='APR and payment'!$E$5,F194-D195,"")</f>
        <v>2643747.7850926369</v>
      </c>
    </row>
    <row r="196" spans="1:6" x14ac:dyDescent="0.25">
      <c r="A196" s="15">
        <v>193</v>
      </c>
      <c r="B196" s="17">
        <f>IF(A196&lt;='APR and payment'!$E$5,'Remaining debt'!A196,"")</f>
        <v>193</v>
      </c>
      <c r="C196" s="22">
        <f>IF(A196&lt;='APR and payment'!$E$5,'APR and payment'!$E$24,"")</f>
        <v>22461.231674784805</v>
      </c>
      <c r="D196" s="22">
        <f>IF(A196&lt;='APR and payment'!$E$5,C196-E196,"")</f>
        <v>10564.366641867939</v>
      </c>
      <c r="E196" s="22">
        <f>IF(A196&lt;='APR and payment'!$E$5,F195*'APR and payment'!$E$6/'APR and payment'!$L$9,"")</f>
        <v>11896.865032916867</v>
      </c>
      <c r="F196" s="22">
        <f>IF(A196&lt;='APR and payment'!$E$5,F195-D196,"")</f>
        <v>2633183.418450769</v>
      </c>
    </row>
    <row r="197" spans="1:6" x14ac:dyDescent="0.25">
      <c r="A197" s="15">
        <v>194</v>
      </c>
      <c r="B197" s="17">
        <f>IF(A197&lt;='APR and payment'!$E$5,'Remaining debt'!A197,"")</f>
        <v>194</v>
      </c>
      <c r="C197" s="22">
        <f>IF(A197&lt;='APR and payment'!$E$5,'APR and payment'!$E$24,"")</f>
        <v>22461.231674784805</v>
      </c>
      <c r="D197" s="22">
        <f>IF(A197&lt;='APR and payment'!$E$5,C197-E197,"")</f>
        <v>10611.906291756346</v>
      </c>
      <c r="E197" s="22">
        <f>IF(A197&lt;='APR and payment'!$E$5,F196*'APR and payment'!$E$6/'APR and payment'!$L$9,"")</f>
        <v>11849.325383028459</v>
      </c>
      <c r="F197" s="22">
        <f>IF(A197&lt;='APR and payment'!$E$5,F196-D197,"")</f>
        <v>2622571.5121590127</v>
      </c>
    </row>
    <row r="198" spans="1:6" x14ac:dyDescent="0.25">
      <c r="A198" s="15">
        <v>195</v>
      </c>
      <c r="B198" s="17">
        <f>IF(A198&lt;='APR and payment'!$E$5,'Remaining debt'!A198,"")</f>
        <v>195</v>
      </c>
      <c r="C198" s="22">
        <f>IF(A198&lt;='APR and payment'!$E$5,'APR and payment'!$E$24,"")</f>
        <v>22461.231674784805</v>
      </c>
      <c r="D198" s="22">
        <f>IF(A198&lt;='APR and payment'!$E$5,C198-E198,"")</f>
        <v>10659.659870069247</v>
      </c>
      <c r="E198" s="22">
        <f>IF(A198&lt;='APR and payment'!$E$5,F197*'APR and payment'!$E$6/'APR and payment'!$L$9,"")</f>
        <v>11801.571804715559</v>
      </c>
      <c r="F198" s="22">
        <f>IF(A198&lt;='APR and payment'!$E$5,F197-D198,"")</f>
        <v>2611911.8522889432</v>
      </c>
    </row>
    <row r="199" spans="1:6" x14ac:dyDescent="0.25">
      <c r="A199" s="15">
        <v>196</v>
      </c>
      <c r="B199" s="17">
        <f>IF(A199&lt;='APR and payment'!$E$5,'Remaining debt'!A199,"")</f>
        <v>196</v>
      </c>
      <c r="C199" s="22">
        <f>IF(A199&lt;='APR and payment'!$E$5,'APR and payment'!$E$24,"")</f>
        <v>22461.231674784805</v>
      </c>
      <c r="D199" s="22">
        <f>IF(A199&lt;='APR and payment'!$E$5,C199-E199,"")</f>
        <v>10707.628339484561</v>
      </c>
      <c r="E199" s="22">
        <f>IF(A199&lt;='APR and payment'!$E$5,F198*'APR and payment'!$E$6/'APR and payment'!$L$9,"")</f>
        <v>11753.603335300244</v>
      </c>
      <c r="F199" s="22">
        <f>IF(A199&lt;='APR and payment'!$E$5,F198-D199,"")</f>
        <v>2601204.2239494589</v>
      </c>
    </row>
    <row r="200" spans="1:6" x14ac:dyDescent="0.25">
      <c r="A200" s="15">
        <v>197</v>
      </c>
      <c r="B200" s="17">
        <f>IF(A200&lt;='APR and payment'!$E$5,'Remaining debt'!A200,"")</f>
        <v>197</v>
      </c>
      <c r="C200" s="22">
        <f>IF(A200&lt;='APR and payment'!$E$5,'APR and payment'!$E$24,"")</f>
        <v>22461.231674784805</v>
      </c>
      <c r="D200" s="22">
        <f>IF(A200&lt;='APR and payment'!$E$5,C200-E200,"")</f>
        <v>10755.81266701224</v>
      </c>
      <c r="E200" s="22">
        <f>IF(A200&lt;='APR and payment'!$E$5,F199*'APR and payment'!$E$6/'APR and payment'!$L$9,"")</f>
        <v>11705.419007772565</v>
      </c>
      <c r="F200" s="22">
        <f>IF(A200&lt;='APR and payment'!$E$5,F199-D200,"")</f>
        <v>2590448.4112824467</v>
      </c>
    </row>
    <row r="201" spans="1:6" x14ac:dyDescent="0.25">
      <c r="A201" s="15">
        <v>198</v>
      </c>
      <c r="B201" s="17">
        <f>IF(A201&lt;='APR and payment'!$E$5,'Remaining debt'!A201,"")</f>
        <v>198</v>
      </c>
      <c r="C201" s="22">
        <f>IF(A201&lt;='APR and payment'!$E$5,'APR and payment'!$E$24,"")</f>
        <v>22461.231674784805</v>
      </c>
      <c r="D201" s="22">
        <f>IF(A201&lt;='APR and payment'!$E$5,C201-E201,"")</f>
        <v>10804.213824013796</v>
      </c>
      <c r="E201" s="22">
        <f>IF(A201&lt;='APR and payment'!$E$5,F200*'APR and payment'!$E$6/'APR and payment'!$L$9,"")</f>
        <v>11657.01785077101</v>
      </c>
      <c r="F201" s="22">
        <f>IF(A201&lt;='APR and payment'!$E$5,F200-D201,"")</f>
        <v>2579644.197458433</v>
      </c>
    </row>
    <row r="202" spans="1:6" x14ac:dyDescent="0.25">
      <c r="A202" s="15">
        <v>199</v>
      </c>
      <c r="B202" s="17">
        <f>IF(A202&lt;='APR and payment'!$E$5,'Remaining debt'!A202,"")</f>
        <v>199</v>
      </c>
      <c r="C202" s="22">
        <f>IF(A202&lt;='APR and payment'!$E$5,'APR and payment'!$E$24,"")</f>
        <v>22461.231674784805</v>
      </c>
      <c r="D202" s="22">
        <f>IF(A202&lt;='APR and payment'!$E$5,C202-E202,"")</f>
        <v>10852.832786221856</v>
      </c>
      <c r="E202" s="22">
        <f>IF(A202&lt;='APR and payment'!$E$5,F201*'APR and payment'!$E$6/'APR and payment'!$L$9,"")</f>
        <v>11608.39888856295</v>
      </c>
      <c r="F202" s="22">
        <f>IF(A202&lt;='APR and payment'!$E$5,F201-D202,"")</f>
        <v>2568791.364672211</v>
      </c>
    </row>
    <row r="203" spans="1:6" x14ac:dyDescent="0.25">
      <c r="A203" s="15">
        <v>200</v>
      </c>
      <c r="B203" s="17">
        <f>IF(A203&lt;='APR and payment'!$E$5,'Remaining debt'!A203,"")</f>
        <v>200</v>
      </c>
      <c r="C203" s="22">
        <f>IF(A203&lt;='APR and payment'!$E$5,'APR and payment'!$E$24,"")</f>
        <v>22461.231674784805</v>
      </c>
      <c r="D203" s="22">
        <f>IF(A203&lt;='APR and payment'!$E$5,C203-E203,"")</f>
        <v>10901.670533759856</v>
      </c>
      <c r="E203" s="22">
        <f>IF(A203&lt;='APR and payment'!$E$5,F202*'APR and payment'!$E$6/'APR and payment'!$L$9,"")</f>
        <v>11559.561141024949</v>
      </c>
      <c r="F203" s="22">
        <f>IF(A203&lt;='APR and payment'!$E$5,F202-D203,"")</f>
        <v>2557889.694138451</v>
      </c>
    </row>
    <row r="204" spans="1:6" x14ac:dyDescent="0.25">
      <c r="A204" s="15">
        <v>201</v>
      </c>
      <c r="B204" s="17">
        <f>IF(A204&lt;='APR and payment'!$E$5,'Remaining debt'!A204,"")</f>
        <v>201</v>
      </c>
      <c r="C204" s="22">
        <f>IF(A204&lt;='APR and payment'!$E$5,'APR and payment'!$E$24,"")</f>
        <v>22461.231674784805</v>
      </c>
      <c r="D204" s="22">
        <f>IF(A204&lt;='APR and payment'!$E$5,C204-E204,"")</f>
        <v>10950.728051161776</v>
      </c>
      <c r="E204" s="22">
        <f>IF(A204&lt;='APR and payment'!$E$5,F203*'APR and payment'!$E$6/'APR and payment'!$L$9,"")</f>
        <v>11510.50362362303</v>
      </c>
      <c r="F204" s="22">
        <f>IF(A204&lt;='APR and payment'!$E$5,F203-D204,"")</f>
        <v>2546938.9660872892</v>
      </c>
    </row>
    <row r="205" spans="1:6" x14ac:dyDescent="0.25">
      <c r="A205" s="15">
        <v>202</v>
      </c>
      <c r="B205" s="17">
        <f>IF(A205&lt;='APR and payment'!$E$5,'Remaining debt'!A205,"")</f>
        <v>202</v>
      </c>
      <c r="C205" s="22">
        <f>IF(A205&lt;='APR and payment'!$E$5,'APR and payment'!$E$24,"")</f>
        <v>22461.231674784805</v>
      </c>
      <c r="D205" s="22">
        <f>IF(A205&lt;='APR and payment'!$E$5,C205-E205,"")</f>
        <v>11000.006327392004</v>
      </c>
      <c r="E205" s="22">
        <f>IF(A205&lt;='APR and payment'!$E$5,F204*'APR and payment'!$E$6/'APR and payment'!$L$9,"")</f>
        <v>11461.225347392801</v>
      </c>
      <c r="F205" s="22">
        <f>IF(A205&lt;='APR and payment'!$E$5,F204-D205,"")</f>
        <v>2535938.9597598971</v>
      </c>
    </row>
    <row r="206" spans="1:6" x14ac:dyDescent="0.25">
      <c r="A206" s="15">
        <v>203</v>
      </c>
      <c r="B206" s="17">
        <f>IF(A206&lt;='APR and payment'!$E$5,'Remaining debt'!A206,"")</f>
        <v>203</v>
      </c>
      <c r="C206" s="22">
        <f>IF(A206&lt;='APR and payment'!$E$5,'APR and payment'!$E$24,"")</f>
        <v>22461.231674784805</v>
      </c>
      <c r="D206" s="22">
        <f>IF(A206&lt;='APR and payment'!$E$5,C206-E206,"")</f>
        <v>11049.506355865267</v>
      </c>
      <c r="E206" s="22">
        <f>IF(A206&lt;='APR and payment'!$E$5,F205*'APR and payment'!$E$6/'APR and payment'!$L$9,"")</f>
        <v>11411.725318919538</v>
      </c>
      <c r="F206" s="22">
        <f>IF(A206&lt;='APR and payment'!$E$5,F205-D206,"")</f>
        <v>2524889.4534040317</v>
      </c>
    </row>
    <row r="207" spans="1:6" x14ac:dyDescent="0.25">
      <c r="A207" s="15">
        <v>204</v>
      </c>
      <c r="B207" s="17">
        <f>IF(A207&lt;='APR and payment'!$E$5,'Remaining debt'!A207,"")</f>
        <v>204</v>
      </c>
      <c r="C207" s="22">
        <f>IF(A207&lt;='APR and payment'!$E$5,'APR and payment'!$E$24,"")</f>
        <v>22461.231674784805</v>
      </c>
      <c r="D207" s="22">
        <f>IF(A207&lt;='APR and payment'!$E$5,C207-E207,"")</f>
        <v>11099.229134466663</v>
      </c>
      <c r="E207" s="22">
        <f>IF(A207&lt;='APR and payment'!$E$5,F206*'APR and payment'!$E$6/'APR and payment'!$L$9,"")</f>
        <v>11362.002540318143</v>
      </c>
      <c r="F207" s="22">
        <f>IF(A207&lt;='APR and payment'!$E$5,F206-D207,"")</f>
        <v>2513790.2242695652</v>
      </c>
    </row>
    <row r="208" spans="1:6" x14ac:dyDescent="0.25">
      <c r="A208" s="15">
        <v>205</v>
      </c>
      <c r="B208" s="17">
        <f>IF(A208&lt;='APR and payment'!$E$5,'Remaining debt'!A208,"")</f>
        <v>205</v>
      </c>
      <c r="C208" s="22">
        <f>IF(A208&lt;='APR and payment'!$E$5,'APR and payment'!$E$24,"")</f>
        <v>22461.231674784805</v>
      </c>
      <c r="D208" s="22">
        <f>IF(A208&lt;='APR and payment'!$E$5,C208-E208,"")</f>
        <v>11149.175665571764</v>
      </c>
      <c r="E208" s="22">
        <f>IF(A208&lt;='APR and payment'!$E$5,F207*'APR and payment'!$E$6/'APR and payment'!$L$9,"")</f>
        <v>11312.056009213042</v>
      </c>
      <c r="F208" s="22">
        <f>IF(A208&lt;='APR and payment'!$E$5,F207-D208,"")</f>
        <v>2502641.0486039934</v>
      </c>
    </row>
    <row r="209" spans="1:6" x14ac:dyDescent="0.25">
      <c r="A209" s="15">
        <v>206</v>
      </c>
      <c r="B209" s="17">
        <f>IF(A209&lt;='APR and payment'!$E$5,'Remaining debt'!A209,"")</f>
        <v>206</v>
      </c>
      <c r="C209" s="22">
        <f>IF(A209&lt;='APR and payment'!$E$5,'APR and payment'!$E$24,"")</f>
        <v>22461.231674784805</v>
      </c>
      <c r="D209" s="22">
        <f>IF(A209&lt;='APR and payment'!$E$5,C209-E209,"")</f>
        <v>11199.346956066835</v>
      </c>
      <c r="E209" s="22">
        <f>IF(A209&lt;='APR and payment'!$E$5,F208*'APR and payment'!$E$6/'APR and payment'!$L$9,"")</f>
        <v>11261.884718717971</v>
      </c>
      <c r="F209" s="22">
        <f>IF(A209&lt;='APR and payment'!$E$5,F208-D209,"")</f>
        <v>2491441.7016479266</v>
      </c>
    </row>
    <row r="210" spans="1:6" x14ac:dyDescent="0.25">
      <c r="A210" s="15">
        <v>207</v>
      </c>
      <c r="B210" s="17">
        <f>IF(A210&lt;='APR and payment'!$E$5,'Remaining debt'!A210,"")</f>
        <v>207</v>
      </c>
      <c r="C210" s="22">
        <f>IF(A210&lt;='APR and payment'!$E$5,'APR and payment'!$E$24,"")</f>
        <v>22461.231674784805</v>
      </c>
      <c r="D210" s="22">
        <f>IF(A210&lt;='APR and payment'!$E$5,C210-E210,"")</f>
        <v>11249.744017369138</v>
      </c>
      <c r="E210" s="22">
        <f>IF(A210&lt;='APR and payment'!$E$5,F209*'APR and payment'!$E$6/'APR and payment'!$L$9,"")</f>
        <v>11211.487657415668</v>
      </c>
      <c r="F210" s="22">
        <f>IF(A210&lt;='APR and payment'!$E$5,F209-D210,"")</f>
        <v>2480191.9576305575</v>
      </c>
    </row>
    <row r="211" spans="1:6" x14ac:dyDescent="0.25">
      <c r="A211" s="15">
        <v>208</v>
      </c>
      <c r="B211" s="17">
        <f>IF(A211&lt;='APR and payment'!$E$5,'Remaining debt'!A211,"")</f>
        <v>208</v>
      </c>
      <c r="C211" s="22">
        <f>IF(A211&lt;='APR and payment'!$E$5,'APR and payment'!$E$24,"")</f>
        <v>22461.231674784805</v>
      </c>
      <c r="D211" s="22">
        <f>IF(A211&lt;='APR and payment'!$E$5,C211-E211,"")</f>
        <v>11300.367865447295</v>
      </c>
      <c r="E211" s="22">
        <f>IF(A211&lt;='APR and payment'!$E$5,F210*'APR and payment'!$E$6/'APR and payment'!$L$9,"")</f>
        <v>11160.86380933751</v>
      </c>
      <c r="F211" s="22">
        <f>IF(A211&lt;='APR and payment'!$E$5,F210-D211,"")</f>
        <v>2468891.5897651101</v>
      </c>
    </row>
    <row r="212" spans="1:6" x14ac:dyDescent="0.25">
      <c r="A212" s="15">
        <v>209</v>
      </c>
      <c r="B212" s="17">
        <f>IF(A212&lt;='APR and payment'!$E$5,'Remaining debt'!A212,"")</f>
        <v>209</v>
      </c>
      <c r="C212" s="22">
        <f>IF(A212&lt;='APR and payment'!$E$5,'APR and payment'!$E$24,"")</f>
        <v>22461.231674784805</v>
      </c>
      <c r="D212" s="22">
        <f>IF(A212&lt;='APR and payment'!$E$5,C212-E212,"")</f>
        <v>11351.219520841811</v>
      </c>
      <c r="E212" s="22">
        <f>IF(A212&lt;='APR and payment'!$E$5,F211*'APR and payment'!$E$6/'APR and payment'!$L$9,"")</f>
        <v>11110.012153942995</v>
      </c>
      <c r="F212" s="22">
        <f>IF(A212&lt;='APR and payment'!$E$5,F211-D212,"")</f>
        <v>2457540.3702442683</v>
      </c>
    </row>
    <row r="213" spans="1:6" x14ac:dyDescent="0.25">
      <c r="A213" s="15">
        <v>210</v>
      </c>
      <c r="B213" s="17">
        <f>IF(A213&lt;='APR and payment'!$E$5,'Remaining debt'!A213,"")</f>
        <v>210</v>
      </c>
      <c r="C213" s="22">
        <f>IF(A213&lt;='APR and payment'!$E$5,'APR and payment'!$E$24,"")</f>
        <v>22461.231674784805</v>
      </c>
      <c r="D213" s="22">
        <f>IF(A213&lt;='APR and payment'!$E$5,C213-E213,"")</f>
        <v>11402.300008685599</v>
      </c>
      <c r="E213" s="22">
        <f>IF(A213&lt;='APR and payment'!$E$5,F212*'APR and payment'!$E$6/'APR and payment'!$L$9,"")</f>
        <v>11058.931666099206</v>
      </c>
      <c r="F213" s="22">
        <f>IF(A213&lt;='APR and payment'!$E$5,F212-D213,"")</f>
        <v>2446138.0702355825</v>
      </c>
    </row>
    <row r="214" spans="1:6" x14ac:dyDescent="0.25">
      <c r="A214" s="15">
        <v>211</v>
      </c>
      <c r="B214" s="17">
        <f>IF(A214&lt;='APR and payment'!$E$5,'Remaining debt'!A214,"")</f>
        <v>211</v>
      </c>
      <c r="C214" s="22">
        <f>IF(A214&lt;='APR and payment'!$E$5,'APR and payment'!$E$24,"")</f>
        <v>22461.231674784805</v>
      </c>
      <c r="D214" s="22">
        <f>IF(A214&lt;='APR and payment'!$E$5,C214-E214,"")</f>
        <v>11453.610358724685</v>
      </c>
      <c r="E214" s="22">
        <f>IF(A214&lt;='APR and payment'!$E$5,F213*'APR and payment'!$E$6/'APR and payment'!$L$9,"")</f>
        <v>11007.62131606012</v>
      </c>
      <c r="F214" s="22">
        <f>IF(A214&lt;='APR and payment'!$E$5,F213-D214,"")</f>
        <v>2434684.4598768577</v>
      </c>
    </row>
    <row r="215" spans="1:6" x14ac:dyDescent="0.25">
      <c r="A215" s="15">
        <v>212</v>
      </c>
      <c r="B215" s="17">
        <f>IF(A215&lt;='APR and payment'!$E$5,'Remaining debt'!A215,"")</f>
        <v>212</v>
      </c>
      <c r="C215" s="22">
        <f>IF(A215&lt;='APR and payment'!$E$5,'APR and payment'!$E$24,"")</f>
        <v>22461.231674784805</v>
      </c>
      <c r="D215" s="22">
        <f>IF(A215&lt;='APR and payment'!$E$5,C215-E215,"")</f>
        <v>11505.151605338946</v>
      </c>
      <c r="E215" s="22">
        <f>IF(A215&lt;='APR and payment'!$E$5,F214*'APR and payment'!$E$6/'APR and payment'!$L$9,"")</f>
        <v>10956.080069445859</v>
      </c>
      <c r="F215" s="22">
        <f>IF(A215&lt;='APR and payment'!$E$5,F214-D215,"")</f>
        <v>2423179.3082715189</v>
      </c>
    </row>
    <row r="216" spans="1:6" x14ac:dyDescent="0.25">
      <c r="A216" s="15">
        <v>213</v>
      </c>
      <c r="B216" s="17">
        <f>IF(A216&lt;='APR and payment'!$E$5,'Remaining debt'!A216,"")</f>
        <v>213</v>
      </c>
      <c r="C216" s="22">
        <f>IF(A216&lt;='APR and payment'!$E$5,'APR and payment'!$E$24,"")</f>
        <v>22461.231674784805</v>
      </c>
      <c r="D216" s="22">
        <f>IF(A216&lt;='APR and payment'!$E$5,C216-E216,"")</f>
        <v>11556.92478756297</v>
      </c>
      <c r="E216" s="22">
        <f>IF(A216&lt;='APR and payment'!$E$5,F215*'APR and payment'!$E$6/'APR and payment'!$L$9,"")</f>
        <v>10904.306887221835</v>
      </c>
      <c r="F216" s="22">
        <f>IF(A216&lt;='APR and payment'!$E$5,F215-D216,"")</f>
        <v>2411622.3834839561</v>
      </c>
    </row>
    <row r="217" spans="1:6" x14ac:dyDescent="0.25">
      <c r="A217" s="15">
        <v>214</v>
      </c>
      <c r="B217" s="17">
        <f>IF(A217&lt;='APR and payment'!$E$5,'Remaining debt'!A217,"")</f>
        <v>214</v>
      </c>
      <c r="C217" s="22">
        <f>IF(A217&lt;='APR and payment'!$E$5,'APR and payment'!$E$24,"")</f>
        <v>22461.231674784805</v>
      </c>
      <c r="D217" s="22">
        <f>IF(A217&lt;='APR and payment'!$E$5,C217-E217,"")</f>
        <v>11608.930949107003</v>
      </c>
      <c r="E217" s="22">
        <f>IF(A217&lt;='APR and payment'!$E$5,F216*'APR and payment'!$E$6/'APR and payment'!$L$9,"")</f>
        <v>10852.300725677802</v>
      </c>
      <c r="F217" s="22">
        <f>IF(A217&lt;='APR and payment'!$E$5,F216-D217,"")</f>
        <v>2400013.4525348493</v>
      </c>
    </row>
    <row r="218" spans="1:6" x14ac:dyDescent="0.25">
      <c r="A218" s="15">
        <v>215</v>
      </c>
      <c r="B218" s="17">
        <f>IF(A218&lt;='APR and payment'!$E$5,'Remaining debt'!A218,"")</f>
        <v>215</v>
      </c>
      <c r="C218" s="22">
        <f>IF(A218&lt;='APR and payment'!$E$5,'APR and payment'!$E$24,"")</f>
        <v>22461.231674784805</v>
      </c>
      <c r="D218" s="22">
        <f>IF(A218&lt;='APR and payment'!$E$5,C218-E218,"")</f>
        <v>11661.171138377984</v>
      </c>
      <c r="E218" s="22">
        <f>IF(A218&lt;='APR and payment'!$E$5,F217*'APR and payment'!$E$6/'APR and payment'!$L$9,"")</f>
        <v>10800.060536406821</v>
      </c>
      <c r="F218" s="22">
        <f>IF(A218&lt;='APR and payment'!$E$5,F217-D218,"")</f>
        <v>2388352.2813964714</v>
      </c>
    </row>
    <row r="219" spans="1:6" x14ac:dyDescent="0.25">
      <c r="A219" s="15">
        <v>216</v>
      </c>
      <c r="B219" s="17">
        <f>IF(A219&lt;='APR and payment'!$E$5,'Remaining debt'!A219,"")</f>
        <v>216</v>
      </c>
      <c r="C219" s="22">
        <f>IF(A219&lt;='APR and payment'!$E$5,'APR and payment'!$E$24,"")</f>
        <v>22461.231674784805</v>
      </c>
      <c r="D219" s="22">
        <f>IF(A219&lt;='APR and payment'!$E$5,C219-E219,"")</f>
        <v>11713.646408500685</v>
      </c>
      <c r="E219" s="22">
        <f>IF(A219&lt;='APR and payment'!$E$5,F218*'APR and payment'!$E$6/'APR and payment'!$L$9,"")</f>
        <v>10747.585266284121</v>
      </c>
      <c r="F219" s="22">
        <f>IF(A219&lt;='APR and payment'!$E$5,F218-D219,"")</f>
        <v>2376638.6349879708</v>
      </c>
    </row>
    <row r="220" spans="1:6" x14ac:dyDescent="0.25">
      <c r="A220" s="15">
        <v>217</v>
      </c>
      <c r="B220" s="17">
        <f>IF(A220&lt;='APR and payment'!$E$5,'Remaining debt'!A220,"")</f>
        <v>217</v>
      </c>
      <c r="C220" s="22">
        <f>IF(A220&lt;='APR and payment'!$E$5,'APR and payment'!$E$24,"")</f>
        <v>22461.231674784805</v>
      </c>
      <c r="D220" s="22">
        <f>IF(A220&lt;='APR and payment'!$E$5,C220-E220,"")</f>
        <v>11766.357817338938</v>
      </c>
      <c r="E220" s="22">
        <f>IF(A220&lt;='APR and payment'!$E$5,F219*'APR and payment'!$E$6/'APR and payment'!$L$9,"")</f>
        <v>10694.873857445868</v>
      </c>
      <c r="F220" s="22">
        <f>IF(A220&lt;='APR and payment'!$E$5,F219-D220,"")</f>
        <v>2364872.277170632</v>
      </c>
    </row>
    <row r="221" spans="1:6" x14ac:dyDescent="0.25">
      <c r="A221" s="15">
        <v>218</v>
      </c>
      <c r="B221" s="17">
        <f>IF(A221&lt;='APR and payment'!$E$5,'Remaining debt'!A221,"")</f>
        <v>218</v>
      </c>
      <c r="C221" s="22">
        <f>IF(A221&lt;='APR and payment'!$E$5,'APR and payment'!$E$24,"")</f>
        <v>22461.231674784805</v>
      </c>
      <c r="D221" s="22">
        <f>IF(A221&lt;='APR and payment'!$E$5,C221-E221,"")</f>
        <v>11819.306427516962</v>
      </c>
      <c r="E221" s="22">
        <f>IF(A221&lt;='APR and payment'!$E$5,F220*'APR and payment'!$E$6/'APR and payment'!$L$9,"")</f>
        <v>10641.925247267844</v>
      </c>
      <c r="F221" s="22">
        <f>IF(A221&lt;='APR and payment'!$E$5,F220-D221,"")</f>
        <v>2353052.9707431151</v>
      </c>
    </row>
    <row r="222" spans="1:6" x14ac:dyDescent="0.25">
      <c r="A222" s="15">
        <v>219</v>
      </c>
      <c r="B222" s="17">
        <f>IF(A222&lt;='APR and payment'!$E$5,'Remaining debt'!A222,"")</f>
        <v>219</v>
      </c>
      <c r="C222" s="22">
        <f>IF(A222&lt;='APR and payment'!$E$5,'APR and payment'!$E$24,"")</f>
        <v>22461.231674784805</v>
      </c>
      <c r="D222" s="22">
        <f>IF(A222&lt;='APR and payment'!$E$5,C222-E222,"")</f>
        <v>11872.493306440787</v>
      </c>
      <c r="E222" s="22">
        <f>IF(A222&lt;='APR and payment'!$E$5,F221*'APR and payment'!$E$6/'APR and payment'!$L$9,"")</f>
        <v>10588.738368344018</v>
      </c>
      <c r="F222" s="22">
        <f>IF(A222&lt;='APR and payment'!$E$5,F221-D222,"")</f>
        <v>2341180.4774366743</v>
      </c>
    </row>
    <row r="223" spans="1:6" x14ac:dyDescent="0.25">
      <c r="A223" s="15">
        <v>220</v>
      </c>
      <c r="B223" s="17">
        <f>IF(A223&lt;='APR and payment'!$E$5,'Remaining debt'!A223,"")</f>
        <v>220</v>
      </c>
      <c r="C223" s="22">
        <f>IF(A223&lt;='APR and payment'!$E$5,'APR and payment'!$E$24,"")</f>
        <v>22461.231674784805</v>
      </c>
      <c r="D223" s="22">
        <f>IF(A223&lt;='APR and payment'!$E$5,C223-E223,"")</f>
        <v>11925.919526319771</v>
      </c>
      <c r="E223" s="22">
        <f>IF(A223&lt;='APR and payment'!$E$5,F222*'APR and payment'!$E$6/'APR and payment'!$L$9,"")</f>
        <v>10535.312148465035</v>
      </c>
      <c r="F223" s="22">
        <f>IF(A223&lt;='APR and payment'!$E$5,F222-D223,"")</f>
        <v>2329254.5579103543</v>
      </c>
    </row>
    <row r="224" spans="1:6" x14ac:dyDescent="0.25">
      <c r="A224" s="15">
        <v>221</v>
      </c>
      <c r="B224" s="17">
        <f>IF(A224&lt;='APR and payment'!$E$5,'Remaining debt'!A224,"")</f>
        <v>221</v>
      </c>
      <c r="C224" s="22">
        <f>IF(A224&lt;='APR and payment'!$E$5,'APR and payment'!$E$24,"")</f>
        <v>22461.231674784805</v>
      </c>
      <c r="D224" s="22">
        <f>IF(A224&lt;='APR and payment'!$E$5,C224-E224,"")</f>
        <v>11979.586164188211</v>
      </c>
      <c r="E224" s="22">
        <f>IF(A224&lt;='APR and payment'!$E$5,F223*'APR and payment'!$E$6/'APR and payment'!$L$9,"")</f>
        <v>10481.645510596594</v>
      </c>
      <c r="F224" s="22">
        <f>IF(A224&lt;='APR and payment'!$E$5,F223-D224,"")</f>
        <v>2317274.9717461662</v>
      </c>
    </row>
    <row r="225" spans="1:6" x14ac:dyDescent="0.25">
      <c r="A225" s="15">
        <v>222</v>
      </c>
      <c r="B225" s="17">
        <f>IF(A225&lt;='APR and payment'!$E$5,'Remaining debt'!A225,"")</f>
        <v>222</v>
      </c>
      <c r="C225" s="22">
        <f>IF(A225&lt;='APR and payment'!$E$5,'APR and payment'!$E$24,"")</f>
        <v>22461.231674784805</v>
      </c>
      <c r="D225" s="22">
        <f>IF(A225&lt;='APR and payment'!$E$5,C225-E225,"")</f>
        <v>12033.494301927058</v>
      </c>
      <c r="E225" s="22">
        <f>IF(A225&lt;='APR and payment'!$E$5,F224*'APR and payment'!$E$6/'APR and payment'!$L$9,"")</f>
        <v>10427.737372857748</v>
      </c>
      <c r="F225" s="22">
        <f>IF(A225&lt;='APR and payment'!$E$5,F224-D225,"")</f>
        <v>2305241.477444239</v>
      </c>
    </row>
    <row r="226" spans="1:6" x14ac:dyDescent="0.25">
      <c r="A226" s="15">
        <v>223</v>
      </c>
      <c r="B226" s="17">
        <f>IF(A226&lt;='APR and payment'!$E$5,'Remaining debt'!A226,"")</f>
        <v>223</v>
      </c>
      <c r="C226" s="22">
        <f>IF(A226&lt;='APR and payment'!$E$5,'APR and payment'!$E$24,"")</f>
        <v>22461.231674784805</v>
      </c>
      <c r="D226" s="22">
        <f>IF(A226&lt;='APR and payment'!$E$5,C226-E226,"")</f>
        <v>12087.645026285731</v>
      </c>
      <c r="E226" s="22">
        <f>IF(A226&lt;='APR and payment'!$E$5,F225*'APR and payment'!$E$6/'APR and payment'!$L$9,"")</f>
        <v>10373.586648499075</v>
      </c>
      <c r="F226" s="22">
        <f>IF(A226&lt;='APR and payment'!$E$5,F225-D226,"")</f>
        <v>2293153.8324179533</v>
      </c>
    </row>
    <row r="227" spans="1:6" x14ac:dyDescent="0.25">
      <c r="A227" s="15">
        <v>224</v>
      </c>
      <c r="B227" s="17">
        <f>IF(A227&lt;='APR and payment'!$E$5,'Remaining debt'!A227,"")</f>
        <v>224</v>
      </c>
      <c r="C227" s="22">
        <f>IF(A227&lt;='APR and payment'!$E$5,'APR and payment'!$E$24,"")</f>
        <v>22461.231674784805</v>
      </c>
      <c r="D227" s="22">
        <f>IF(A227&lt;='APR and payment'!$E$5,C227-E227,"")</f>
        <v>12142.039428904016</v>
      </c>
      <c r="E227" s="22">
        <f>IF(A227&lt;='APR and payment'!$E$5,F226*'APR and payment'!$E$6/'APR and payment'!$L$9,"")</f>
        <v>10319.192245880789</v>
      </c>
      <c r="F227" s="22">
        <f>IF(A227&lt;='APR and payment'!$E$5,F226-D227,"")</f>
        <v>2281011.7929890491</v>
      </c>
    </row>
    <row r="228" spans="1:6" x14ac:dyDescent="0.25">
      <c r="A228" s="15">
        <v>225</v>
      </c>
      <c r="B228" s="17">
        <f>IF(A228&lt;='APR and payment'!$E$5,'Remaining debt'!A228,"")</f>
        <v>225</v>
      </c>
      <c r="C228" s="22">
        <f>IF(A228&lt;='APR and payment'!$E$5,'APR and payment'!$E$24,"")</f>
        <v>22461.231674784805</v>
      </c>
      <c r="D228" s="22">
        <f>IF(A228&lt;='APR and payment'!$E$5,C228-E228,"")</f>
        <v>12196.678606334084</v>
      </c>
      <c r="E228" s="22">
        <f>IF(A228&lt;='APR and payment'!$E$5,F227*'APR and payment'!$E$6/'APR and payment'!$L$9,"")</f>
        <v>10264.553068450721</v>
      </c>
      <c r="F228" s="22">
        <f>IF(A228&lt;='APR and payment'!$E$5,F227-D228,"")</f>
        <v>2268815.114382715</v>
      </c>
    </row>
    <row r="229" spans="1:6" x14ac:dyDescent="0.25">
      <c r="A229" s="15">
        <v>226</v>
      </c>
      <c r="B229" s="17">
        <f>IF(A229&lt;='APR and payment'!$E$5,'Remaining debt'!A229,"")</f>
        <v>226</v>
      </c>
      <c r="C229" s="22">
        <f>IF(A229&lt;='APR and payment'!$E$5,'APR and payment'!$E$24,"")</f>
        <v>22461.231674784805</v>
      </c>
      <c r="D229" s="22">
        <f>IF(A229&lt;='APR and payment'!$E$5,C229-E229,"")</f>
        <v>12251.563660062588</v>
      </c>
      <c r="E229" s="22">
        <f>IF(A229&lt;='APR and payment'!$E$5,F228*'APR and payment'!$E$6/'APR and payment'!$L$9,"")</f>
        <v>10209.668014722218</v>
      </c>
      <c r="F229" s="22">
        <f>IF(A229&lt;='APR and payment'!$E$5,F228-D229,"")</f>
        <v>2256563.5507226526</v>
      </c>
    </row>
    <row r="230" spans="1:6" x14ac:dyDescent="0.25">
      <c r="A230" s="15">
        <v>227</v>
      </c>
      <c r="B230" s="17">
        <f>IF(A230&lt;='APR and payment'!$E$5,'Remaining debt'!A230,"")</f>
        <v>227</v>
      </c>
      <c r="C230" s="22">
        <f>IF(A230&lt;='APR and payment'!$E$5,'APR and payment'!$E$24,"")</f>
        <v>22461.231674784805</v>
      </c>
      <c r="D230" s="22">
        <f>IF(A230&lt;='APR and payment'!$E$5,C230-E230,"")</f>
        <v>12306.69569653287</v>
      </c>
      <c r="E230" s="22">
        <f>IF(A230&lt;='APR and payment'!$E$5,F229*'APR and payment'!$E$6/'APR and payment'!$L$9,"")</f>
        <v>10154.535978251935</v>
      </c>
      <c r="F230" s="22">
        <f>IF(A230&lt;='APR and payment'!$E$5,F229-D230,"")</f>
        <v>2244256.8550261199</v>
      </c>
    </row>
    <row r="231" spans="1:6" x14ac:dyDescent="0.25">
      <c r="A231" s="15">
        <v>228</v>
      </c>
      <c r="B231" s="17">
        <f>IF(A231&lt;='APR and payment'!$E$5,'Remaining debt'!A231,"")</f>
        <v>228</v>
      </c>
      <c r="C231" s="22">
        <f>IF(A231&lt;='APR and payment'!$E$5,'APR and payment'!$E$24,"")</f>
        <v>22461.231674784805</v>
      </c>
      <c r="D231" s="22">
        <f>IF(A231&lt;='APR and payment'!$E$5,C231-E231,"")</f>
        <v>12362.075827167266</v>
      </c>
      <c r="E231" s="22">
        <f>IF(A231&lt;='APR and payment'!$E$5,F230*'APR and payment'!$E$6/'APR and payment'!$L$9,"")</f>
        <v>10099.15584761754</v>
      </c>
      <c r="F231" s="22">
        <f>IF(A231&lt;='APR and payment'!$E$5,F230-D231,"")</f>
        <v>2231894.7791989525</v>
      </c>
    </row>
    <row r="232" spans="1:6" x14ac:dyDescent="0.25">
      <c r="A232" s="15">
        <v>229</v>
      </c>
      <c r="B232" s="17">
        <f>IF(A232&lt;='APR and payment'!$E$5,'Remaining debt'!A232,"")</f>
        <v>229</v>
      </c>
      <c r="C232" s="22">
        <f>IF(A232&lt;='APR and payment'!$E$5,'APR and payment'!$E$24,"")</f>
        <v>22461.231674784805</v>
      </c>
      <c r="D232" s="22">
        <f>IF(A232&lt;='APR and payment'!$E$5,C232-E232,"")</f>
        <v>12417.705168389519</v>
      </c>
      <c r="E232" s="22">
        <f>IF(A232&lt;='APR and payment'!$E$5,F231*'APR and payment'!$E$6/'APR and payment'!$L$9,"")</f>
        <v>10043.526506395287</v>
      </c>
      <c r="F232" s="22">
        <f>IF(A232&lt;='APR and payment'!$E$5,F231-D232,"")</f>
        <v>2219477.0740305628</v>
      </c>
    </row>
    <row r="233" spans="1:6" x14ac:dyDescent="0.25">
      <c r="A233" s="15">
        <v>230</v>
      </c>
      <c r="B233" s="17">
        <f>IF(A233&lt;='APR and payment'!$E$5,'Remaining debt'!A233,"")</f>
        <v>230</v>
      </c>
      <c r="C233" s="22">
        <f>IF(A233&lt;='APR and payment'!$E$5,'APR and payment'!$E$24,"")</f>
        <v>22461.231674784805</v>
      </c>
      <c r="D233" s="22">
        <f>IF(A233&lt;='APR and payment'!$E$5,C233-E233,"")</f>
        <v>12473.584841647273</v>
      </c>
      <c r="E233" s="22">
        <f>IF(A233&lt;='APR and payment'!$E$5,F232*'APR and payment'!$E$6/'APR and payment'!$L$9,"")</f>
        <v>9987.6468331375327</v>
      </c>
      <c r="F233" s="22">
        <f>IF(A233&lt;='APR and payment'!$E$5,F232-D233,"")</f>
        <v>2207003.4891889156</v>
      </c>
    </row>
    <row r="234" spans="1:6" x14ac:dyDescent="0.25">
      <c r="A234" s="15">
        <v>231</v>
      </c>
      <c r="B234" s="17">
        <f>IF(A234&lt;='APR and payment'!$E$5,'Remaining debt'!A234,"")</f>
        <v>231</v>
      </c>
      <c r="C234" s="22">
        <f>IF(A234&lt;='APR and payment'!$E$5,'APR and payment'!$E$24,"")</f>
        <v>22461.231674784805</v>
      </c>
      <c r="D234" s="22">
        <f>IF(A234&lt;='APR and payment'!$E$5,C234-E234,"")</f>
        <v>12529.715973434684</v>
      </c>
      <c r="E234" s="22">
        <f>IF(A234&lt;='APR and payment'!$E$5,F233*'APR and payment'!$E$6/'APR and payment'!$L$9,"")</f>
        <v>9931.5157013501212</v>
      </c>
      <c r="F234" s="22">
        <f>IF(A234&lt;='APR and payment'!$E$5,F233-D234,"")</f>
        <v>2194473.7732154811</v>
      </c>
    </row>
    <row r="235" spans="1:6" x14ac:dyDescent="0.25">
      <c r="A235" s="15">
        <v>232</v>
      </c>
      <c r="B235" s="17">
        <f>IF(A235&lt;='APR and payment'!$E$5,'Remaining debt'!A235,"")</f>
        <v>232</v>
      </c>
      <c r="C235" s="22">
        <f>IF(A235&lt;='APR and payment'!$E$5,'APR and payment'!$E$24,"")</f>
        <v>22461.231674784805</v>
      </c>
      <c r="D235" s="22">
        <f>IF(A235&lt;='APR and payment'!$E$5,C235-E235,"")</f>
        <v>12586.099695315141</v>
      </c>
      <c r="E235" s="22">
        <f>IF(A235&lt;='APR and payment'!$E$5,F234*'APR and payment'!$E$6/'APR and payment'!$L$9,"")</f>
        <v>9875.1319794696647</v>
      </c>
      <c r="F235" s="22">
        <f>IF(A235&lt;='APR and payment'!$E$5,F234-D235,"")</f>
        <v>2181887.673520166</v>
      </c>
    </row>
    <row r="236" spans="1:6" x14ac:dyDescent="0.25">
      <c r="A236" s="15">
        <v>233</v>
      </c>
      <c r="B236" s="17">
        <f>IF(A236&lt;='APR and payment'!$E$5,'Remaining debt'!A236,"")</f>
        <v>233</v>
      </c>
      <c r="C236" s="22">
        <f>IF(A236&lt;='APR and payment'!$E$5,'APR and payment'!$E$24,"")</f>
        <v>22461.231674784805</v>
      </c>
      <c r="D236" s="22">
        <f>IF(A236&lt;='APR and payment'!$E$5,C236-E236,"")</f>
        <v>12642.737143944059</v>
      </c>
      <c r="E236" s="22">
        <f>IF(A236&lt;='APR and payment'!$E$5,F235*'APR and payment'!$E$6/'APR and payment'!$L$9,"")</f>
        <v>9818.4945308407459</v>
      </c>
      <c r="F236" s="22">
        <f>IF(A236&lt;='APR and payment'!$E$5,F235-D236,"")</f>
        <v>2169244.9363762219</v>
      </c>
    </row>
    <row r="237" spans="1:6" x14ac:dyDescent="0.25">
      <c r="A237" s="15">
        <v>234</v>
      </c>
      <c r="B237" s="17">
        <f>IF(A237&lt;='APR and payment'!$E$5,'Remaining debt'!A237,"")</f>
        <v>234</v>
      </c>
      <c r="C237" s="22">
        <f>IF(A237&lt;='APR and payment'!$E$5,'APR and payment'!$E$24,"")</f>
        <v>22461.231674784805</v>
      </c>
      <c r="D237" s="22">
        <f>IF(A237&lt;='APR and payment'!$E$5,C237-E237,"")</f>
        <v>12699.629461091807</v>
      </c>
      <c r="E237" s="22">
        <f>IF(A237&lt;='APR and payment'!$E$5,F236*'APR and payment'!$E$6/'APR and payment'!$L$9,"")</f>
        <v>9761.6022136929987</v>
      </c>
      <c r="F237" s="22">
        <f>IF(A237&lt;='APR and payment'!$E$5,F236-D237,"")</f>
        <v>2156545.30691513</v>
      </c>
    </row>
    <row r="238" spans="1:6" x14ac:dyDescent="0.25">
      <c r="A238" s="15">
        <v>235</v>
      </c>
      <c r="B238" s="17">
        <f>IF(A238&lt;='APR and payment'!$E$5,'Remaining debt'!A238,"")</f>
        <v>235</v>
      </c>
      <c r="C238" s="22">
        <f>IF(A238&lt;='APR and payment'!$E$5,'APR and payment'!$E$24,"")</f>
        <v>22461.231674784805</v>
      </c>
      <c r="D238" s="22">
        <f>IF(A238&lt;='APR and payment'!$E$5,C238-E238,"")</f>
        <v>12756.777793666721</v>
      </c>
      <c r="E238" s="22">
        <f>IF(A238&lt;='APR and payment'!$E$5,F237*'APR and payment'!$E$6/'APR and payment'!$L$9,"")</f>
        <v>9704.4538811180846</v>
      </c>
      <c r="F238" s="22">
        <f>IF(A238&lt;='APR and payment'!$E$5,F237-D238,"")</f>
        <v>2143788.5291214632</v>
      </c>
    </row>
    <row r="239" spans="1:6" x14ac:dyDescent="0.25">
      <c r="A239" s="15">
        <v>236</v>
      </c>
      <c r="B239" s="17">
        <f>IF(A239&lt;='APR and payment'!$E$5,'Remaining debt'!A239,"")</f>
        <v>236</v>
      </c>
      <c r="C239" s="22">
        <f>IF(A239&lt;='APR and payment'!$E$5,'APR and payment'!$E$24,"")</f>
        <v>22461.231674784805</v>
      </c>
      <c r="D239" s="22">
        <f>IF(A239&lt;='APR and payment'!$E$5,C239-E239,"")</f>
        <v>12814.183293738221</v>
      </c>
      <c r="E239" s="22">
        <f>IF(A239&lt;='APR and payment'!$E$5,F238*'APR and payment'!$E$6/'APR and payment'!$L$9,"")</f>
        <v>9647.0483810465848</v>
      </c>
      <c r="F239" s="22">
        <f>IF(A239&lt;='APR and payment'!$E$5,F238-D239,"")</f>
        <v>2130974.3458277248</v>
      </c>
    </row>
    <row r="240" spans="1:6" x14ac:dyDescent="0.25">
      <c r="A240" s="15">
        <v>237</v>
      </c>
      <c r="B240" s="17">
        <f>IF(A240&lt;='APR and payment'!$E$5,'Remaining debt'!A240,"")</f>
        <v>237</v>
      </c>
      <c r="C240" s="22">
        <f>IF(A240&lt;='APR and payment'!$E$5,'APR and payment'!$E$24,"")</f>
        <v>22461.231674784805</v>
      </c>
      <c r="D240" s="22">
        <f>IF(A240&lt;='APR and payment'!$E$5,C240-E240,"")</f>
        <v>12871.847118560045</v>
      </c>
      <c r="E240" s="22">
        <f>IF(A240&lt;='APR and payment'!$E$5,F239*'APR and payment'!$E$6/'APR and payment'!$L$9,"")</f>
        <v>9589.3845562247607</v>
      </c>
      <c r="F240" s="22">
        <f>IF(A240&lt;='APR and payment'!$E$5,F239-D240,"")</f>
        <v>2118102.4987091646</v>
      </c>
    </row>
    <row r="241" spans="1:6" x14ac:dyDescent="0.25">
      <c r="A241" s="15">
        <v>238</v>
      </c>
      <c r="B241" s="17">
        <f>IF(A241&lt;='APR and payment'!$E$5,'Remaining debt'!A241,"")</f>
        <v>238</v>
      </c>
      <c r="C241" s="22">
        <f>IF(A241&lt;='APR and payment'!$E$5,'APR and payment'!$E$24,"")</f>
        <v>22461.231674784805</v>
      </c>
      <c r="D241" s="22">
        <f>IF(A241&lt;='APR and payment'!$E$5,C241-E241,"")</f>
        <v>12929.770430593564</v>
      </c>
      <c r="E241" s="22">
        <f>IF(A241&lt;='APR and payment'!$E$5,F240*'APR and payment'!$E$6/'APR and payment'!$L$9,"")</f>
        <v>9531.4612441912413</v>
      </c>
      <c r="F241" s="22">
        <f>IF(A241&lt;='APR and payment'!$E$5,F240-D241,"")</f>
        <v>2105172.7282785708</v>
      </c>
    </row>
    <row r="242" spans="1:6" x14ac:dyDescent="0.25">
      <c r="A242" s="15">
        <v>239</v>
      </c>
      <c r="B242" s="17">
        <f>IF(A242&lt;='APR and payment'!$E$5,'Remaining debt'!A242,"")</f>
        <v>239</v>
      </c>
      <c r="C242" s="22">
        <f>IF(A242&lt;='APR and payment'!$E$5,'APR and payment'!$E$24,"")</f>
        <v>22461.231674784805</v>
      </c>
      <c r="D242" s="22">
        <f>IF(A242&lt;='APR and payment'!$E$5,C242-E242,"")</f>
        <v>12987.954397531237</v>
      </c>
      <c r="E242" s="22">
        <f>IF(A242&lt;='APR and payment'!$E$5,F241*'APR and payment'!$E$6/'APR and payment'!$L$9,"")</f>
        <v>9473.2772772535682</v>
      </c>
      <c r="F242" s="22">
        <f>IF(A242&lt;='APR and payment'!$E$5,F241-D242,"")</f>
        <v>2092184.7738810396</v>
      </c>
    </row>
    <row r="243" spans="1:6" x14ac:dyDescent="0.25">
      <c r="A243" s="15">
        <v>240</v>
      </c>
      <c r="B243" s="17">
        <f>IF(A243&lt;='APR and payment'!$E$5,'Remaining debt'!A243,"")</f>
        <v>240</v>
      </c>
      <c r="C243" s="22">
        <f>IF(A243&lt;='APR and payment'!$E$5,'APR and payment'!$E$24,"")</f>
        <v>22461.231674784805</v>
      </c>
      <c r="D243" s="22">
        <f>IF(A243&lt;='APR and payment'!$E$5,C243-E243,"")</f>
        <v>13046.400192320127</v>
      </c>
      <c r="E243" s="22">
        <f>IF(A243&lt;='APR and payment'!$E$5,F242*'APR and payment'!$E$6/'APR and payment'!$L$9,"")</f>
        <v>9414.8314824646786</v>
      </c>
      <c r="F243" s="22">
        <f>IF(A243&lt;='APR and payment'!$E$5,F242-D243,"")</f>
        <v>2079138.3736887195</v>
      </c>
    </row>
    <row r="244" spans="1:6" x14ac:dyDescent="0.25">
      <c r="A244" s="15">
        <v>241</v>
      </c>
      <c r="B244" s="17">
        <f>IF(A244&lt;='APR and payment'!$E$5,'Remaining debt'!A244,"")</f>
        <v>241</v>
      </c>
      <c r="C244" s="22">
        <f>IF(A244&lt;='APR and payment'!$E$5,'APR and payment'!$E$24,"")</f>
        <v>22461.231674784805</v>
      </c>
      <c r="D244" s="22">
        <f>IF(A244&lt;='APR and payment'!$E$5,C244-E244,"")</f>
        <v>13105.108993185568</v>
      </c>
      <c r="E244" s="22">
        <f>IF(A244&lt;='APR and payment'!$E$5,F243*'APR and payment'!$E$6/'APR and payment'!$L$9,"")</f>
        <v>9356.1226815992377</v>
      </c>
      <c r="F244" s="22">
        <f>IF(A244&lt;='APR and payment'!$E$5,F243-D244,"")</f>
        <v>2066033.264695534</v>
      </c>
    </row>
    <row r="245" spans="1:6" x14ac:dyDescent="0.25">
      <c r="A245" s="15">
        <v>242</v>
      </c>
      <c r="B245" s="17">
        <f>IF(A245&lt;='APR and payment'!$E$5,'Remaining debt'!A245,"")</f>
        <v>242</v>
      </c>
      <c r="C245" s="22">
        <f>IF(A245&lt;='APR and payment'!$E$5,'APR and payment'!$E$24,"")</f>
        <v>22461.231674784805</v>
      </c>
      <c r="D245" s="22">
        <f>IF(A245&lt;='APR and payment'!$E$5,C245-E245,"")</f>
        <v>13164.081983654904</v>
      </c>
      <c r="E245" s="22">
        <f>IF(A245&lt;='APR and payment'!$E$5,F244*'APR and payment'!$E$6/'APR and payment'!$L$9,"")</f>
        <v>9297.1496911299018</v>
      </c>
      <c r="F245" s="22">
        <f>IF(A245&lt;='APR and payment'!$E$5,F244-D245,"")</f>
        <v>2052869.182711879</v>
      </c>
    </row>
    <row r="246" spans="1:6" x14ac:dyDescent="0.25">
      <c r="A246" s="15">
        <v>243</v>
      </c>
      <c r="B246" s="17">
        <f>IF(A246&lt;='APR and payment'!$E$5,'Remaining debt'!A246,"")</f>
        <v>243</v>
      </c>
      <c r="C246" s="22">
        <f>IF(A246&lt;='APR and payment'!$E$5,'APR and payment'!$E$24,"")</f>
        <v>22461.231674784805</v>
      </c>
      <c r="D246" s="22">
        <f>IF(A246&lt;='APR and payment'!$E$5,C246-E246,"")</f>
        <v>13223.32035258135</v>
      </c>
      <c r="E246" s="22">
        <f>IF(A246&lt;='APR and payment'!$E$5,F245*'APR and payment'!$E$6/'APR and payment'!$L$9,"")</f>
        <v>9237.9113222034557</v>
      </c>
      <c r="F246" s="22">
        <f>IF(A246&lt;='APR and payment'!$E$5,F245-D246,"")</f>
        <v>2039645.8623592977</v>
      </c>
    </row>
    <row r="247" spans="1:6" x14ac:dyDescent="0.25">
      <c r="A247" s="15">
        <v>244</v>
      </c>
      <c r="B247" s="17">
        <f>IF(A247&lt;='APR and payment'!$E$5,'Remaining debt'!A247,"")</f>
        <v>244</v>
      </c>
      <c r="C247" s="22">
        <f>IF(A247&lt;='APR and payment'!$E$5,'APR and payment'!$E$24,"")</f>
        <v>22461.231674784805</v>
      </c>
      <c r="D247" s="22">
        <f>IF(A247&lt;='APR and payment'!$E$5,C247-E247,"")</f>
        <v>13282.825294167966</v>
      </c>
      <c r="E247" s="22">
        <f>IF(A247&lt;='APR and payment'!$E$5,F246*'APR and payment'!$E$6/'APR and payment'!$L$9,"")</f>
        <v>9178.4063806168397</v>
      </c>
      <c r="F247" s="22">
        <f>IF(A247&lt;='APR and payment'!$E$5,F246-D247,"")</f>
        <v>2026363.0370651297</v>
      </c>
    </row>
    <row r="248" spans="1:6" x14ac:dyDescent="0.25">
      <c r="A248" s="15">
        <v>245</v>
      </c>
      <c r="B248" s="17">
        <f>IF(A248&lt;='APR and payment'!$E$5,'Remaining debt'!A248,"")</f>
        <v>245</v>
      </c>
      <c r="C248" s="22">
        <f>IF(A248&lt;='APR and payment'!$E$5,'APR and payment'!$E$24,"")</f>
        <v>22461.231674784805</v>
      </c>
      <c r="D248" s="22">
        <f>IF(A248&lt;='APR and payment'!$E$5,C248-E248,"")</f>
        <v>13342.598007991723</v>
      </c>
      <c r="E248" s="22">
        <f>IF(A248&lt;='APR and payment'!$E$5,F247*'APR and payment'!$E$6/'APR and payment'!$L$9,"")</f>
        <v>9118.6336667930827</v>
      </c>
      <c r="F248" s="22">
        <f>IF(A248&lt;='APR and payment'!$E$5,F247-D248,"")</f>
        <v>2013020.439057138</v>
      </c>
    </row>
    <row r="249" spans="1:6" x14ac:dyDescent="0.25">
      <c r="A249" s="15">
        <v>246</v>
      </c>
      <c r="B249" s="17">
        <f>IF(A249&lt;='APR and payment'!$E$5,'Remaining debt'!A249,"")</f>
        <v>246</v>
      </c>
      <c r="C249" s="22">
        <f>IF(A249&lt;='APR and payment'!$E$5,'APR and payment'!$E$24,"")</f>
        <v>22461.231674784805</v>
      </c>
      <c r="D249" s="22">
        <f>IF(A249&lt;='APR and payment'!$E$5,C249-E249,"")</f>
        <v>13402.639699027684</v>
      </c>
      <c r="E249" s="22">
        <f>IF(A249&lt;='APR and payment'!$E$5,F248*'APR and payment'!$E$6/'APR and payment'!$L$9,"")</f>
        <v>9058.591975757121</v>
      </c>
      <c r="F249" s="22">
        <f>IF(A249&lt;='APR and payment'!$E$5,F248-D249,"")</f>
        <v>1999617.7993581104</v>
      </c>
    </row>
    <row r="250" spans="1:6" x14ac:dyDescent="0.25">
      <c r="A250" s="15">
        <v>247</v>
      </c>
      <c r="B250" s="17">
        <f>IF(A250&lt;='APR and payment'!$E$5,'Remaining debt'!A250,"")</f>
        <v>247</v>
      </c>
      <c r="C250" s="22">
        <f>IF(A250&lt;='APR and payment'!$E$5,'APR and payment'!$E$24,"")</f>
        <v>22461.231674784805</v>
      </c>
      <c r="D250" s="22">
        <f>IF(A250&lt;='APR and payment'!$E$5,C250-E250,"")</f>
        <v>13462.951577673308</v>
      </c>
      <c r="E250" s="22">
        <f>IF(A250&lt;='APR and payment'!$E$5,F249*'APR and payment'!$E$6/'APR and payment'!$L$9,"")</f>
        <v>8998.2800971114975</v>
      </c>
      <c r="F250" s="22">
        <f>IF(A250&lt;='APR and payment'!$E$5,F249-D250,"")</f>
        <v>1986154.8477804372</v>
      </c>
    </row>
    <row r="251" spans="1:6" x14ac:dyDescent="0.25">
      <c r="A251" s="15">
        <v>248</v>
      </c>
      <c r="B251" s="17">
        <f>IF(A251&lt;='APR and payment'!$E$5,'Remaining debt'!A251,"")</f>
        <v>248</v>
      </c>
      <c r="C251" s="22">
        <f>IF(A251&lt;='APR and payment'!$E$5,'APR and payment'!$E$24,"")</f>
        <v>22461.231674784805</v>
      </c>
      <c r="D251" s="22">
        <f>IF(A251&lt;='APR and payment'!$E$5,C251-E251,"")</f>
        <v>13523.534859772839</v>
      </c>
      <c r="E251" s="22">
        <f>IF(A251&lt;='APR and payment'!$E$5,F250*'APR and payment'!$E$6/'APR and payment'!$L$9,"")</f>
        <v>8937.6968150119665</v>
      </c>
      <c r="F251" s="22">
        <f>IF(A251&lt;='APR and payment'!$E$5,F250-D251,"")</f>
        <v>1972631.3129206644</v>
      </c>
    </row>
    <row r="252" spans="1:6" x14ac:dyDescent="0.25">
      <c r="A252" s="15">
        <v>249</v>
      </c>
      <c r="B252" s="17">
        <f>IF(A252&lt;='APR and payment'!$E$5,'Remaining debt'!A252,"")</f>
        <v>249</v>
      </c>
      <c r="C252" s="22">
        <f>IF(A252&lt;='APR and payment'!$E$5,'APR and payment'!$E$24,"")</f>
        <v>22461.231674784805</v>
      </c>
      <c r="D252" s="22">
        <f>IF(A252&lt;='APR and payment'!$E$5,C252-E252,"")</f>
        <v>13584.390766641814</v>
      </c>
      <c r="E252" s="22">
        <f>IF(A252&lt;='APR and payment'!$E$5,F251*'APR and payment'!$E$6/'APR and payment'!$L$9,"")</f>
        <v>8876.8409081429909</v>
      </c>
      <c r="F252" s="22">
        <f>IF(A252&lt;='APR and payment'!$E$5,F251-D252,"")</f>
        <v>1959046.9221540226</v>
      </c>
    </row>
    <row r="253" spans="1:6" x14ac:dyDescent="0.25">
      <c r="A253" s="15">
        <v>250</v>
      </c>
      <c r="B253" s="17">
        <f>IF(A253&lt;='APR and payment'!$E$5,'Remaining debt'!A253,"")</f>
        <v>250</v>
      </c>
      <c r="C253" s="22">
        <f>IF(A253&lt;='APR and payment'!$E$5,'APR and payment'!$E$24,"")</f>
        <v>22461.231674784805</v>
      </c>
      <c r="D253" s="22">
        <f>IF(A253&lt;='APR and payment'!$E$5,C253-E253,"")</f>
        <v>13645.520525091704</v>
      </c>
      <c r="E253" s="22">
        <f>IF(A253&lt;='APR and payment'!$E$5,F252*'APR and payment'!$E$6/'APR and payment'!$L$9,"")</f>
        <v>8815.7111496931011</v>
      </c>
      <c r="F253" s="22">
        <f>IF(A253&lt;='APR and payment'!$E$5,F252-D253,"")</f>
        <v>1945401.4016289308</v>
      </c>
    </row>
    <row r="254" spans="1:6" x14ac:dyDescent="0.25">
      <c r="A254" s="15">
        <v>251</v>
      </c>
      <c r="B254" s="17">
        <f>IF(A254&lt;='APR and payment'!$E$5,'Remaining debt'!A254,"")</f>
        <v>251</v>
      </c>
      <c r="C254" s="22">
        <f>IF(A254&lt;='APR and payment'!$E$5,'APR and payment'!$E$24,"")</f>
        <v>22461.231674784805</v>
      </c>
      <c r="D254" s="22">
        <f>IF(A254&lt;='APR and payment'!$E$5,C254-E254,"")</f>
        <v>13706.925367454616</v>
      </c>
      <c r="E254" s="22">
        <f>IF(A254&lt;='APR and payment'!$E$5,F253*'APR and payment'!$E$6/'APR and payment'!$L$9,"")</f>
        <v>8754.3063073301892</v>
      </c>
      <c r="F254" s="22">
        <f>IF(A254&lt;='APR and payment'!$E$5,F253-D254,"")</f>
        <v>1931694.4762614763</v>
      </c>
    </row>
    <row r="255" spans="1:6" x14ac:dyDescent="0.25">
      <c r="A255" s="15">
        <v>252</v>
      </c>
      <c r="B255" s="17">
        <f>IF(A255&lt;='APR and payment'!$E$5,'Remaining debt'!A255,"")</f>
        <v>252</v>
      </c>
      <c r="C255" s="22">
        <f>IF(A255&lt;='APR and payment'!$E$5,'APR and payment'!$E$24,"")</f>
        <v>22461.231674784805</v>
      </c>
      <c r="D255" s="22">
        <f>IF(A255&lt;='APR and payment'!$E$5,C255-E255,"")</f>
        <v>13768.606531608162</v>
      </c>
      <c r="E255" s="22">
        <f>IF(A255&lt;='APR and payment'!$E$5,F254*'APR and payment'!$E$6/'APR and payment'!$L$9,"")</f>
        <v>8692.6251431766432</v>
      </c>
      <c r="F255" s="22">
        <f>IF(A255&lt;='APR and payment'!$E$5,F254-D255,"")</f>
        <v>1917925.8697298681</v>
      </c>
    </row>
    <row r="256" spans="1:6" x14ac:dyDescent="0.25">
      <c r="A256" s="15">
        <v>253</v>
      </c>
      <c r="B256" s="17">
        <f>IF(A256&lt;='APR and payment'!$E$5,'Remaining debt'!A256,"")</f>
        <v>253</v>
      </c>
      <c r="C256" s="22">
        <f>IF(A256&lt;='APR and payment'!$E$5,'APR and payment'!$E$24,"")</f>
        <v>22461.231674784805</v>
      </c>
      <c r="D256" s="22">
        <f>IF(A256&lt;='APR and payment'!$E$5,C256-E256,"")</f>
        <v>13830.565261000398</v>
      </c>
      <c r="E256" s="22">
        <f>IF(A256&lt;='APR and payment'!$E$5,F255*'APR and payment'!$E$6/'APR and payment'!$L$9,"")</f>
        <v>8630.6664137844073</v>
      </c>
      <c r="F256" s="22">
        <f>IF(A256&lt;='APR and payment'!$E$5,F255-D256,"")</f>
        <v>1904095.3044688678</v>
      </c>
    </row>
    <row r="257" spans="1:6" x14ac:dyDescent="0.25">
      <c r="A257" s="15">
        <v>254</v>
      </c>
      <c r="B257" s="17">
        <f>IF(A257&lt;='APR and payment'!$E$5,'Remaining debt'!A257,"")</f>
        <v>254</v>
      </c>
      <c r="C257" s="22">
        <f>IF(A257&lt;='APR and payment'!$E$5,'APR and payment'!$E$24,"")</f>
        <v>22461.231674784805</v>
      </c>
      <c r="D257" s="22">
        <f>IF(A257&lt;='APR and payment'!$E$5,C257-E257,"")</f>
        <v>13892.8028046749</v>
      </c>
      <c r="E257" s="22">
        <f>IF(A257&lt;='APR and payment'!$E$5,F256*'APR and payment'!$E$6/'APR and payment'!$L$9,"")</f>
        <v>8568.4288701099049</v>
      </c>
      <c r="F257" s="22">
        <f>IF(A257&lt;='APR and payment'!$E$5,F256-D257,"")</f>
        <v>1890202.5016641929</v>
      </c>
    </row>
    <row r="258" spans="1:6" x14ac:dyDescent="0.25">
      <c r="A258" s="15">
        <v>255</v>
      </c>
      <c r="B258" s="17">
        <f>IF(A258&lt;='APR and payment'!$E$5,'Remaining debt'!A258,"")</f>
        <v>255</v>
      </c>
      <c r="C258" s="22">
        <f>IF(A258&lt;='APR and payment'!$E$5,'APR and payment'!$E$24,"")</f>
        <v>22461.231674784805</v>
      </c>
      <c r="D258" s="22">
        <f>IF(A258&lt;='APR and payment'!$E$5,C258-E258,"")</f>
        <v>13955.320417295938</v>
      </c>
      <c r="E258" s="22">
        <f>IF(A258&lt;='APR and payment'!$E$5,F257*'APR and payment'!$E$6/'APR and payment'!$L$9,"")</f>
        <v>8505.9112574888677</v>
      </c>
      <c r="F258" s="22">
        <f>IF(A258&lt;='APR and payment'!$E$5,F257-D258,"")</f>
        <v>1876247.181246897</v>
      </c>
    </row>
    <row r="259" spans="1:6" x14ac:dyDescent="0.25">
      <c r="A259" s="15">
        <v>256</v>
      </c>
      <c r="B259" s="17">
        <f>IF(A259&lt;='APR and payment'!$E$5,'Remaining debt'!A259,"")</f>
        <v>256</v>
      </c>
      <c r="C259" s="22">
        <f>IF(A259&lt;='APR and payment'!$E$5,'APR and payment'!$E$24,"")</f>
        <v>22461.231674784805</v>
      </c>
      <c r="D259" s="22">
        <f>IF(A259&lt;='APR and payment'!$E$5,C259-E259,"")</f>
        <v>14018.11935917377</v>
      </c>
      <c r="E259" s="22">
        <f>IF(A259&lt;='APR and payment'!$E$5,F258*'APR and payment'!$E$6/'APR and payment'!$L$9,"")</f>
        <v>8443.1123156110352</v>
      </c>
      <c r="F259" s="22">
        <f>IF(A259&lt;='APR and payment'!$E$5,F258-D259,"")</f>
        <v>1862229.0618877232</v>
      </c>
    </row>
    <row r="260" spans="1:6" x14ac:dyDescent="0.25">
      <c r="A260" s="15">
        <v>257</v>
      </c>
      <c r="B260" s="17">
        <f>IF(A260&lt;='APR and payment'!$E$5,'Remaining debt'!A260,"")</f>
        <v>257</v>
      </c>
      <c r="C260" s="22">
        <f>IF(A260&lt;='APR and payment'!$E$5,'APR and payment'!$E$24,"")</f>
        <v>22461.231674784805</v>
      </c>
      <c r="D260" s="22">
        <f>IF(A260&lt;='APR and payment'!$E$5,C260-E260,"")</f>
        <v>14081.200896290051</v>
      </c>
      <c r="E260" s="22">
        <f>IF(A260&lt;='APR and payment'!$E$5,F259*'APR and payment'!$E$6/'APR and payment'!$L$9,"")</f>
        <v>8380.0307784947545</v>
      </c>
      <c r="F260" s="22">
        <f>IF(A260&lt;='APR and payment'!$E$5,F259-D260,"")</f>
        <v>1848147.860991433</v>
      </c>
    </row>
    <row r="261" spans="1:6" x14ac:dyDescent="0.25">
      <c r="A261" s="15">
        <v>258</v>
      </c>
      <c r="B261" s="17">
        <f>IF(A261&lt;='APR and payment'!$E$5,'Remaining debt'!A261,"")</f>
        <v>258</v>
      </c>
      <c r="C261" s="22">
        <f>IF(A261&lt;='APR and payment'!$E$5,'APR and payment'!$E$24,"")</f>
        <v>22461.231674784805</v>
      </c>
      <c r="D261" s="22">
        <f>IF(A261&lt;='APR and payment'!$E$5,C261-E261,"")</f>
        <v>14144.566300323357</v>
      </c>
      <c r="E261" s="22">
        <f>IF(A261&lt;='APR and payment'!$E$5,F260*'APR and payment'!$E$6/'APR and payment'!$L$9,"")</f>
        <v>8316.6653744614487</v>
      </c>
      <c r="F261" s="22">
        <f>IF(A261&lt;='APR and payment'!$E$5,F260-D261,"")</f>
        <v>1834003.2946911096</v>
      </c>
    </row>
    <row r="262" spans="1:6" x14ac:dyDescent="0.25">
      <c r="A262" s="15">
        <v>259</v>
      </c>
      <c r="B262" s="17">
        <f>IF(A262&lt;='APR and payment'!$E$5,'Remaining debt'!A262,"")</f>
        <v>259</v>
      </c>
      <c r="C262" s="22">
        <f>IF(A262&lt;='APR and payment'!$E$5,'APR and payment'!$E$24,"")</f>
        <v>22461.231674784805</v>
      </c>
      <c r="D262" s="22">
        <f>IF(A262&lt;='APR and payment'!$E$5,C262-E262,"")</f>
        <v>14208.216848674812</v>
      </c>
      <c r="E262" s="22">
        <f>IF(A262&lt;='APR and payment'!$E$5,F261*'APR and payment'!$E$6/'APR and payment'!$L$9,"")</f>
        <v>8253.014826109993</v>
      </c>
      <c r="F262" s="22">
        <f>IF(A262&lt;='APR and payment'!$E$5,F261-D262,"")</f>
        <v>1819795.0778424349</v>
      </c>
    </row>
    <row r="263" spans="1:6" x14ac:dyDescent="0.25">
      <c r="A263" s="15">
        <v>260</v>
      </c>
      <c r="B263" s="17">
        <f>IF(A263&lt;='APR and payment'!$E$5,'Remaining debt'!A263,"")</f>
        <v>260</v>
      </c>
      <c r="C263" s="22">
        <f>IF(A263&lt;='APR and payment'!$E$5,'APR and payment'!$E$24,"")</f>
        <v>22461.231674784805</v>
      </c>
      <c r="D263" s="22">
        <f>IF(A263&lt;='APR and payment'!$E$5,C263-E263,"")</f>
        <v>14272.153824493849</v>
      </c>
      <c r="E263" s="22">
        <f>IF(A263&lt;='APR and payment'!$E$5,F262*'APR and payment'!$E$6/'APR and payment'!$L$9,"")</f>
        <v>8189.077850290957</v>
      </c>
      <c r="F263" s="22">
        <f>IF(A263&lt;='APR and payment'!$E$5,F262-D263,"")</f>
        <v>1805522.9240179411</v>
      </c>
    </row>
    <row r="264" spans="1:6" x14ac:dyDescent="0.25">
      <c r="A264" s="15">
        <v>261</v>
      </c>
      <c r="B264" s="17">
        <f>IF(A264&lt;='APR and payment'!$E$5,'Remaining debt'!A264,"")</f>
        <v>261</v>
      </c>
      <c r="C264" s="22">
        <f>IF(A264&lt;='APR and payment'!$E$5,'APR and payment'!$E$24,"")</f>
        <v>22461.231674784805</v>
      </c>
      <c r="D264" s="22">
        <f>IF(A264&lt;='APR and payment'!$E$5,C264-E264,"")</f>
        <v>14336.37851670407</v>
      </c>
      <c r="E264" s="22">
        <f>IF(A264&lt;='APR and payment'!$E$5,F263*'APR and payment'!$E$6/'APR and payment'!$L$9,"")</f>
        <v>8124.8531580807348</v>
      </c>
      <c r="F264" s="22">
        <f>IF(A264&lt;='APR and payment'!$E$5,F263-D264,"")</f>
        <v>1791186.545501237</v>
      </c>
    </row>
    <row r="265" spans="1:6" x14ac:dyDescent="0.25">
      <c r="A265" s="15">
        <v>262</v>
      </c>
      <c r="B265" s="17">
        <f>IF(A265&lt;='APR and payment'!$E$5,'Remaining debt'!A265,"")</f>
        <v>262</v>
      </c>
      <c r="C265" s="22">
        <f>IF(A265&lt;='APR and payment'!$E$5,'APR and payment'!$E$24,"")</f>
        <v>22461.231674784805</v>
      </c>
      <c r="D265" s="22">
        <f>IF(A265&lt;='APR and payment'!$E$5,C265-E265,"")</f>
        <v>14400.89222002924</v>
      </c>
      <c r="E265" s="22">
        <f>IF(A265&lt;='APR and payment'!$E$5,F264*'APR and payment'!$E$6/'APR and payment'!$L$9,"")</f>
        <v>8060.3394547555663</v>
      </c>
      <c r="F265" s="22">
        <f>IF(A265&lt;='APR and payment'!$E$5,F264-D265,"")</f>
        <v>1776785.6532812079</v>
      </c>
    </row>
    <row r="266" spans="1:6" x14ac:dyDescent="0.25">
      <c r="A266" s="15">
        <v>263</v>
      </c>
      <c r="B266" s="17">
        <f>IF(A266&lt;='APR and payment'!$E$5,'Remaining debt'!A266,"")</f>
        <v>263</v>
      </c>
      <c r="C266" s="22">
        <f>IF(A266&lt;='APR and payment'!$E$5,'APR and payment'!$E$24,"")</f>
        <v>22461.231674784805</v>
      </c>
      <c r="D266" s="22">
        <f>IF(A266&lt;='APR and payment'!$E$5,C266-E266,"")</f>
        <v>14465.696235019372</v>
      </c>
      <c r="E266" s="22">
        <f>IF(A266&lt;='APR and payment'!$E$5,F265*'APR and payment'!$E$6/'APR and payment'!$L$9,"")</f>
        <v>7995.5354397654346</v>
      </c>
      <c r="F266" s="22">
        <f>IF(A266&lt;='APR and payment'!$E$5,F265-D266,"")</f>
        <v>1762319.9570461884</v>
      </c>
    </row>
    <row r="267" spans="1:6" x14ac:dyDescent="0.25">
      <c r="A267" s="15">
        <v>264</v>
      </c>
      <c r="B267" s="17">
        <f>IF(A267&lt;='APR and payment'!$E$5,'Remaining debt'!A267,"")</f>
        <v>264</v>
      </c>
      <c r="C267" s="22">
        <f>IF(A267&lt;='APR and payment'!$E$5,'APR and payment'!$E$24,"")</f>
        <v>22461.231674784805</v>
      </c>
      <c r="D267" s="22">
        <f>IF(A267&lt;='APR and payment'!$E$5,C267-E267,"")</f>
        <v>14530.791868076958</v>
      </c>
      <c r="E267" s="22">
        <f>IF(A267&lt;='APR and payment'!$E$5,F266*'APR and payment'!$E$6/'APR and payment'!$L$9,"")</f>
        <v>7930.4398067078473</v>
      </c>
      <c r="F267" s="22">
        <f>IF(A267&lt;='APR and payment'!$E$5,F266-D267,"")</f>
        <v>1747789.1651781115</v>
      </c>
    </row>
    <row r="268" spans="1:6" x14ac:dyDescent="0.25">
      <c r="A268" s="15">
        <v>265</v>
      </c>
      <c r="B268" s="17">
        <f>IF(A268&lt;='APR and payment'!$E$5,'Remaining debt'!A268,"")</f>
        <v>265</v>
      </c>
      <c r="C268" s="22">
        <f>IF(A268&lt;='APR and payment'!$E$5,'APR and payment'!$E$24,"")</f>
        <v>22461.231674784805</v>
      </c>
      <c r="D268" s="22">
        <f>IF(A268&lt;='APR and payment'!$E$5,C268-E268,"")</f>
        <v>14596.180431483303</v>
      </c>
      <c r="E268" s="22">
        <f>IF(A268&lt;='APR and payment'!$E$5,F267*'APR and payment'!$E$6/'APR and payment'!$L$9,"")</f>
        <v>7865.0512433015019</v>
      </c>
      <c r="F268" s="22">
        <f>IF(A268&lt;='APR and payment'!$E$5,F267-D268,"")</f>
        <v>1733192.9847466282</v>
      </c>
    </row>
    <row r="269" spans="1:6" x14ac:dyDescent="0.25">
      <c r="A269" s="15">
        <v>266</v>
      </c>
      <c r="B269" s="17">
        <f>IF(A269&lt;='APR and payment'!$E$5,'Remaining debt'!A269,"")</f>
        <v>266</v>
      </c>
      <c r="C269" s="22">
        <f>IF(A269&lt;='APR and payment'!$E$5,'APR and payment'!$E$24,"")</f>
        <v>22461.231674784805</v>
      </c>
      <c r="D269" s="22">
        <f>IF(A269&lt;='APR and payment'!$E$5,C269-E269,"")</f>
        <v>14661.863243424978</v>
      </c>
      <c r="E269" s="22">
        <f>IF(A269&lt;='APR and payment'!$E$5,F268*'APR and payment'!$E$6/'APR and payment'!$L$9,"")</f>
        <v>7799.3684313598269</v>
      </c>
      <c r="F269" s="22">
        <f>IF(A269&lt;='APR and payment'!$E$5,F268-D269,"")</f>
        <v>1718531.1215032032</v>
      </c>
    </row>
    <row r="270" spans="1:6" x14ac:dyDescent="0.25">
      <c r="A270" s="15">
        <v>267</v>
      </c>
      <c r="B270" s="17">
        <f>IF(A270&lt;='APR and payment'!$E$5,'Remaining debt'!A270,"")</f>
        <v>267</v>
      </c>
      <c r="C270" s="22">
        <f>IF(A270&lt;='APR and payment'!$E$5,'APR and payment'!$E$24,"")</f>
        <v>22461.231674784805</v>
      </c>
      <c r="D270" s="22">
        <f>IF(A270&lt;='APR and payment'!$E$5,C270-E270,"")</f>
        <v>14727.841628020393</v>
      </c>
      <c r="E270" s="22">
        <f>IF(A270&lt;='APR and payment'!$E$5,F269*'APR and payment'!$E$6/'APR and payment'!$L$9,"")</f>
        <v>7733.3900467644135</v>
      </c>
      <c r="F270" s="22">
        <f>IF(A270&lt;='APR and payment'!$E$5,F269-D270,"")</f>
        <v>1703803.2798751828</v>
      </c>
    </row>
    <row r="271" spans="1:6" x14ac:dyDescent="0.25">
      <c r="A271" s="15">
        <v>268</v>
      </c>
      <c r="B271" s="17">
        <f>IF(A271&lt;='APR and payment'!$E$5,'Remaining debt'!A271,"")</f>
        <v>268</v>
      </c>
      <c r="C271" s="22">
        <f>IF(A271&lt;='APR and payment'!$E$5,'APR and payment'!$E$24,"")</f>
        <v>22461.231674784805</v>
      </c>
      <c r="D271" s="22">
        <f>IF(A271&lt;='APR and payment'!$E$5,C271-E271,"")</f>
        <v>14794.116915346483</v>
      </c>
      <c r="E271" s="22">
        <f>IF(A271&lt;='APR and payment'!$E$5,F270*'APR and payment'!$E$6/'APR and payment'!$L$9,"")</f>
        <v>7667.1147594383219</v>
      </c>
      <c r="F271" s="22">
        <f>IF(A271&lt;='APR and payment'!$E$5,F270-D271,"")</f>
        <v>1689009.1629598362</v>
      </c>
    </row>
    <row r="272" spans="1:6" x14ac:dyDescent="0.25">
      <c r="A272" s="15">
        <v>269</v>
      </c>
      <c r="B272" s="17">
        <f>IF(A272&lt;='APR and payment'!$E$5,'Remaining debt'!A272,"")</f>
        <v>269</v>
      </c>
      <c r="C272" s="22">
        <f>IF(A272&lt;='APR and payment'!$E$5,'APR and payment'!$E$24,"")</f>
        <v>22461.231674784805</v>
      </c>
      <c r="D272" s="22">
        <f>IF(A272&lt;='APR and payment'!$E$5,C272-E272,"")</f>
        <v>14860.690441465544</v>
      </c>
      <c r="E272" s="22">
        <f>IF(A272&lt;='APR and payment'!$E$5,F271*'APR and payment'!$E$6/'APR and payment'!$L$9,"")</f>
        <v>7600.5412333192626</v>
      </c>
      <c r="F272" s="22">
        <f>IF(A272&lt;='APR and payment'!$E$5,F271-D272,"")</f>
        <v>1674148.4725183707</v>
      </c>
    </row>
    <row r="273" spans="1:6" x14ac:dyDescent="0.25">
      <c r="A273" s="15">
        <v>270</v>
      </c>
      <c r="B273" s="17">
        <f>IF(A273&lt;='APR and payment'!$E$5,'Remaining debt'!A273,"")</f>
        <v>270</v>
      </c>
      <c r="C273" s="22">
        <f>IF(A273&lt;='APR and payment'!$E$5,'APR and payment'!$E$24,"")</f>
        <v>22461.231674784805</v>
      </c>
      <c r="D273" s="22">
        <f>IF(A273&lt;='APR and payment'!$E$5,C273-E273,"")</f>
        <v>14927.563548452137</v>
      </c>
      <c r="E273" s="22">
        <f>IF(A273&lt;='APR and payment'!$E$5,F272*'APR and payment'!$E$6/'APR and payment'!$L$9,"")</f>
        <v>7533.6681263326682</v>
      </c>
      <c r="F273" s="22">
        <f>IF(A273&lt;='APR and payment'!$E$5,F272-D273,"")</f>
        <v>1659220.9089699185</v>
      </c>
    </row>
    <row r="274" spans="1:6" x14ac:dyDescent="0.25">
      <c r="A274" s="15">
        <v>271</v>
      </c>
      <c r="B274" s="17">
        <f>IF(A274&lt;='APR and payment'!$E$5,'Remaining debt'!A274,"")</f>
        <v>271</v>
      </c>
      <c r="C274" s="22">
        <f>IF(A274&lt;='APR and payment'!$E$5,'APR and payment'!$E$24,"")</f>
        <v>22461.231674784805</v>
      </c>
      <c r="D274" s="22">
        <f>IF(A274&lt;='APR and payment'!$E$5,C274-E274,"")</f>
        <v>14994.737584420171</v>
      </c>
      <c r="E274" s="22">
        <f>IF(A274&lt;='APR and payment'!$E$5,F273*'APR and payment'!$E$6/'APR and payment'!$L$9,"")</f>
        <v>7466.4940903646338</v>
      </c>
      <c r="F274" s="22">
        <f>IF(A274&lt;='APR and payment'!$E$5,F273-D274,"")</f>
        <v>1644226.1713854983</v>
      </c>
    </row>
    <row r="275" spans="1:6" x14ac:dyDescent="0.25">
      <c r="A275" s="15">
        <v>272</v>
      </c>
      <c r="B275" s="17">
        <f>IF(A275&lt;='APR and payment'!$E$5,'Remaining debt'!A275,"")</f>
        <v>272</v>
      </c>
      <c r="C275" s="22">
        <f>IF(A275&lt;='APR and payment'!$E$5,'APR and payment'!$E$24,"")</f>
        <v>22461.231674784805</v>
      </c>
      <c r="D275" s="22">
        <f>IF(A275&lt;='APR and payment'!$E$5,C275-E275,"")</f>
        <v>15062.213903550062</v>
      </c>
      <c r="E275" s="22">
        <f>IF(A275&lt;='APR and payment'!$E$5,F274*'APR and payment'!$E$6/'APR and payment'!$L$9,"")</f>
        <v>7399.0177712347422</v>
      </c>
      <c r="F275" s="22">
        <f>IF(A275&lt;='APR and payment'!$E$5,F274-D275,"")</f>
        <v>1629163.9574819482</v>
      </c>
    </row>
    <row r="276" spans="1:6" x14ac:dyDescent="0.25">
      <c r="A276" s="15">
        <v>273</v>
      </c>
      <c r="B276" s="17">
        <f>IF(A276&lt;='APR and payment'!$E$5,'Remaining debt'!A276,"")</f>
        <v>273</v>
      </c>
      <c r="C276" s="22">
        <f>IF(A276&lt;='APR and payment'!$E$5,'APR and payment'!$E$24,"")</f>
        <v>22461.231674784805</v>
      </c>
      <c r="D276" s="22">
        <f>IF(A276&lt;='APR and payment'!$E$5,C276-E276,"")</f>
        <v>15129.993866116038</v>
      </c>
      <c r="E276" s="22">
        <f>IF(A276&lt;='APR and payment'!$E$5,F275*'APR and payment'!$E$6/'APR and payment'!$L$9,"")</f>
        <v>7331.2378086687668</v>
      </c>
      <c r="F276" s="22">
        <f>IF(A276&lt;='APR and payment'!$E$5,F275-D276,"")</f>
        <v>1614033.9636158322</v>
      </c>
    </row>
    <row r="277" spans="1:6" x14ac:dyDescent="0.25">
      <c r="A277" s="15">
        <v>274</v>
      </c>
      <c r="B277" s="17">
        <f>IF(A277&lt;='APR and payment'!$E$5,'Remaining debt'!A277,"")</f>
        <v>274</v>
      </c>
      <c r="C277" s="22">
        <f>IF(A277&lt;='APR and payment'!$E$5,'APR and payment'!$E$24,"")</f>
        <v>22461.231674784805</v>
      </c>
      <c r="D277" s="22">
        <f>IF(A277&lt;='APR and payment'!$E$5,C277-E277,"")</f>
        <v>15198.07883851356</v>
      </c>
      <c r="E277" s="22">
        <f>IF(A277&lt;='APR and payment'!$E$5,F276*'APR and payment'!$E$6/'APR and payment'!$L$9,"")</f>
        <v>7263.1528362712452</v>
      </c>
      <c r="F277" s="22">
        <f>IF(A277&lt;='APR and payment'!$E$5,F276-D277,"")</f>
        <v>1598835.8847773187</v>
      </c>
    </row>
    <row r="278" spans="1:6" x14ac:dyDescent="0.25">
      <c r="A278" s="15">
        <v>275</v>
      </c>
      <c r="B278" s="17">
        <f>IF(A278&lt;='APR and payment'!$E$5,'Remaining debt'!A278,"")</f>
        <v>275</v>
      </c>
      <c r="C278" s="22">
        <f>IF(A278&lt;='APR and payment'!$E$5,'APR and payment'!$E$24,"")</f>
        <v>22461.231674784805</v>
      </c>
      <c r="D278" s="22">
        <f>IF(A278&lt;='APR and payment'!$E$5,C278-E278,"")</f>
        <v>15266.47019328687</v>
      </c>
      <c r="E278" s="22">
        <f>IF(A278&lt;='APR and payment'!$E$5,F277*'APR and payment'!$E$6/'APR and payment'!$L$9,"")</f>
        <v>7194.7614814979343</v>
      </c>
      <c r="F278" s="22">
        <f>IF(A278&lt;='APR and payment'!$E$5,F277-D278,"")</f>
        <v>1583569.4145840318</v>
      </c>
    </row>
    <row r="279" spans="1:6" x14ac:dyDescent="0.25">
      <c r="A279" s="15">
        <v>276</v>
      </c>
      <c r="B279" s="17">
        <f>IF(A279&lt;='APR and payment'!$E$5,'Remaining debt'!A279,"")</f>
        <v>276</v>
      </c>
      <c r="C279" s="22">
        <f>IF(A279&lt;='APR and payment'!$E$5,'APR and payment'!$E$24,"")</f>
        <v>22461.231674784805</v>
      </c>
      <c r="D279" s="22">
        <f>IF(A279&lt;='APR and payment'!$E$5,C279-E279,"")</f>
        <v>15335.169309156663</v>
      </c>
      <c r="E279" s="22">
        <f>IF(A279&lt;='APR and payment'!$E$5,F278*'APR and payment'!$E$6/'APR and payment'!$L$9,"")</f>
        <v>7126.0623656281432</v>
      </c>
      <c r="F279" s="22">
        <f>IF(A279&lt;='APR and payment'!$E$5,F278-D279,"")</f>
        <v>1568234.2452748751</v>
      </c>
    </row>
    <row r="280" spans="1:6" x14ac:dyDescent="0.25">
      <c r="A280" s="15">
        <v>277</v>
      </c>
      <c r="B280" s="17">
        <f>IF(A280&lt;='APR and payment'!$E$5,'Remaining debt'!A280,"")</f>
        <v>277</v>
      </c>
      <c r="C280" s="22">
        <f>IF(A280&lt;='APR and payment'!$E$5,'APR and payment'!$E$24,"")</f>
        <v>22461.231674784805</v>
      </c>
      <c r="D280" s="22">
        <f>IF(A280&lt;='APR and payment'!$E$5,C280-E280,"")</f>
        <v>15404.177571047869</v>
      </c>
      <c r="E280" s="22">
        <f>IF(A280&lt;='APR and payment'!$E$5,F279*'APR and payment'!$E$6/'APR and payment'!$L$9,"")</f>
        <v>7057.0541037369376</v>
      </c>
      <c r="F280" s="22">
        <f>IF(A280&lt;='APR and payment'!$E$5,F279-D280,"")</f>
        <v>1552830.0677038273</v>
      </c>
    </row>
    <row r="281" spans="1:6" x14ac:dyDescent="0.25">
      <c r="A281" s="15">
        <v>278</v>
      </c>
      <c r="B281" s="17">
        <f>IF(A281&lt;='APR and payment'!$E$5,'Remaining debt'!A281,"")</f>
        <v>278</v>
      </c>
      <c r="C281" s="22">
        <f>IF(A281&lt;='APR and payment'!$E$5,'APR and payment'!$E$24,"")</f>
        <v>22461.231674784805</v>
      </c>
      <c r="D281" s="22">
        <f>IF(A281&lt;='APR and payment'!$E$5,C281-E281,"")</f>
        <v>15473.496370117584</v>
      </c>
      <c r="E281" s="22">
        <f>IF(A281&lt;='APR and payment'!$E$5,F280*'APR and payment'!$E$6/'APR and payment'!$L$9,"")</f>
        <v>6987.7353046672224</v>
      </c>
      <c r="F281" s="22">
        <f>IF(A281&lt;='APR and payment'!$E$5,F280-D281,"")</f>
        <v>1537356.5713337096</v>
      </c>
    </row>
    <row r="282" spans="1:6" x14ac:dyDescent="0.25">
      <c r="A282" s="15">
        <v>279</v>
      </c>
      <c r="B282" s="17">
        <f>IF(A282&lt;='APR and payment'!$E$5,'Remaining debt'!A282,"")</f>
        <v>279</v>
      </c>
      <c r="C282" s="22">
        <f>IF(A282&lt;='APR and payment'!$E$5,'APR and payment'!$E$24,"")</f>
        <v>22461.231674784805</v>
      </c>
      <c r="D282" s="22">
        <f>IF(A282&lt;='APR and payment'!$E$5,C282-E282,"")</f>
        <v>15543.127103783114</v>
      </c>
      <c r="E282" s="22">
        <f>IF(A282&lt;='APR and payment'!$E$5,F281*'APR and payment'!$E$6/'APR and payment'!$L$9,"")</f>
        <v>6918.1045710016924</v>
      </c>
      <c r="F282" s="22">
        <f>IF(A282&lt;='APR and payment'!$E$5,F281-D282,"")</f>
        <v>1521813.4442299264</v>
      </c>
    </row>
    <row r="283" spans="1:6" x14ac:dyDescent="0.25">
      <c r="A283" s="15">
        <v>280</v>
      </c>
      <c r="B283" s="17">
        <f>IF(A283&lt;='APR and payment'!$E$5,'Remaining debt'!A283,"")</f>
        <v>280</v>
      </c>
      <c r="C283" s="22">
        <f>IF(A283&lt;='APR and payment'!$E$5,'APR and payment'!$E$24,"")</f>
        <v>22461.231674784805</v>
      </c>
      <c r="D283" s="22">
        <f>IF(A283&lt;='APR and payment'!$E$5,C283-E283,"")</f>
        <v>15613.071175750138</v>
      </c>
      <c r="E283" s="22">
        <f>IF(A283&lt;='APR and payment'!$E$5,F282*'APR and payment'!$E$6/'APR and payment'!$L$9,"")</f>
        <v>6848.1604990346686</v>
      </c>
      <c r="F283" s="22">
        <f>IF(A283&lt;='APR and payment'!$E$5,F282-D283,"")</f>
        <v>1506200.3730541763</v>
      </c>
    </row>
    <row r="284" spans="1:6" x14ac:dyDescent="0.25">
      <c r="A284" s="15">
        <v>281</v>
      </c>
      <c r="B284" s="17">
        <f>IF(A284&lt;='APR and payment'!$E$5,'Remaining debt'!A284,"")</f>
        <v>281</v>
      </c>
      <c r="C284" s="22">
        <f>IF(A284&lt;='APR and payment'!$E$5,'APR and payment'!$E$24,"")</f>
        <v>22461.231674784805</v>
      </c>
      <c r="D284" s="22">
        <f>IF(A284&lt;='APR and payment'!$E$5,C284-E284,"")</f>
        <v>15683.329996041011</v>
      </c>
      <c r="E284" s="22">
        <f>IF(A284&lt;='APR and payment'!$E$5,F283*'APR and payment'!$E$6/'APR and payment'!$L$9,"")</f>
        <v>6777.901678743794</v>
      </c>
      <c r="F284" s="22">
        <f>IF(A284&lt;='APR and payment'!$E$5,F283-D284,"")</f>
        <v>1490517.0430581353</v>
      </c>
    </row>
    <row r="285" spans="1:6" x14ac:dyDescent="0.25">
      <c r="A285" s="15">
        <v>282</v>
      </c>
      <c r="B285" s="17">
        <f>IF(A285&lt;='APR and payment'!$E$5,'Remaining debt'!A285,"")</f>
        <v>282</v>
      </c>
      <c r="C285" s="22">
        <f>IF(A285&lt;='APR and payment'!$E$5,'APR and payment'!$E$24,"")</f>
        <v>22461.231674784805</v>
      </c>
      <c r="D285" s="22">
        <f>IF(A285&lt;='APR and payment'!$E$5,C285-E285,"")</f>
        <v>15753.904981023195</v>
      </c>
      <c r="E285" s="22">
        <f>IF(A285&lt;='APR and payment'!$E$5,F284*'APR and payment'!$E$6/'APR and payment'!$L$9,"")</f>
        <v>6707.326693761609</v>
      </c>
      <c r="F285" s="22">
        <f>IF(A285&lt;='APR and payment'!$E$5,F284-D285,"")</f>
        <v>1474763.1380771121</v>
      </c>
    </row>
    <row r="286" spans="1:6" x14ac:dyDescent="0.25">
      <c r="A286" s="15">
        <v>283</v>
      </c>
      <c r="B286" s="17">
        <f>IF(A286&lt;='APR and payment'!$E$5,'Remaining debt'!A286,"")</f>
        <v>283</v>
      </c>
      <c r="C286" s="22">
        <f>IF(A286&lt;='APR and payment'!$E$5,'APR and payment'!$E$24,"")</f>
        <v>22461.231674784805</v>
      </c>
      <c r="D286" s="22">
        <f>IF(A286&lt;='APR and payment'!$E$5,C286-E286,"")</f>
        <v>15824.797553437802</v>
      </c>
      <c r="E286" s="22">
        <f>IF(A286&lt;='APR and payment'!$E$5,F285*'APR and payment'!$E$6/'APR and payment'!$L$9,"")</f>
        <v>6636.4341213470043</v>
      </c>
      <c r="F286" s="22">
        <f>IF(A286&lt;='APR and payment'!$E$5,F285-D286,"")</f>
        <v>1458938.3405236744</v>
      </c>
    </row>
    <row r="287" spans="1:6" x14ac:dyDescent="0.25">
      <c r="A287" s="15">
        <v>284</v>
      </c>
      <c r="B287" s="17">
        <f>IF(A287&lt;='APR and payment'!$E$5,'Remaining debt'!A287,"")</f>
        <v>284</v>
      </c>
      <c r="C287" s="22">
        <f>IF(A287&lt;='APR and payment'!$E$5,'APR and payment'!$E$24,"")</f>
        <v>22461.231674784805</v>
      </c>
      <c r="D287" s="22">
        <f>IF(A287&lt;='APR and payment'!$E$5,C287-E287,"")</f>
        <v>15896.009142428269</v>
      </c>
      <c r="E287" s="22">
        <f>IF(A287&lt;='APR and payment'!$E$5,F286*'APR and payment'!$E$6/'APR and payment'!$L$9,"")</f>
        <v>6565.2225323565353</v>
      </c>
      <c r="F287" s="22">
        <f>IF(A287&lt;='APR and payment'!$E$5,F286-D287,"")</f>
        <v>1443042.3313812462</v>
      </c>
    </row>
    <row r="288" spans="1:6" x14ac:dyDescent="0.25">
      <c r="A288" s="15">
        <v>285</v>
      </c>
      <c r="B288" s="17">
        <f>IF(A288&lt;='APR and payment'!$E$5,'Remaining debt'!A288,"")</f>
        <v>285</v>
      </c>
      <c r="C288" s="22">
        <f>IF(A288&lt;='APR and payment'!$E$5,'APR and payment'!$E$24,"")</f>
        <v>22461.231674784805</v>
      </c>
      <c r="D288" s="22">
        <f>IF(A288&lt;='APR and payment'!$E$5,C288-E288,"")</f>
        <v>15967.541183569196</v>
      </c>
      <c r="E288" s="22">
        <f>IF(A288&lt;='APR and payment'!$E$5,F287*'APR and payment'!$E$6/'APR and payment'!$L$9,"")</f>
        <v>6493.6904912156087</v>
      </c>
      <c r="F288" s="22">
        <f>IF(A288&lt;='APR and payment'!$E$5,F287-D288,"")</f>
        <v>1427074.790197677</v>
      </c>
    </row>
    <row r="289" spans="1:6" x14ac:dyDescent="0.25">
      <c r="A289" s="15">
        <v>286</v>
      </c>
      <c r="B289" s="17">
        <f>IF(A289&lt;='APR and payment'!$E$5,'Remaining debt'!A289,"")</f>
        <v>286</v>
      </c>
      <c r="C289" s="22">
        <f>IF(A289&lt;='APR and payment'!$E$5,'APR and payment'!$E$24,"")</f>
        <v>22461.231674784805</v>
      </c>
      <c r="D289" s="22">
        <f>IF(A289&lt;='APR and payment'!$E$5,C289-E289,"")</f>
        <v>16039.39511889526</v>
      </c>
      <c r="E289" s="22">
        <f>IF(A289&lt;='APR and payment'!$E$5,F288*'APR and payment'!$E$6/'APR and payment'!$L$9,"")</f>
        <v>6421.8365558895466</v>
      </c>
      <c r="F289" s="22">
        <f>IF(A289&lt;='APR and payment'!$E$5,F288-D289,"")</f>
        <v>1411035.3950787818</v>
      </c>
    </row>
    <row r="290" spans="1:6" x14ac:dyDescent="0.25">
      <c r="A290" s="15">
        <v>287</v>
      </c>
      <c r="B290" s="17">
        <f>IF(A290&lt;='APR and payment'!$E$5,'Remaining debt'!A290,"")</f>
        <v>287</v>
      </c>
      <c r="C290" s="22">
        <f>IF(A290&lt;='APR and payment'!$E$5,'APR and payment'!$E$24,"")</f>
        <v>22461.231674784805</v>
      </c>
      <c r="D290" s="22">
        <f>IF(A290&lt;='APR and payment'!$E$5,C290-E290,"")</f>
        <v>16111.572396930289</v>
      </c>
      <c r="E290" s="22">
        <f>IF(A290&lt;='APR and payment'!$E$5,F289*'APR and payment'!$E$6/'APR and payment'!$L$9,"")</f>
        <v>6349.6592778545173</v>
      </c>
      <c r="F290" s="22">
        <f>IF(A290&lt;='APR and payment'!$E$5,F289-D290,"")</f>
        <v>1394923.8226818515</v>
      </c>
    </row>
    <row r="291" spans="1:6" x14ac:dyDescent="0.25">
      <c r="A291" s="15">
        <v>288</v>
      </c>
      <c r="B291" s="17">
        <f>IF(A291&lt;='APR and payment'!$E$5,'Remaining debt'!A291,"")</f>
        <v>288</v>
      </c>
      <c r="C291" s="22">
        <f>IF(A291&lt;='APR and payment'!$E$5,'APR and payment'!$E$24,"")</f>
        <v>22461.231674784805</v>
      </c>
      <c r="D291" s="22">
        <f>IF(A291&lt;='APR and payment'!$E$5,C291-E291,"")</f>
        <v>16184.074472716475</v>
      </c>
      <c r="E291" s="22">
        <f>IF(A291&lt;='APR and payment'!$E$5,F290*'APR and payment'!$E$6/'APR and payment'!$L$9,"")</f>
        <v>6277.1572020683316</v>
      </c>
      <c r="F291" s="22">
        <f>IF(A291&lt;='APR and payment'!$E$5,F290-D291,"")</f>
        <v>1378739.7482091349</v>
      </c>
    </row>
    <row r="292" spans="1:6" x14ac:dyDescent="0.25">
      <c r="A292" s="15">
        <v>289</v>
      </c>
      <c r="B292" s="17">
        <f>IF(A292&lt;='APR and payment'!$E$5,'Remaining debt'!A292,"")</f>
        <v>289</v>
      </c>
      <c r="C292" s="22">
        <f>IF(A292&lt;='APR and payment'!$E$5,'APR and payment'!$E$24,"")</f>
        <v>22461.231674784805</v>
      </c>
      <c r="D292" s="22">
        <f>IF(A292&lt;='APR and payment'!$E$5,C292-E292,"")</f>
        <v>16256.902807843697</v>
      </c>
      <c r="E292" s="22">
        <f>IF(A292&lt;='APR and payment'!$E$5,F291*'APR and payment'!$E$6/'APR and payment'!$L$9,"")</f>
        <v>6204.3288669411077</v>
      </c>
      <c r="F292" s="22">
        <f>IF(A292&lt;='APR and payment'!$E$5,F291-D292,"")</f>
        <v>1362482.8454012913</v>
      </c>
    </row>
    <row r="293" spans="1:6" x14ac:dyDescent="0.25">
      <c r="A293" s="15">
        <v>290</v>
      </c>
      <c r="B293" s="17">
        <f>IF(A293&lt;='APR and payment'!$E$5,'Remaining debt'!A293,"")</f>
        <v>290</v>
      </c>
      <c r="C293" s="22">
        <f>IF(A293&lt;='APR and payment'!$E$5,'APR and payment'!$E$24,"")</f>
        <v>22461.231674784805</v>
      </c>
      <c r="D293" s="22">
        <f>IF(A293&lt;='APR and payment'!$E$5,C293-E293,"")</f>
        <v>16330.058870478995</v>
      </c>
      <c r="E293" s="22">
        <f>IF(A293&lt;='APR and payment'!$E$5,F292*'APR and payment'!$E$6/'APR and payment'!$L$9,"")</f>
        <v>6131.1728043058101</v>
      </c>
      <c r="F293" s="22">
        <f>IF(A293&lt;='APR and payment'!$E$5,F292-D293,"")</f>
        <v>1346152.7865308123</v>
      </c>
    </row>
    <row r="294" spans="1:6" x14ac:dyDescent="0.25">
      <c r="A294" s="15">
        <v>291</v>
      </c>
      <c r="B294" s="17">
        <f>IF(A294&lt;='APR and payment'!$E$5,'Remaining debt'!A294,"")</f>
        <v>291</v>
      </c>
      <c r="C294" s="22">
        <f>IF(A294&lt;='APR and payment'!$E$5,'APR and payment'!$E$24,"")</f>
        <v>22461.231674784805</v>
      </c>
      <c r="D294" s="22">
        <f>IF(A294&lt;='APR and payment'!$E$5,C294-E294,"")</f>
        <v>16403.544135396151</v>
      </c>
      <c r="E294" s="22">
        <f>IF(A294&lt;='APR and payment'!$E$5,F293*'APR and payment'!$E$6/'APR and payment'!$L$9,"")</f>
        <v>6057.6875393886548</v>
      </c>
      <c r="F294" s="22">
        <f>IF(A294&lt;='APR and payment'!$E$5,F293-D294,"")</f>
        <v>1329749.2423954161</v>
      </c>
    </row>
    <row r="295" spans="1:6" x14ac:dyDescent="0.25">
      <c r="A295" s="15">
        <v>292</v>
      </c>
      <c r="B295" s="17">
        <f>IF(A295&lt;='APR and payment'!$E$5,'Remaining debt'!A295,"")</f>
        <v>292</v>
      </c>
      <c r="C295" s="22">
        <f>IF(A295&lt;='APR and payment'!$E$5,'APR and payment'!$E$24,"")</f>
        <v>22461.231674784805</v>
      </c>
      <c r="D295" s="22">
        <f>IF(A295&lt;='APR and payment'!$E$5,C295-E295,"")</f>
        <v>16477.360084005431</v>
      </c>
      <c r="E295" s="22">
        <f>IF(A295&lt;='APR and payment'!$E$5,F294*'APR and payment'!$E$6/'APR and payment'!$L$9,"")</f>
        <v>5983.871590779373</v>
      </c>
      <c r="F295" s="22">
        <f>IF(A295&lt;='APR and payment'!$E$5,F294-D295,"")</f>
        <v>1313271.8823114107</v>
      </c>
    </row>
    <row r="296" spans="1:6" x14ac:dyDescent="0.25">
      <c r="A296" s="15">
        <v>293</v>
      </c>
      <c r="B296" s="17">
        <f>IF(A296&lt;='APR and payment'!$E$5,'Remaining debt'!A296,"")</f>
        <v>293</v>
      </c>
      <c r="C296" s="22">
        <f>IF(A296&lt;='APR and payment'!$E$5,'APR and payment'!$E$24,"")</f>
        <v>22461.231674784805</v>
      </c>
      <c r="D296" s="22">
        <f>IF(A296&lt;='APR and payment'!$E$5,C296-E296,"")</f>
        <v>16551.508204383455</v>
      </c>
      <c r="E296" s="22">
        <f>IF(A296&lt;='APR and payment'!$E$5,F295*'APR and payment'!$E$6/'APR and payment'!$L$9,"")</f>
        <v>5909.723470401349</v>
      </c>
      <c r="F296" s="22">
        <f>IF(A296&lt;='APR and payment'!$E$5,F295-D296,"")</f>
        <v>1296720.3741070272</v>
      </c>
    </row>
    <row r="297" spans="1:6" x14ac:dyDescent="0.25">
      <c r="A297" s="15">
        <v>294</v>
      </c>
      <c r="B297" s="17">
        <f>IF(A297&lt;='APR and payment'!$E$5,'Remaining debt'!A297,"")</f>
        <v>294</v>
      </c>
      <c r="C297" s="22">
        <f>IF(A297&lt;='APR and payment'!$E$5,'APR and payment'!$E$24,"")</f>
        <v>22461.231674784805</v>
      </c>
      <c r="D297" s="22">
        <f>IF(A297&lt;='APR and payment'!$E$5,C297-E297,"")</f>
        <v>16625.989991303184</v>
      </c>
      <c r="E297" s="22">
        <f>IF(A297&lt;='APR and payment'!$E$5,F296*'APR and payment'!$E$6/'APR and payment'!$L$9,"")</f>
        <v>5835.2416834816222</v>
      </c>
      <c r="F297" s="22">
        <f>IF(A297&lt;='APR and payment'!$E$5,F296-D297,"")</f>
        <v>1280094.3841157239</v>
      </c>
    </row>
    <row r="298" spans="1:6" x14ac:dyDescent="0.25">
      <c r="A298" s="15">
        <v>295</v>
      </c>
      <c r="B298" s="17">
        <f>IF(A298&lt;='APR and payment'!$E$5,'Remaining debt'!A298,"")</f>
        <v>295</v>
      </c>
      <c r="C298" s="22">
        <f>IF(A298&lt;='APR and payment'!$E$5,'APR and payment'!$E$24,"")</f>
        <v>22461.231674784805</v>
      </c>
      <c r="D298" s="22">
        <f>IF(A298&lt;='APR and payment'!$E$5,C298-E298,"")</f>
        <v>16700.806946264049</v>
      </c>
      <c r="E298" s="22">
        <f>IF(A298&lt;='APR and payment'!$E$5,F297*'APR and payment'!$E$6/'APR and payment'!$L$9,"")</f>
        <v>5760.4247285207575</v>
      </c>
      <c r="F298" s="22">
        <f>IF(A298&lt;='APR and payment'!$E$5,F297-D298,"")</f>
        <v>1263393.5771694598</v>
      </c>
    </row>
    <row r="299" spans="1:6" x14ac:dyDescent="0.25">
      <c r="A299" s="15">
        <v>296</v>
      </c>
      <c r="B299" s="17">
        <f>IF(A299&lt;='APR and payment'!$E$5,'Remaining debt'!A299,"")</f>
        <v>296</v>
      </c>
      <c r="C299" s="22">
        <f>IF(A299&lt;='APR and payment'!$E$5,'APR and payment'!$E$24,"")</f>
        <v>22461.231674784805</v>
      </c>
      <c r="D299" s="22">
        <f>IF(A299&lt;='APR and payment'!$E$5,C299-E299,"")</f>
        <v>16775.960577522237</v>
      </c>
      <c r="E299" s="22">
        <f>IF(A299&lt;='APR and payment'!$E$5,F298*'APR and payment'!$E$6/'APR and payment'!$L$9,"")</f>
        <v>5685.2710972625691</v>
      </c>
      <c r="F299" s="22">
        <f>IF(A299&lt;='APR and payment'!$E$5,F298-D299,"")</f>
        <v>1246617.6165919376</v>
      </c>
    </row>
    <row r="300" spans="1:6" x14ac:dyDescent="0.25">
      <c r="A300" s="15">
        <v>297</v>
      </c>
      <c r="B300" s="17">
        <f>IF(A300&lt;='APR and payment'!$E$5,'Remaining debt'!A300,"")</f>
        <v>297</v>
      </c>
      <c r="C300" s="22">
        <f>IF(A300&lt;='APR and payment'!$E$5,'APR and payment'!$E$24,"")</f>
        <v>22461.231674784805</v>
      </c>
      <c r="D300" s="22">
        <f>IF(A300&lt;='APR and payment'!$E$5,C300-E300,"")</f>
        <v>16851.452400121085</v>
      </c>
      <c r="E300" s="22">
        <f>IF(A300&lt;='APR and payment'!$E$5,F299*'APR and payment'!$E$6/'APR and payment'!$L$9,"")</f>
        <v>5609.7792746637197</v>
      </c>
      <c r="F300" s="22">
        <f>IF(A300&lt;='APR and payment'!$E$5,F299-D300,"")</f>
        <v>1229766.1641918165</v>
      </c>
    </row>
    <row r="301" spans="1:6" x14ac:dyDescent="0.25">
      <c r="A301" s="15">
        <v>298</v>
      </c>
      <c r="B301" s="17">
        <f>IF(A301&lt;='APR and payment'!$E$5,'Remaining debt'!A301,"")</f>
        <v>298</v>
      </c>
      <c r="C301" s="22">
        <f>IF(A301&lt;='APR and payment'!$E$5,'APR and payment'!$E$24,"")</f>
        <v>22461.231674784805</v>
      </c>
      <c r="D301" s="22">
        <f>IF(A301&lt;='APR and payment'!$E$5,C301-E301,"")</f>
        <v>16927.28393592163</v>
      </c>
      <c r="E301" s="22">
        <f>IF(A301&lt;='APR and payment'!$E$5,F300*'APR and payment'!$E$6/'APR and payment'!$L$9,"")</f>
        <v>5533.947738863174</v>
      </c>
      <c r="F301" s="22">
        <f>IF(A301&lt;='APR and payment'!$E$5,F300-D301,"")</f>
        <v>1212838.8802558947</v>
      </c>
    </row>
    <row r="302" spans="1:6" x14ac:dyDescent="0.25">
      <c r="A302" s="15">
        <v>299</v>
      </c>
      <c r="B302" s="17">
        <f>IF(A302&lt;='APR and payment'!$E$5,'Remaining debt'!A302,"")</f>
        <v>299</v>
      </c>
      <c r="C302" s="22">
        <f>IF(A302&lt;='APR and payment'!$E$5,'APR and payment'!$E$24,"")</f>
        <v>22461.231674784805</v>
      </c>
      <c r="D302" s="22">
        <f>IF(A302&lt;='APR and payment'!$E$5,C302-E302,"")</f>
        <v>17003.456713633277</v>
      </c>
      <c r="E302" s="22">
        <f>IF(A302&lt;='APR and payment'!$E$5,F301*'APR and payment'!$E$6/'APR and payment'!$L$9,"")</f>
        <v>5457.7749611515264</v>
      </c>
      <c r="F302" s="22">
        <f>IF(A302&lt;='APR and payment'!$E$5,F301-D302,"")</f>
        <v>1195835.4235422614</v>
      </c>
    </row>
    <row r="303" spans="1:6" x14ac:dyDescent="0.25">
      <c r="A303" s="15">
        <v>300</v>
      </c>
      <c r="B303" s="17">
        <f>IF(A303&lt;='APR and payment'!$E$5,'Remaining debt'!A303,"")</f>
        <v>300</v>
      </c>
      <c r="C303" s="22">
        <f>IF(A303&lt;='APR and payment'!$E$5,'APR and payment'!$E$24,"")</f>
        <v>22461.231674784805</v>
      </c>
      <c r="D303" s="22">
        <f>IF(A303&lt;='APR and payment'!$E$5,C303-E303,"")</f>
        <v>17079.972268844627</v>
      </c>
      <c r="E303" s="22">
        <f>IF(A303&lt;='APR and payment'!$E$5,F302*'APR and payment'!$E$6/'APR and payment'!$L$9,"")</f>
        <v>5381.2594059401763</v>
      </c>
      <c r="F303" s="22">
        <f>IF(A303&lt;='APR and payment'!$E$5,F302-D303,"")</f>
        <v>1178755.4512734166</v>
      </c>
    </row>
    <row r="304" spans="1:6" x14ac:dyDescent="0.25">
      <c r="A304" s="15">
        <v>301</v>
      </c>
      <c r="B304" s="17">
        <f>IF(A304&lt;='APR and payment'!$E$5,'Remaining debt'!A304,"")</f>
        <v>301</v>
      </c>
      <c r="C304" s="22">
        <f>IF(A304&lt;='APR and payment'!$E$5,'APR and payment'!$E$24,"")</f>
        <v>22461.231674784805</v>
      </c>
      <c r="D304" s="22">
        <f>IF(A304&lt;='APR and payment'!$E$5,C304-E304,"")</f>
        <v>17156.832144054431</v>
      </c>
      <c r="E304" s="22">
        <f>IF(A304&lt;='APR and payment'!$E$5,F303*'APR and payment'!$E$6/'APR and payment'!$L$9,"")</f>
        <v>5304.3995307303749</v>
      </c>
      <c r="F304" s="22">
        <f>IF(A304&lt;='APR and payment'!$E$5,F303-D304,"")</f>
        <v>1161598.6191293623</v>
      </c>
    </row>
    <row r="305" spans="1:6" x14ac:dyDescent="0.25">
      <c r="A305" s="15">
        <v>302</v>
      </c>
      <c r="B305" s="17">
        <f>IF(A305&lt;='APR and payment'!$E$5,'Remaining debt'!A305,"")</f>
        <v>302</v>
      </c>
      <c r="C305" s="22">
        <f>IF(A305&lt;='APR and payment'!$E$5,'APR and payment'!$E$24,"")</f>
        <v>22461.231674784805</v>
      </c>
      <c r="D305" s="22">
        <f>IF(A305&lt;='APR and payment'!$E$5,C305-E305,"")</f>
        <v>17234.037888702675</v>
      </c>
      <c r="E305" s="22">
        <f>IF(A305&lt;='APR and payment'!$E$5,F304*'APR and payment'!$E$6/'APR and payment'!$L$9,"")</f>
        <v>5227.1937860821299</v>
      </c>
      <c r="F305" s="22">
        <f>IF(A305&lt;='APR and payment'!$E$5,F304-D305,"")</f>
        <v>1144364.5812406596</v>
      </c>
    </row>
    <row r="306" spans="1:6" x14ac:dyDescent="0.25">
      <c r="A306" s="15">
        <v>303</v>
      </c>
      <c r="B306" s="17">
        <f>IF(A306&lt;='APR and payment'!$E$5,'Remaining debt'!A306,"")</f>
        <v>303</v>
      </c>
      <c r="C306" s="22">
        <f>IF(A306&lt;='APR and payment'!$E$5,'APR and payment'!$E$24,"")</f>
        <v>22461.231674784805</v>
      </c>
      <c r="D306" s="22">
        <f>IF(A306&lt;='APR and payment'!$E$5,C306-E306,"")</f>
        <v>17311.591059201837</v>
      </c>
      <c r="E306" s="22">
        <f>IF(A306&lt;='APR and payment'!$E$5,F305*'APR and payment'!$E$6/'APR and payment'!$L$9,"")</f>
        <v>5149.6406155829682</v>
      </c>
      <c r="F306" s="22">
        <f>IF(A306&lt;='APR and payment'!$E$5,F305-D306,"")</f>
        <v>1127052.9901814577</v>
      </c>
    </row>
    <row r="307" spans="1:6" x14ac:dyDescent="0.25">
      <c r="A307" s="15">
        <v>304</v>
      </c>
      <c r="B307" s="17">
        <f>IF(A307&lt;='APR and payment'!$E$5,'Remaining debt'!A307,"")</f>
        <v>304</v>
      </c>
      <c r="C307" s="22">
        <f>IF(A307&lt;='APR and payment'!$E$5,'APR and payment'!$E$24,"")</f>
        <v>22461.231674784805</v>
      </c>
      <c r="D307" s="22">
        <f>IF(A307&lt;='APR and payment'!$E$5,C307-E307,"")</f>
        <v>17389.493218968244</v>
      </c>
      <c r="E307" s="22">
        <f>IF(A307&lt;='APR and payment'!$E$5,F306*'APR and payment'!$E$6/'APR and payment'!$L$9,"")</f>
        <v>5071.7384558165595</v>
      </c>
      <c r="F307" s="22">
        <f>IF(A307&lt;='APR and payment'!$E$5,F306-D307,"")</f>
        <v>1109663.4969624896</v>
      </c>
    </row>
    <row r="308" spans="1:6" x14ac:dyDescent="0.25">
      <c r="A308" s="15">
        <v>305</v>
      </c>
      <c r="B308" s="17">
        <f>IF(A308&lt;='APR and payment'!$E$5,'Remaining debt'!A308,"")</f>
        <v>305</v>
      </c>
      <c r="C308" s="22">
        <f>IF(A308&lt;='APR and payment'!$E$5,'APR and payment'!$E$24,"")</f>
        <v>22461.231674784805</v>
      </c>
      <c r="D308" s="22">
        <f>IF(A308&lt;='APR and payment'!$E$5,C308-E308,"")</f>
        <v>17467.745938453601</v>
      </c>
      <c r="E308" s="22">
        <f>IF(A308&lt;='APR and payment'!$E$5,F307*'APR and payment'!$E$6/'APR and payment'!$L$9,"")</f>
        <v>4993.485736331203</v>
      </c>
      <c r="F308" s="22">
        <f>IF(A308&lt;='APR and payment'!$E$5,F307-D308,"")</f>
        <v>1092195.751024036</v>
      </c>
    </row>
    <row r="309" spans="1:6" x14ac:dyDescent="0.25">
      <c r="A309" s="15">
        <v>306</v>
      </c>
      <c r="B309" s="17">
        <f>IF(A309&lt;='APR and payment'!$E$5,'Remaining debt'!A309,"")</f>
        <v>306</v>
      </c>
      <c r="C309" s="22">
        <f>IF(A309&lt;='APR and payment'!$E$5,'APR and payment'!$E$24,"")</f>
        <v>22461.231674784805</v>
      </c>
      <c r="D309" s="22">
        <f>IF(A309&lt;='APR and payment'!$E$5,C309-E309,"")</f>
        <v>17546.350795176644</v>
      </c>
      <c r="E309" s="22">
        <f>IF(A309&lt;='APR and payment'!$E$5,F308*'APR and payment'!$E$6/'APR and payment'!$L$9,"")</f>
        <v>4914.8808796081621</v>
      </c>
      <c r="F309" s="22">
        <f>IF(A309&lt;='APR and payment'!$E$5,F308-D309,"")</f>
        <v>1074649.4002288594</v>
      </c>
    </row>
    <row r="310" spans="1:6" x14ac:dyDescent="0.25">
      <c r="A310" s="15">
        <v>307</v>
      </c>
      <c r="B310" s="17">
        <f>IF(A310&lt;='APR and payment'!$E$5,'Remaining debt'!A310,"")</f>
        <v>307</v>
      </c>
      <c r="C310" s="22">
        <f>IF(A310&lt;='APR and payment'!$E$5,'APR and payment'!$E$24,"")</f>
        <v>22461.231674784805</v>
      </c>
      <c r="D310" s="22">
        <f>IF(A310&lt;='APR and payment'!$E$5,C310-E310,"")</f>
        <v>17625.309373754939</v>
      </c>
      <c r="E310" s="22">
        <f>IF(A310&lt;='APR and payment'!$E$5,F309*'APR and payment'!$E$6/'APR and payment'!$L$9,"")</f>
        <v>4835.9223010298674</v>
      </c>
      <c r="F310" s="22">
        <f>IF(A310&lt;='APR and payment'!$E$5,F309-D310,"")</f>
        <v>1057024.0908551044</v>
      </c>
    </row>
    <row r="311" spans="1:6" x14ac:dyDescent="0.25">
      <c r="A311" s="15">
        <v>308</v>
      </c>
      <c r="B311" s="17">
        <f>IF(A311&lt;='APR and payment'!$E$5,'Remaining debt'!A311,"")</f>
        <v>308</v>
      </c>
      <c r="C311" s="22">
        <f>IF(A311&lt;='APR and payment'!$E$5,'APR and payment'!$E$24,"")</f>
        <v>22461.231674784805</v>
      </c>
      <c r="D311" s="22">
        <f>IF(A311&lt;='APR and payment'!$E$5,C311-E311,"")</f>
        <v>17704.623265936836</v>
      </c>
      <c r="E311" s="22">
        <f>IF(A311&lt;='APR and payment'!$E$5,F310*'APR and payment'!$E$6/'APR and payment'!$L$9,"")</f>
        <v>4756.6084088479702</v>
      </c>
      <c r="F311" s="22">
        <f>IF(A311&lt;='APR and payment'!$E$5,F310-D311,"")</f>
        <v>1039319.4675891675</v>
      </c>
    </row>
    <row r="312" spans="1:6" x14ac:dyDescent="0.25">
      <c r="A312" s="15">
        <v>309</v>
      </c>
      <c r="B312" s="17">
        <f>IF(A312&lt;='APR and payment'!$E$5,'Remaining debt'!A312,"")</f>
        <v>309</v>
      </c>
      <c r="C312" s="22">
        <f>IF(A312&lt;='APR and payment'!$E$5,'APR and payment'!$E$24,"")</f>
        <v>22461.231674784805</v>
      </c>
      <c r="D312" s="22">
        <f>IF(A312&lt;='APR and payment'!$E$5,C312-E312,"")</f>
        <v>17784.29407063355</v>
      </c>
      <c r="E312" s="22">
        <f>IF(A312&lt;='APR and payment'!$E$5,F311*'APR and payment'!$E$6/'APR and payment'!$L$9,"")</f>
        <v>4676.9376041512542</v>
      </c>
      <c r="F312" s="22">
        <f>IF(A312&lt;='APR and payment'!$E$5,F311-D312,"")</f>
        <v>1021535.1735185339</v>
      </c>
    </row>
    <row r="313" spans="1:6" x14ac:dyDescent="0.25">
      <c r="A313" s="15">
        <v>310</v>
      </c>
      <c r="B313" s="17">
        <f>IF(A313&lt;='APR and payment'!$E$5,'Remaining debt'!A313,"")</f>
        <v>310</v>
      </c>
      <c r="C313" s="22">
        <f>IF(A313&lt;='APR and payment'!$E$5,'APR and payment'!$E$24,"")</f>
        <v>22461.231674784805</v>
      </c>
      <c r="D313" s="22">
        <f>IF(A313&lt;='APR and payment'!$E$5,C313-E313,"")</f>
        <v>17864.323393951403</v>
      </c>
      <c r="E313" s="22">
        <f>IF(A313&lt;='APR and payment'!$E$5,F312*'APR and payment'!$E$6/'APR and payment'!$L$9,"")</f>
        <v>4596.9082808334024</v>
      </c>
      <c r="F313" s="22">
        <f>IF(A313&lt;='APR and payment'!$E$5,F312-D313,"")</f>
        <v>1003670.8501245825</v>
      </c>
    </row>
    <row r="314" spans="1:6" x14ac:dyDescent="0.25">
      <c r="A314" s="15">
        <v>311</v>
      </c>
      <c r="B314" s="17">
        <f>IF(A314&lt;='APR and payment'!$E$5,'Remaining debt'!A314,"")</f>
        <v>311</v>
      </c>
      <c r="C314" s="22">
        <f>IF(A314&lt;='APR and payment'!$E$5,'APR and payment'!$E$24,"")</f>
        <v>22461.231674784805</v>
      </c>
      <c r="D314" s="22">
        <f>IF(A314&lt;='APR and payment'!$E$5,C314-E314,"")</f>
        <v>17944.712849224183</v>
      </c>
      <c r="E314" s="22">
        <f>IF(A314&lt;='APR and payment'!$E$5,F313*'APR and payment'!$E$6/'APR and payment'!$L$9,"")</f>
        <v>4516.5188255606217</v>
      </c>
      <c r="F314" s="22">
        <f>IF(A314&lt;='APR and payment'!$E$5,F313-D314,"")</f>
        <v>985726.13727535831</v>
      </c>
    </row>
    <row r="315" spans="1:6" x14ac:dyDescent="0.25">
      <c r="A315" s="15">
        <v>312</v>
      </c>
      <c r="B315" s="17">
        <f>IF(A315&lt;='APR and payment'!$E$5,'Remaining debt'!A315,"")</f>
        <v>312</v>
      </c>
      <c r="C315" s="22">
        <f>IF(A315&lt;='APR and payment'!$E$5,'APR and payment'!$E$24,"")</f>
        <v>22461.231674784805</v>
      </c>
      <c r="D315" s="22">
        <f>IF(A315&lt;='APR and payment'!$E$5,C315-E315,"")</f>
        <v>18025.464057045694</v>
      </c>
      <c r="E315" s="22">
        <f>IF(A315&lt;='APR and payment'!$E$5,F314*'APR and payment'!$E$6/'APR and payment'!$L$9,"")</f>
        <v>4435.7676177391122</v>
      </c>
      <c r="F315" s="22">
        <f>IF(A315&lt;='APR and payment'!$E$5,F314-D315,"")</f>
        <v>967700.67321831267</v>
      </c>
    </row>
    <row r="316" spans="1:6" x14ac:dyDescent="0.25">
      <c r="A316" s="15">
        <v>313</v>
      </c>
      <c r="B316" s="17">
        <f>IF(A316&lt;='APR and payment'!$E$5,'Remaining debt'!A316,"")</f>
        <v>313</v>
      </c>
      <c r="C316" s="22">
        <f>IF(A316&lt;='APR and payment'!$E$5,'APR and payment'!$E$24,"")</f>
        <v>22461.231674784805</v>
      </c>
      <c r="D316" s="22">
        <f>IF(A316&lt;='APR and payment'!$E$5,C316-E316,"")</f>
        <v>18106.578645302397</v>
      </c>
      <c r="E316" s="22">
        <f>IF(A316&lt;='APR and payment'!$E$5,F315*'APR and payment'!$E$6/'APR and payment'!$L$9,"")</f>
        <v>4354.653029482407</v>
      </c>
      <c r="F316" s="22">
        <f>IF(A316&lt;='APR and payment'!$E$5,F315-D316,"")</f>
        <v>949594.09457301022</v>
      </c>
    </row>
    <row r="317" spans="1:6" x14ac:dyDescent="0.25">
      <c r="A317" s="15">
        <v>314</v>
      </c>
      <c r="B317" s="17">
        <f>IF(A317&lt;='APR and payment'!$E$5,'Remaining debt'!A317,"")</f>
        <v>314</v>
      </c>
      <c r="C317" s="22">
        <f>IF(A317&lt;='APR and payment'!$E$5,'APR and payment'!$E$24,"")</f>
        <v>22461.231674784805</v>
      </c>
      <c r="D317" s="22">
        <f>IF(A317&lt;='APR and payment'!$E$5,C317-E317,"")</f>
        <v>18188.05824920626</v>
      </c>
      <c r="E317" s="22">
        <f>IF(A317&lt;='APR and payment'!$E$5,F316*'APR and payment'!$E$6/'APR and payment'!$L$9,"")</f>
        <v>4273.1734255785459</v>
      </c>
      <c r="F317" s="22">
        <f>IF(A317&lt;='APR and payment'!$E$5,F316-D317,"")</f>
        <v>931406.03632380394</v>
      </c>
    </row>
    <row r="318" spans="1:6" x14ac:dyDescent="0.25">
      <c r="A318" s="15">
        <v>315</v>
      </c>
      <c r="B318" s="17">
        <f>IF(A318&lt;='APR and payment'!$E$5,'Remaining debt'!A318,"")</f>
        <v>315</v>
      </c>
      <c r="C318" s="22">
        <f>IF(A318&lt;='APR and payment'!$E$5,'APR and payment'!$E$24,"")</f>
        <v>22461.231674784805</v>
      </c>
      <c r="D318" s="22">
        <f>IF(A318&lt;='APR and payment'!$E$5,C318-E318,"")</f>
        <v>18269.904511327688</v>
      </c>
      <c r="E318" s="22">
        <f>IF(A318&lt;='APR and payment'!$E$5,F317*'APR and payment'!$E$6/'APR and payment'!$L$9,"")</f>
        <v>4191.3271634571174</v>
      </c>
      <c r="F318" s="22">
        <f>IF(A318&lt;='APR and payment'!$E$5,F317-D318,"")</f>
        <v>913136.1318124762</v>
      </c>
    </row>
    <row r="319" spans="1:6" x14ac:dyDescent="0.25">
      <c r="A319" s="15">
        <v>316</v>
      </c>
      <c r="B319" s="17">
        <f>IF(A319&lt;='APR and payment'!$E$5,'Remaining debt'!A319,"")</f>
        <v>316</v>
      </c>
      <c r="C319" s="22">
        <f>IF(A319&lt;='APR and payment'!$E$5,'APR and payment'!$E$24,"")</f>
        <v>22461.231674784805</v>
      </c>
      <c r="D319" s="22">
        <f>IF(A319&lt;='APR and payment'!$E$5,C319-E319,"")</f>
        <v>18352.119081628662</v>
      </c>
      <c r="E319" s="22">
        <f>IF(A319&lt;='APR and payment'!$E$5,F318*'APR and payment'!$E$6/'APR and payment'!$L$9,"")</f>
        <v>4109.1125931561428</v>
      </c>
      <c r="F319" s="22">
        <f>IF(A319&lt;='APR and payment'!$E$5,F318-D319,"")</f>
        <v>894784.01273084758</v>
      </c>
    </row>
    <row r="320" spans="1:6" x14ac:dyDescent="0.25">
      <c r="A320" s="15">
        <v>317</v>
      </c>
      <c r="B320" s="17">
        <f>IF(A320&lt;='APR and payment'!$E$5,'Remaining debt'!A320,"")</f>
        <v>317</v>
      </c>
      <c r="C320" s="22">
        <f>IF(A320&lt;='APR and payment'!$E$5,'APR and payment'!$E$24,"")</f>
        <v>22461.231674784805</v>
      </c>
      <c r="D320" s="22">
        <f>IF(A320&lt;='APR and payment'!$E$5,C320-E320,"")</f>
        <v>18434.70361749599</v>
      </c>
      <c r="E320" s="22">
        <f>IF(A320&lt;='APR and payment'!$E$5,F319*'APR and payment'!$E$6/'APR and payment'!$L$9,"")</f>
        <v>4026.5280572888137</v>
      </c>
      <c r="F320" s="22">
        <f>IF(A320&lt;='APR and payment'!$E$5,F319-D320,"")</f>
        <v>876349.30911335163</v>
      </c>
    </row>
    <row r="321" spans="1:6" x14ac:dyDescent="0.25">
      <c r="A321" s="15">
        <v>318</v>
      </c>
      <c r="B321" s="17">
        <f>IF(A321&lt;='APR and payment'!$E$5,'Remaining debt'!A321,"")</f>
        <v>318</v>
      </c>
      <c r="C321" s="22">
        <f>IF(A321&lt;='APR and payment'!$E$5,'APR and payment'!$E$24,"")</f>
        <v>22461.231674784805</v>
      </c>
      <c r="D321" s="22">
        <f>IF(A321&lt;='APR and payment'!$E$5,C321-E321,"")</f>
        <v>18517.659783774725</v>
      </c>
      <c r="E321" s="22">
        <f>IF(A321&lt;='APR and payment'!$E$5,F320*'APR and payment'!$E$6/'APR and payment'!$L$9,"")</f>
        <v>3943.5718910100823</v>
      </c>
      <c r="F321" s="22">
        <f>IF(A321&lt;='APR and payment'!$E$5,F320-D321,"")</f>
        <v>857831.64932957687</v>
      </c>
    </row>
    <row r="322" spans="1:6" x14ac:dyDescent="0.25">
      <c r="A322" s="15">
        <v>319</v>
      </c>
      <c r="B322" s="17">
        <f>IF(A322&lt;='APR and payment'!$E$5,'Remaining debt'!A322,"")</f>
        <v>319</v>
      </c>
      <c r="C322" s="22">
        <f>IF(A322&lt;='APR and payment'!$E$5,'APR and payment'!$E$24,"")</f>
        <v>22461.231674784805</v>
      </c>
      <c r="D322" s="22">
        <f>IF(A322&lt;='APR and payment'!$E$5,C322-E322,"")</f>
        <v>18600.989252801708</v>
      </c>
      <c r="E322" s="22">
        <f>IF(A322&lt;='APR and payment'!$E$5,F321*'APR and payment'!$E$6/'APR and payment'!$L$9,"")</f>
        <v>3860.2424219830959</v>
      </c>
      <c r="F322" s="22">
        <f>IF(A322&lt;='APR and payment'!$E$5,F321-D322,"")</f>
        <v>839230.66007677512</v>
      </c>
    </row>
    <row r="323" spans="1:6" x14ac:dyDescent="0.25">
      <c r="A323" s="15">
        <v>320</v>
      </c>
      <c r="B323" s="17">
        <f>IF(A323&lt;='APR and payment'!$E$5,'Remaining debt'!A323,"")</f>
        <v>320</v>
      </c>
      <c r="C323" s="22">
        <f>IF(A323&lt;='APR and payment'!$E$5,'APR and payment'!$E$24,"")</f>
        <v>22461.231674784805</v>
      </c>
      <c r="D323" s="22">
        <f>IF(A323&lt;='APR and payment'!$E$5,C323-E323,"")</f>
        <v>18684.693704439316</v>
      </c>
      <c r="E323" s="22">
        <f>IF(A323&lt;='APR and payment'!$E$5,F322*'APR and payment'!$E$6/'APR and payment'!$L$9,"")</f>
        <v>3776.5379703454878</v>
      </c>
      <c r="F323" s="22">
        <f>IF(A323&lt;='APR and payment'!$E$5,F322-D323,"")</f>
        <v>820545.9663723358</v>
      </c>
    </row>
    <row r="324" spans="1:6" x14ac:dyDescent="0.25">
      <c r="A324" s="15">
        <v>321</v>
      </c>
      <c r="B324" s="17">
        <f>IF(A324&lt;='APR and payment'!$E$5,'Remaining debt'!A324,"")</f>
        <v>321</v>
      </c>
      <c r="C324" s="22">
        <f>IF(A324&lt;='APR and payment'!$E$5,'APR and payment'!$E$24,"")</f>
        <v>22461.231674784805</v>
      </c>
      <c r="D324" s="22">
        <f>IF(A324&lt;='APR and payment'!$E$5,C324-E324,"")</f>
        <v>18768.774826109293</v>
      </c>
      <c r="E324" s="22">
        <f>IF(A324&lt;='APR and payment'!$E$5,F323*'APR and payment'!$E$6/'APR and payment'!$L$9,"")</f>
        <v>3692.4568486755111</v>
      </c>
      <c r="F324" s="22">
        <f>IF(A324&lt;='APR and payment'!$E$5,F323-D324,"")</f>
        <v>801777.1915462265</v>
      </c>
    </row>
    <row r="325" spans="1:6" x14ac:dyDescent="0.25">
      <c r="A325" s="15">
        <v>322</v>
      </c>
      <c r="B325" s="17">
        <f>IF(A325&lt;='APR and payment'!$E$5,'Remaining debt'!A325,"")</f>
        <v>322</v>
      </c>
      <c r="C325" s="22">
        <f>IF(A325&lt;='APR and payment'!$E$5,'APR and payment'!$E$24,"")</f>
        <v>22461.231674784805</v>
      </c>
      <c r="D325" s="22">
        <f>IF(A325&lt;='APR and payment'!$E$5,C325-E325,"")</f>
        <v>18853.234312826786</v>
      </c>
      <c r="E325" s="22">
        <f>IF(A325&lt;='APR and payment'!$E$5,F324*'APR and payment'!$E$6/'APR and payment'!$L$9,"")</f>
        <v>3607.9973619580192</v>
      </c>
      <c r="F325" s="22">
        <f>IF(A325&lt;='APR and payment'!$E$5,F324-D325,"")</f>
        <v>782923.95723339973</v>
      </c>
    </row>
    <row r="326" spans="1:6" x14ac:dyDescent="0.25">
      <c r="A326" s="15">
        <v>323</v>
      </c>
      <c r="B326" s="17">
        <f>IF(A326&lt;='APR and payment'!$E$5,'Remaining debt'!A326,"")</f>
        <v>323</v>
      </c>
      <c r="C326" s="22">
        <f>IF(A326&lt;='APR and payment'!$E$5,'APR and payment'!$E$24,"")</f>
        <v>22461.231674784805</v>
      </c>
      <c r="D326" s="22">
        <f>IF(A326&lt;='APR and payment'!$E$5,C326-E326,"")</f>
        <v>18938.073867234507</v>
      </c>
      <c r="E326" s="22">
        <f>IF(A326&lt;='APR and payment'!$E$5,F325*'APR and payment'!$E$6/'APR and payment'!$L$9,"")</f>
        <v>3523.1578075502989</v>
      </c>
      <c r="F326" s="22">
        <f>IF(A326&lt;='APR and payment'!$E$5,F325-D326,"")</f>
        <v>763985.88336616522</v>
      </c>
    </row>
    <row r="327" spans="1:6" x14ac:dyDescent="0.25">
      <c r="A327" s="15">
        <v>324</v>
      </c>
      <c r="B327" s="17">
        <f>IF(A327&lt;='APR and payment'!$E$5,'Remaining debt'!A327,"")</f>
        <v>324</v>
      </c>
      <c r="C327" s="22">
        <f>IF(A327&lt;='APR and payment'!$E$5,'APR and payment'!$E$24,"")</f>
        <v>22461.231674784805</v>
      </c>
      <c r="D327" s="22">
        <f>IF(A327&lt;='APR and payment'!$E$5,C327-E327,"")</f>
        <v>19023.295199637061</v>
      </c>
      <c r="E327" s="22">
        <f>IF(A327&lt;='APR and payment'!$E$5,F326*'APR and payment'!$E$6/'APR and payment'!$L$9,"")</f>
        <v>3437.9364751477437</v>
      </c>
      <c r="F327" s="22">
        <f>IF(A327&lt;='APR and payment'!$E$5,F326-D327,"")</f>
        <v>744962.58816652815</v>
      </c>
    </row>
    <row r="328" spans="1:6" x14ac:dyDescent="0.25">
      <c r="A328" s="15">
        <v>325</v>
      </c>
      <c r="B328" s="17">
        <f>IF(A328&lt;='APR and payment'!$E$5,'Remaining debt'!A328,"")</f>
        <v>325</v>
      </c>
      <c r="C328" s="22">
        <f>IF(A328&lt;='APR and payment'!$E$5,'APR and payment'!$E$24,"")</f>
        <v>22461.231674784805</v>
      </c>
      <c r="D328" s="22">
        <f>IF(A328&lt;='APR and payment'!$E$5,C328-E328,"")</f>
        <v>19108.90002803543</v>
      </c>
      <c r="E328" s="22">
        <f>IF(A328&lt;='APR and payment'!$E$5,F327*'APR and payment'!$E$6/'APR and payment'!$L$9,"")</f>
        <v>3352.3316467493769</v>
      </c>
      <c r="F328" s="22">
        <f>IF(A328&lt;='APR and payment'!$E$5,F327-D328,"")</f>
        <v>725853.68813849275</v>
      </c>
    </row>
    <row r="329" spans="1:6" x14ac:dyDescent="0.25">
      <c r="A329" s="15">
        <v>326</v>
      </c>
      <c r="B329" s="17">
        <f>IF(A329&lt;='APR and payment'!$E$5,'Remaining debt'!A329,"")</f>
        <v>326</v>
      </c>
      <c r="C329" s="22">
        <f>IF(A329&lt;='APR and payment'!$E$5,'APR and payment'!$E$24,"")</f>
        <v>22461.231674784805</v>
      </c>
      <c r="D329" s="22">
        <f>IF(A329&lt;='APR and payment'!$E$5,C329-E329,"")</f>
        <v>19194.890078161588</v>
      </c>
      <c r="E329" s="22">
        <f>IF(A329&lt;='APR and payment'!$E$5,F328*'APR and payment'!$E$6/'APR and payment'!$L$9,"")</f>
        <v>3266.3415966232174</v>
      </c>
      <c r="F329" s="22">
        <f>IF(A329&lt;='APR and payment'!$E$5,F328-D329,"")</f>
        <v>706658.79806033114</v>
      </c>
    </row>
    <row r="330" spans="1:6" x14ac:dyDescent="0.25">
      <c r="A330" s="15">
        <v>327</v>
      </c>
      <c r="B330" s="17">
        <f>IF(A330&lt;='APR and payment'!$E$5,'Remaining debt'!A330,"")</f>
        <v>327</v>
      </c>
      <c r="C330" s="22">
        <f>IF(A330&lt;='APR and payment'!$E$5,'APR and payment'!$E$24,"")</f>
        <v>22461.231674784805</v>
      </c>
      <c r="D330" s="22">
        <f>IF(A330&lt;='APR and payment'!$E$5,C330-E330,"")</f>
        <v>19281.267083513314</v>
      </c>
      <c r="E330" s="22">
        <f>IF(A330&lt;='APR and payment'!$E$5,F329*'APR and payment'!$E$6/'APR and payment'!$L$9,"")</f>
        <v>3179.96459127149</v>
      </c>
      <c r="F330" s="22">
        <f>IF(A330&lt;='APR and payment'!$E$5,F329-D330,"")</f>
        <v>687377.53097681783</v>
      </c>
    </row>
    <row r="331" spans="1:6" x14ac:dyDescent="0.25">
      <c r="A331" s="15">
        <v>328</v>
      </c>
      <c r="B331" s="17">
        <f>IF(A331&lt;='APR and payment'!$E$5,'Remaining debt'!A331,"")</f>
        <v>328</v>
      </c>
      <c r="C331" s="22">
        <f>IF(A331&lt;='APR and payment'!$E$5,'APR and payment'!$E$24,"")</f>
        <v>22461.231674784805</v>
      </c>
      <c r="D331" s="22">
        <f>IF(A331&lt;='APR and payment'!$E$5,C331-E331,"")</f>
        <v>19368.032785389125</v>
      </c>
      <c r="E331" s="22">
        <f>IF(A331&lt;='APR and payment'!$E$5,F330*'APR and payment'!$E$6/'APR and payment'!$L$9,"")</f>
        <v>3093.1988893956805</v>
      </c>
      <c r="F331" s="22">
        <f>IF(A331&lt;='APR and payment'!$E$5,F330-D331,"")</f>
        <v>668009.49819142872</v>
      </c>
    </row>
    <row r="332" spans="1:6" x14ac:dyDescent="0.25">
      <c r="A332" s="15">
        <v>329</v>
      </c>
      <c r="B332" s="17">
        <f>IF(A332&lt;='APR and payment'!$E$5,'Remaining debt'!A332,"")</f>
        <v>329</v>
      </c>
      <c r="C332" s="22">
        <f>IF(A332&lt;='APR and payment'!$E$5,'APR and payment'!$E$24,"")</f>
        <v>22461.231674784805</v>
      </c>
      <c r="D332" s="22">
        <f>IF(A332&lt;='APR and payment'!$E$5,C332-E332,"")</f>
        <v>19455.188932923375</v>
      </c>
      <c r="E332" s="22">
        <f>IF(A332&lt;='APR and payment'!$E$5,F331*'APR and payment'!$E$6/'APR and payment'!$L$9,"")</f>
        <v>3006.042741861429</v>
      </c>
      <c r="F332" s="22">
        <f>IF(A332&lt;='APR and payment'!$E$5,F331-D332,"")</f>
        <v>648554.30925850535</v>
      </c>
    </row>
    <row r="333" spans="1:6" x14ac:dyDescent="0.25">
      <c r="A333" s="15">
        <v>330</v>
      </c>
      <c r="B333" s="17">
        <f>IF(A333&lt;='APR and payment'!$E$5,'Remaining debt'!A333,"")</f>
        <v>330</v>
      </c>
      <c r="C333" s="22">
        <f>IF(A333&lt;='APR and payment'!$E$5,'APR and payment'!$E$24,"")</f>
        <v>22461.231674784805</v>
      </c>
      <c r="D333" s="22">
        <f>IF(A333&lt;='APR and payment'!$E$5,C333-E333,"")</f>
        <v>19542.737283121533</v>
      </c>
      <c r="E333" s="22">
        <f>IF(A333&lt;='APR and payment'!$E$5,F332*'APR and payment'!$E$6/'APR and payment'!$L$9,"")</f>
        <v>2918.4943916632742</v>
      </c>
      <c r="F333" s="22">
        <f>IF(A333&lt;='APR and payment'!$E$5,F332-D333,"")</f>
        <v>629011.57197538379</v>
      </c>
    </row>
    <row r="334" spans="1:6" x14ac:dyDescent="0.25">
      <c r="A334" s="15">
        <v>331</v>
      </c>
      <c r="B334" s="17">
        <f>IF(A334&lt;='APR and payment'!$E$5,'Remaining debt'!A334,"")</f>
        <v>331</v>
      </c>
      <c r="C334" s="22">
        <f>IF(A334&lt;='APR and payment'!$E$5,'APR and payment'!$E$24,"")</f>
        <v>22461.231674784805</v>
      </c>
      <c r="D334" s="22">
        <f>IF(A334&lt;='APR and payment'!$E$5,C334-E334,"")</f>
        <v>19630.679600895579</v>
      </c>
      <c r="E334" s="22">
        <f>IF(A334&lt;='APR and payment'!$E$5,F333*'APR and payment'!$E$6/'APR and payment'!$L$9,"")</f>
        <v>2830.5520738892269</v>
      </c>
      <c r="F334" s="22">
        <f>IF(A334&lt;='APR and payment'!$E$5,F333-D334,"")</f>
        <v>609380.89237448818</v>
      </c>
    </row>
    <row r="335" spans="1:6" x14ac:dyDescent="0.25">
      <c r="A335" s="15">
        <v>332</v>
      </c>
      <c r="B335" s="17">
        <f>IF(A335&lt;='APR and payment'!$E$5,'Remaining debt'!A335,"")</f>
        <v>332</v>
      </c>
      <c r="C335" s="22">
        <f>IF(A335&lt;='APR and payment'!$E$5,'APR and payment'!$E$24,"")</f>
        <v>22461.231674784805</v>
      </c>
      <c r="D335" s="22">
        <f>IF(A335&lt;='APR and payment'!$E$5,C335-E335,"")</f>
        <v>19719.017659099609</v>
      </c>
      <c r="E335" s="22">
        <f>IF(A335&lt;='APR and payment'!$E$5,F334*'APR and payment'!$E$6/'APR and payment'!$L$9,"")</f>
        <v>2742.2140156851965</v>
      </c>
      <c r="F335" s="22">
        <f>IF(A335&lt;='APR and payment'!$E$5,F334-D335,"")</f>
        <v>589661.87471538852</v>
      </c>
    </row>
    <row r="336" spans="1:6" x14ac:dyDescent="0.25">
      <c r="A336" s="15">
        <v>333</v>
      </c>
      <c r="B336" s="17">
        <f>IF(A336&lt;='APR and payment'!$E$5,'Remaining debt'!A336,"")</f>
        <v>333</v>
      </c>
      <c r="C336" s="22">
        <f>IF(A336&lt;='APR and payment'!$E$5,'APR and payment'!$E$24,"")</f>
        <v>22461.231674784805</v>
      </c>
      <c r="D336" s="22">
        <f>IF(A336&lt;='APR and payment'!$E$5,C336-E336,"")</f>
        <v>19807.753238565558</v>
      </c>
      <c r="E336" s="22">
        <f>IF(A336&lt;='APR and payment'!$E$5,F335*'APR and payment'!$E$6/'APR and payment'!$L$9,"")</f>
        <v>2653.4784362192481</v>
      </c>
      <c r="F336" s="22">
        <f>IF(A336&lt;='APR and payment'!$E$5,F335-D336,"")</f>
        <v>569854.121476823</v>
      </c>
    </row>
    <row r="337" spans="1:6" x14ac:dyDescent="0.25">
      <c r="A337" s="15">
        <v>334</v>
      </c>
      <c r="B337" s="17">
        <f>IF(A337&lt;='APR and payment'!$E$5,'Remaining debt'!A337,"")</f>
        <v>334</v>
      </c>
      <c r="C337" s="22">
        <f>IF(A337&lt;='APR and payment'!$E$5,'APR and payment'!$E$24,"")</f>
        <v>22461.231674784805</v>
      </c>
      <c r="D337" s="22">
        <f>IF(A337&lt;='APR and payment'!$E$5,C337-E337,"")</f>
        <v>19896.8881281391</v>
      </c>
      <c r="E337" s="22">
        <f>IF(A337&lt;='APR and payment'!$E$5,F336*'APR and payment'!$E$6/'APR and payment'!$L$9,"")</f>
        <v>2564.3435466457036</v>
      </c>
      <c r="F337" s="22">
        <f>IF(A337&lt;='APR and payment'!$E$5,F336-D337,"")</f>
        <v>549957.23334868392</v>
      </c>
    </row>
    <row r="338" spans="1:6" x14ac:dyDescent="0.25">
      <c r="A338" s="15">
        <v>335</v>
      </c>
      <c r="B338" s="17">
        <f>IF(A338&lt;='APR and payment'!$E$5,'Remaining debt'!A338,"")</f>
        <v>335</v>
      </c>
      <c r="C338" s="22">
        <f>IF(A338&lt;='APR and payment'!$E$5,'APR and payment'!$E$24,"")</f>
        <v>22461.231674784805</v>
      </c>
      <c r="D338" s="22">
        <f>IF(A338&lt;='APR and payment'!$E$5,C338-E338,"")</f>
        <v>19986.424124715726</v>
      </c>
      <c r="E338" s="22">
        <f>IF(A338&lt;='APR and payment'!$E$5,F337*'APR and payment'!$E$6/'APR and payment'!$L$9,"")</f>
        <v>2474.8075500690775</v>
      </c>
      <c r="F338" s="22">
        <f>IF(A338&lt;='APR and payment'!$E$5,F337-D338,"")</f>
        <v>529970.80922396819</v>
      </c>
    </row>
    <row r="339" spans="1:6" x14ac:dyDescent="0.25">
      <c r="A339" s="15">
        <v>336</v>
      </c>
      <c r="B339" s="17">
        <f>IF(A339&lt;='APR and payment'!$E$5,'Remaining debt'!A339,"")</f>
        <v>336</v>
      </c>
      <c r="C339" s="22">
        <f>IF(A339&lt;='APR and payment'!$E$5,'APR and payment'!$E$24,"")</f>
        <v>22461.231674784805</v>
      </c>
      <c r="D339" s="22">
        <f>IF(A339&lt;='APR and payment'!$E$5,C339-E339,"")</f>
        <v>20076.36303327695</v>
      </c>
      <c r="E339" s="22">
        <f>IF(A339&lt;='APR and payment'!$E$5,F338*'APR and payment'!$E$6/'APR and payment'!$L$9,"")</f>
        <v>2384.8686415078569</v>
      </c>
      <c r="F339" s="22">
        <f>IF(A339&lt;='APR and payment'!$E$5,F338-D339,"")</f>
        <v>509894.44619069126</v>
      </c>
    </row>
    <row r="340" spans="1:6" x14ac:dyDescent="0.25">
      <c r="A340" s="15">
        <v>337</v>
      </c>
      <c r="B340" s="17">
        <f>IF(A340&lt;='APR and payment'!$E$5,'Remaining debt'!A340,"")</f>
        <v>337</v>
      </c>
      <c r="C340" s="22">
        <f>IF(A340&lt;='APR and payment'!$E$5,'APR and payment'!$E$24,"")</f>
        <v>22461.231674784805</v>
      </c>
      <c r="D340" s="22">
        <f>IF(A340&lt;='APR and payment'!$E$5,C340-E340,"")</f>
        <v>20166.706666926693</v>
      </c>
      <c r="E340" s="22">
        <f>IF(A340&lt;='APR and payment'!$E$5,F339*'APR and payment'!$E$6/'APR and payment'!$L$9,"")</f>
        <v>2294.5250078581107</v>
      </c>
      <c r="F340" s="22">
        <f>IF(A340&lt;='APR and payment'!$E$5,F339-D340,"")</f>
        <v>489727.73952376458</v>
      </c>
    </row>
    <row r="341" spans="1:6" x14ac:dyDescent="0.25">
      <c r="A341" s="15">
        <v>338</v>
      </c>
      <c r="B341" s="17">
        <f>IF(A341&lt;='APR and payment'!$E$5,'Remaining debt'!A341,"")</f>
        <v>338</v>
      </c>
      <c r="C341" s="22">
        <f>IF(A341&lt;='APR and payment'!$E$5,'APR and payment'!$E$24,"")</f>
        <v>22461.231674784805</v>
      </c>
      <c r="D341" s="22">
        <f>IF(A341&lt;='APR and payment'!$E$5,C341-E341,"")</f>
        <v>20257.456846927864</v>
      </c>
      <c r="E341" s="22">
        <f>IF(A341&lt;='APR and payment'!$E$5,F340*'APR and payment'!$E$6/'APR and payment'!$L$9,"")</f>
        <v>2203.7748278569406</v>
      </c>
      <c r="F341" s="22">
        <f>IF(A341&lt;='APR and payment'!$E$5,F340-D341,"")</f>
        <v>469470.28267683671</v>
      </c>
    </row>
    <row r="342" spans="1:6" x14ac:dyDescent="0.25">
      <c r="A342" s="15">
        <v>339</v>
      </c>
      <c r="B342" s="17">
        <f>IF(A342&lt;='APR and payment'!$E$5,'Remaining debt'!A342,"")</f>
        <v>339</v>
      </c>
      <c r="C342" s="22">
        <f>IF(A342&lt;='APR and payment'!$E$5,'APR and payment'!$E$24,"")</f>
        <v>22461.231674784805</v>
      </c>
      <c r="D342" s="22">
        <f>IF(A342&lt;='APR and payment'!$E$5,C342-E342,"")</f>
        <v>20348.61540273904</v>
      </c>
      <c r="E342" s="22">
        <f>IF(A342&lt;='APR and payment'!$E$5,F341*'APR and payment'!$E$6/'APR and payment'!$L$9,"")</f>
        <v>2112.6162720457651</v>
      </c>
      <c r="F342" s="22">
        <f>IF(A342&lt;='APR and payment'!$E$5,F341-D342,"")</f>
        <v>449121.66727409768</v>
      </c>
    </row>
    <row r="343" spans="1:6" x14ac:dyDescent="0.25">
      <c r="A343" s="15">
        <v>340</v>
      </c>
      <c r="B343" s="17">
        <f>IF(A343&lt;='APR and payment'!$E$5,'Remaining debt'!A343,"")</f>
        <v>340</v>
      </c>
      <c r="C343" s="22">
        <f>IF(A343&lt;='APR and payment'!$E$5,'APR and payment'!$E$24,"")</f>
        <v>22461.231674784805</v>
      </c>
      <c r="D343" s="22">
        <f>IF(A343&lt;='APR and payment'!$E$5,C343-E343,"")</f>
        <v>20440.184172051366</v>
      </c>
      <c r="E343" s="22">
        <f>IF(A343&lt;='APR and payment'!$E$5,F342*'APR and payment'!$E$6/'APR and payment'!$L$9,"")</f>
        <v>2021.0475027334396</v>
      </c>
      <c r="F343" s="22">
        <f>IF(A343&lt;='APR and payment'!$E$5,F342-D343,"")</f>
        <v>428681.4831020463</v>
      </c>
    </row>
    <row r="344" spans="1:6" x14ac:dyDescent="0.25">
      <c r="A344" s="15">
        <v>341</v>
      </c>
      <c r="B344" s="17">
        <f>IF(A344&lt;='APR and payment'!$E$5,'Remaining debt'!A344,"")</f>
        <v>341</v>
      </c>
      <c r="C344" s="22">
        <f>IF(A344&lt;='APR and payment'!$E$5,'APR and payment'!$E$24,"")</f>
        <v>22461.231674784805</v>
      </c>
      <c r="D344" s="22">
        <f>IF(A344&lt;='APR and payment'!$E$5,C344-E344,"")</f>
        <v>20532.165000825597</v>
      </c>
      <c r="E344" s="22">
        <f>IF(A344&lt;='APR and payment'!$E$5,F343*'APR and payment'!$E$6/'APR and payment'!$L$9,"")</f>
        <v>1929.0666739592082</v>
      </c>
      <c r="F344" s="22">
        <f>IF(A344&lt;='APR and payment'!$E$5,F343-D344,"")</f>
        <v>408149.31810122071</v>
      </c>
    </row>
    <row r="345" spans="1:6" x14ac:dyDescent="0.25">
      <c r="A345" s="15">
        <v>342</v>
      </c>
      <c r="B345" s="17">
        <f>IF(A345&lt;='APR and payment'!$E$5,'Remaining debt'!A345,"")</f>
        <v>342</v>
      </c>
      <c r="C345" s="22">
        <f>IF(A345&lt;='APR and payment'!$E$5,'APR and payment'!$E$24,"")</f>
        <v>22461.231674784805</v>
      </c>
      <c r="D345" s="22">
        <f>IF(A345&lt;='APR and payment'!$E$5,C345-E345,"")</f>
        <v>20624.559743329311</v>
      </c>
      <c r="E345" s="22">
        <f>IF(A345&lt;='APR and payment'!$E$5,F344*'APR and payment'!$E$6/'APR and payment'!$L$9,"")</f>
        <v>1836.6719314554932</v>
      </c>
      <c r="F345" s="22">
        <f>IF(A345&lt;='APR and payment'!$E$5,F344-D345,"")</f>
        <v>387524.75835789141</v>
      </c>
    </row>
    <row r="346" spans="1:6" x14ac:dyDescent="0.25">
      <c r="A346" s="15">
        <v>343</v>
      </c>
      <c r="B346" s="17">
        <f>IF(A346&lt;='APR and payment'!$E$5,'Remaining debt'!A346,"")</f>
        <v>343</v>
      </c>
      <c r="C346" s="22">
        <f>IF(A346&lt;='APR and payment'!$E$5,'APR and payment'!$E$24,"")</f>
        <v>22461.231674784805</v>
      </c>
      <c r="D346" s="22">
        <f>IF(A346&lt;='APR and payment'!$E$5,C346-E346,"")</f>
        <v>20717.370262174292</v>
      </c>
      <c r="E346" s="22">
        <f>IF(A346&lt;='APR and payment'!$E$5,F345*'APR and payment'!$E$6/'APR and payment'!$L$9,"")</f>
        <v>1743.8614126105113</v>
      </c>
      <c r="F346" s="22">
        <f>IF(A346&lt;='APR and payment'!$E$5,F345-D346,"")</f>
        <v>366807.38809571712</v>
      </c>
    </row>
    <row r="347" spans="1:6" x14ac:dyDescent="0.25">
      <c r="A347" s="15">
        <v>344</v>
      </c>
      <c r="B347" s="17">
        <f>IF(A347&lt;='APR and payment'!$E$5,'Remaining debt'!A347,"")</f>
        <v>344</v>
      </c>
      <c r="C347" s="22">
        <f>IF(A347&lt;='APR and payment'!$E$5,'APR and payment'!$E$24,"")</f>
        <v>22461.231674784805</v>
      </c>
      <c r="D347" s="22">
        <f>IF(A347&lt;='APR and payment'!$E$5,C347-E347,"")</f>
        <v>20810.598428354078</v>
      </c>
      <c r="E347" s="22">
        <f>IF(A347&lt;='APR and payment'!$E$5,F346*'APR and payment'!$E$6/'APR and payment'!$L$9,"")</f>
        <v>1650.633246430727</v>
      </c>
      <c r="F347" s="22">
        <f>IF(A347&lt;='APR and payment'!$E$5,F346-D347,"")</f>
        <v>345996.78966736305</v>
      </c>
    </row>
    <row r="348" spans="1:6" x14ac:dyDescent="0.25">
      <c r="A348" s="15">
        <v>345</v>
      </c>
      <c r="B348" s="17">
        <f>IF(A348&lt;='APR and payment'!$E$5,'Remaining debt'!A348,"")</f>
        <v>345</v>
      </c>
      <c r="C348" s="22">
        <f>IF(A348&lt;='APR and payment'!$E$5,'APR and payment'!$E$24,"")</f>
        <v>22461.231674784805</v>
      </c>
      <c r="D348" s="22">
        <f>IF(A348&lt;='APR and payment'!$E$5,C348-E348,"")</f>
        <v>20904.246121281671</v>
      </c>
      <c r="E348" s="22">
        <f>IF(A348&lt;='APR and payment'!$E$5,F347*'APR and payment'!$E$6/'APR and payment'!$L$9,"")</f>
        <v>1556.9855535031338</v>
      </c>
      <c r="F348" s="22">
        <f>IF(A348&lt;='APR and payment'!$E$5,F347-D348,"")</f>
        <v>325092.5435460814</v>
      </c>
    </row>
    <row r="349" spans="1:6" x14ac:dyDescent="0.25">
      <c r="A349" s="15">
        <v>346</v>
      </c>
      <c r="B349" s="17">
        <f>IF(A349&lt;='APR and payment'!$E$5,'Remaining debt'!A349,"")</f>
        <v>346</v>
      </c>
      <c r="C349" s="22">
        <f>IF(A349&lt;='APR and payment'!$E$5,'APR and payment'!$E$24,"")</f>
        <v>22461.231674784805</v>
      </c>
      <c r="D349" s="22">
        <f>IF(A349&lt;='APR and payment'!$E$5,C349-E349,"")</f>
        <v>20998.31522882744</v>
      </c>
      <c r="E349" s="22">
        <f>IF(A349&lt;='APR and payment'!$E$5,F348*'APR and payment'!$E$6/'APR and payment'!$L$9,"")</f>
        <v>1462.9164459573665</v>
      </c>
      <c r="F349" s="22">
        <f>IF(A349&lt;='APR and payment'!$E$5,F348-D349,"")</f>
        <v>304094.22831725399</v>
      </c>
    </row>
    <row r="350" spans="1:6" x14ac:dyDescent="0.25">
      <c r="A350" s="15">
        <v>347</v>
      </c>
      <c r="B350" s="17">
        <f>IF(A350&lt;='APR and payment'!$E$5,'Remaining debt'!A350,"")</f>
        <v>347</v>
      </c>
      <c r="C350" s="22">
        <f>IF(A350&lt;='APR and payment'!$E$5,'APR and payment'!$E$24,"")</f>
        <v>22461.231674784805</v>
      </c>
      <c r="D350" s="22">
        <f>IF(A350&lt;='APR and payment'!$E$5,C350-E350,"")</f>
        <v>21092.807647357164</v>
      </c>
      <c r="E350" s="22">
        <f>IF(A350&lt;='APR and payment'!$E$5,F349*'APR and payment'!$E$6/'APR and payment'!$L$9,"")</f>
        <v>1368.4240274276428</v>
      </c>
      <c r="F350" s="22">
        <f>IF(A350&lt;='APR and payment'!$E$5,F349-D350,"")</f>
        <v>283001.42066989682</v>
      </c>
    </row>
    <row r="351" spans="1:6" x14ac:dyDescent="0.25">
      <c r="A351" s="15">
        <v>348</v>
      </c>
      <c r="B351" s="17">
        <f>IF(A351&lt;='APR and payment'!$E$5,'Remaining debt'!A351,"")</f>
        <v>348</v>
      </c>
      <c r="C351" s="22">
        <f>IF(A351&lt;='APR and payment'!$E$5,'APR and payment'!$E$24,"")</f>
        <v>22461.231674784805</v>
      </c>
      <c r="D351" s="22">
        <f>IF(A351&lt;='APR and payment'!$E$5,C351-E351,"")</f>
        <v>21187.725281770268</v>
      </c>
      <c r="E351" s="22">
        <f>IF(A351&lt;='APR and payment'!$E$5,F350*'APR and payment'!$E$6/'APR and payment'!$L$9,"")</f>
        <v>1273.5063930145357</v>
      </c>
      <c r="F351" s="22">
        <f>IF(A351&lt;='APR and payment'!$E$5,F350-D351,"")</f>
        <v>261813.69538812654</v>
      </c>
    </row>
    <row r="352" spans="1:6" x14ac:dyDescent="0.25">
      <c r="A352" s="15">
        <v>349</v>
      </c>
      <c r="B352" s="17">
        <f>IF(A352&lt;='APR and payment'!$E$5,'Remaining debt'!A352,"")</f>
        <v>349</v>
      </c>
      <c r="C352" s="22">
        <f>IF(A352&lt;='APR and payment'!$E$5,'APR and payment'!$E$24,"")</f>
        <v>22461.231674784805</v>
      </c>
      <c r="D352" s="22">
        <f>IF(A352&lt;='APR and payment'!$E$5,C352-E352,"")</f>
        <v>21283.070045538236</v>
      </c>
      <c r="E352" s="22">
        <f>IF(A352&lt;='APR and payment'!$E$5,F351*'APR and payment'!$E$6/'APR and payment'!$L$9,"")</f>
        <v>1178.1616292465694</v>
      </c>
      <c r="F352" s="22">
        <f>IF(A352&lt;='APR and payment'!$E$5,F351-D352,"")</f>
        <v>240530.62534258829</v>
      </c>
    </row>
    <row r="353" spans="1:6" x14ac:dyDescent="0.25">
      <c r="A353" s="15">
        <v>350</v>
      </c>
      <c r="B353" s="17">
        <f>IF(A353&lt;='APR and payment'!$E$5,'Remaining debt'!A353,"")</f>
        <v>350</v>
      </c>
      <c r="C353" s="22">
        <f>IF(A353&lt;='APR and payment'!$E$5,'APR and payment'!$E$24,"")</f>
        <v>22461.231674784805</v>
      </c>
      <c r="D353" s="22">
        <f>IF(A353&lt;='APR and payment'!$E$5,C353-E353,"")</f>
        <v>21378.84386074316</v>
      </c>
      <c r="E353" s="22">
        <f>IF(A353&lt;='APR and payment'!$E$5,F352*'APR and payment'!$E$6/'APR and payment'!$L$9,"")</f>
        <v>1082.3878140416473</v>
      </c>
      <c r="F353" s="22">
        <f>IF(A353&lt;='APR and payment'!$E$5,F352-D353,"")</f>
        <v>219151.78148184513</v>
      </c>
    </row>
    <row r="354" spans="1:6" x14ac:dyDescent="0.25">
      <c r="A354" s="15">
        <v>351</v>
      </c>
      <c r="B354" s="17">
        <f>IF(A354&lt;='APR and payment'!$E$5,'Remaining debt'!A354,"")</f>
        <v>351</v>
      </c>
      <c r="C354" s="22">
        <f>IF(A354&lt;='APR and payment'!$E$5,'APR and payment'!$E$24,"")</f>
        <v>22461.231674784805</v>
      </c>
      <c r="D354" s="22">
        <f>IF(A354&lt;='APR and payment'!$E$5,C354-E354,"")</f>
        <v>21475.048658116502</v>
      </c>
      <c r="E354" s="22">
        <f>IF(A354&lt;='APR and payment'!$E$5,F353*'APR and payment'!$E$6/'APR and payment'!$L$9,"")</f>
        <v>986.18301666830303</v>
      </c>
      <c r="F354" s="22">
        <f>IF(A354&lt;='APR and payment'!$E$5,F353-D354,"")</f>
        <v>197676.73282372864</v>
      </c>
    </row>
    <row r="355" spans="1:6" x14ac:dyDescent="0.25">
      <c r="A355" s="15">
        <v>352</v>
      </c>
      <c r="B355" s="17">
        <f>IF(A355&lt;='APR and payment'!$E$5,'Remaining debt'!A355,"")</f>
        <v>352</v>
      </c>
      <c r="C355" s="22">
        <f>IF(A355&lt;='APR and payment'!$E$5,'APR and payment'!$E$24,"")</f>
        <v>22461.231674784805</v>
      </c>
      <c r="D355" s="22">
        <f>IF(A355&lt;='APR and payment'!$E$5,C355-E355,"")</f>
        <v>21571.686377078026</v>
      </c>
      <c r="E355" s="22">
        <f>IF(A355&lt;='APR and payment'!$E$5,F354*'APR and payment'!$E$6/'APR and payment'!$L$9,"")</f>
        <v>889.54529770677891</v>
      </c>
      <c r="F355" s="22">
        <f>IF(A355&lt;='APR and payment'!$E$5,F354-D355,"")</f>
        <v>176105.04644665061</v>
      </c>
    </row>
    <row r="356" spans="1:6" x14ac:dyDescent="0.25">
      <c r="A356" s="15">
        <v>353</v>
      </c>
      <c r="B356" s="17">
        <f>IF(A356&lt;='APR and payment'!$E$5,'Remaining debt'!A356,"")</f>
        <v>353</v>
      </c>
      <c r="C356" s="22">
        <f>IF(A356&lt;='APR and payment'!$E$5,'APR and payment'!$E$24,"")</f>
        <v>22461.231674784805</v>
      </c>
      <c r="D356" s="22">
        <f>IF(A356&lt;='APR and payment'!$E$5,C356-E356,"")</f>
        <v>21668.758965774876</v>
      </c>
      <c r="E356" s="22">
        <f>IF(A356&lt;='APR and payment'!$E$5,F355*'APR and payment'!$E$6/'APR and payment'!$L$9,"")</f>
        <v>792.47270900992771</v>
      </c>
      <c r="F356" s="22">
        <f>IF(A356&lt;='APR and payment'!$E$5,F355-D356,"")</f>
        <v>154436.28748087573</v>
      </c>
    </row>
    <row r="357" spans="1:6" x14ac:dyDescent="0.25">
      <c r="A357" s="15">
        <v>354</v>
      </c>
      <c r="B357" s="17">
        <f>IF(A357&lt;='APR and payment'!$E$5,'Remaining debt'!A357,"")</f>
        <v>354</v>
      </c>
      <c r="C357" s="22">
        <f>IF(A357&lt;='APR and payment'!$E$5,'APR and payment'!$E$24,"")</f>
        <v>22461.231674784805</v>
      </c>
      <c r="D357" s="22">
        <f>IF(A357&lt;='APR and payment'!$E$5,C357-E357,"")</f>
        <v>21766.268381120866</v>
      </c>
      <c r="E357" s="22">
        <f>IF(A357&lt;='APR and payment'!$E$5,F356*'APR and payment'!$E$6/'APR and payment'!$L$9,"")</f>
        <v>694.96329366394082</v>
      </c>
      <c r="F357" s="22">
        <f>IF(A357&lt;='APR and payment'!$E$5,F356-D357,"")</f>
        <v>132670.01909975486</v>
      </c>
    </row>
    <row r="358" spans="1:6" x14ac:dyDescent="0.25">
      <c r="A358" s="15">
        <v>355</v>
      </c>
      <c r="B358" s="17">
        <f>IF(A358&lt;='APR and payment'!$E$5,'Remaining debt'!A358,"")</f>
        <v>355</v>
      </c>
      <c r="C358" s="22">
        <f>IF(A358&lt;='APR and payment'!$E$5,'APR and payment'!$E$24,"")</f>
        <v>22461.231674784805</v>
      </c>
      <c r="D358" s="22">
        <f>IF(A358&lt;='APR and payment'!$E$5,C358-E358,"")</f>
        <v>21864.216588835909</v>
      </c>
      <c r="E358" s="22">
        <f>IF(A358&lt;='APR and payment'!$E$5,F357*'APR and payment'!$E$6/'APR and payment'!$L$9,"")</f>
        <v>597.01508594889685</v>
      </c>
      <c r="F358" s="22">
        <f>IF(A358&lt;='APR and payment'!$E$5,F357-D358,"")</f>
        <v>110805.80251091896</v>
      </c>
    </row>
    <row r="359" spans="1:6" x14ac:dyDescent="0.25">
      <c r="A359" s="15">
        <v>356</v>
      </c>
      <c r="B359" s="17">
        <f>IF(A359&lt;='APR and payment'!$E$5,'Remaining debt'!A359,"")</f>
        <v>356</v>
      </c>
      <c r="C359" s="22">
        <f>IF(A359&lt;='APR and payment'!$E$5,'APR and payment'!$E$24,"")</f>
        <v>22461.231674784805</v>
      </c>
      <c r="D359" s="22">
        <f>IF(A359&lt;='APR and payment'!$E$5,C359-E359,"")</f>
        <v>21962.605563485671</v>
      </c>
      <c r="E359" s="22">
        <f>IF(A359&lt;='APR and payment'!$E$5,F358*'APR and payment'!$E$6/'APR and payment'!$L$9,"")</f>
        <v>498.62611129913535</v>
      </c>
      <c r="F359" s="22">
        <f>IF(A359&lt;='APR and payment'!$E$5,F358-D359,"")</f>
        <v>88843.196947433287</v>
      </c>
    </row>
    <row r="360" spans="1:6" x14ac:dyDescent="0.25">
      <c r="A360" s="15">
        <v>357</v>
      </c>
      <c r="B360" s="17">
        <f>IF(A360&lt;='APR and payment'!$E$5,'Remaining debt'!A360,"")</f>
        <v>357</v>
      </c>
      <c r="C360" s="22">
        <f>IF(A360&lt;='APR and payment'!$E$5,'APR and payment'!$E$24,"")</f>
        <v>22461.231674784805</v>
      </c>
      <c r="D360" s="22">
        <f>IF(A360&lt;='APR and payment'!$E$5,C360-E360,"")</f>
        <v>22061.437288521356</v>
      </c>
      <c r="E360" s="22">
        <f>IF(A360&lt;='APR and payment'!$E$5,F359*'APR and payment'!$E$6/'APR and payment'!$L$9,"")</f>
        <v>399.79438626344978</v>
      </c>
      <c r="F360" s="22">
        <f>IF(A360&lt;='APR and payment'!$E$5,F359-D360,"")</f>
        <v>66781.759658911935</v>
      </c>
    </row>
    <row r="361" spans="1:6" x14ac:dyDescent="0.25">
      <c r="A361" s="15">
        <v>358</v>
      </c>
      <c r="B361" s="17">
        <f>IF(A361&lt;='APR and payment'!$E$5,'Remaining debt'!A361,"")</f>
        <v>358</v>
      </c>
      <c r="C361" s="22">
        <f>IF(A361&lt;='APR and payment'!$E$5,'APR and payment'!$E$24,"")</f>
        <v>22461.231674784805</v>
      </c>
      <c r="D361" s="22">
        <f>IF(A361&lt;='APR and payment'!$E$5,C361-E361,"")</f>
        <v>22160.713756319703</v>
      </c>
      <c r="E361" s="22">
        <f>IF(A361&lt;='APR and payment'!$E$5,F360*'APR and payment'!$E$6/'APR and payment'!$L$9,"")</f>
        <v>300.51791846510372</v>
      </c>
      <c r="F361" s="22">
        <f>IF(A361&lt;='APR and payment'!$E$5,F360-D361,"")</f>
        <v>44621.045902592232</v>
      </c>
    </row>
    <row r="362" spans="1:6" x14ac:dyDescent="0.25">
      <c r="A362" s="15">
        <v>359</v>
      </c>
      <c r="B362" s="17">
        <f>IF(A362&lt;='APR and payment'!$E$5,'Remaining debt'!A362,"")</f>
        <v>359</v>
      </c>
      <c r="C362" s="22">
        <f>IF(A362&lt;='APR and payment'!$E$5,'APR and payment'!$E$24,"")</f>
        <v>22461.231674784805</v>
      </c>
      <c r="D362" s="22">
        <f>IF(A362&lt;='APR and payment'!$E$5,C362-E362,"")</f>
        <v>22260.436968223141</v>
      </c>
      <c r="E362" s="22">
        <f>IF(A362&lt;='APR and payment'!$E$5,F361*'APR and payment'!$E$6/'APR and payment'!$L$9,"")</f>
        <v>200.79470656166504</v>
      </c>
      <c r="F362" s="22">
        <f>IF(A362&lt;='APR and payment'!$E$5,F361-D362,"")</f>
        <v>22360.608934369091</v>
      </c>
    </row>
    <row r="363" spans="1:6" x14ac:dyDescent="0.25">
      <c r="A363" s="15">
        <v>360</v>
      </c>
      <c r="B363" s="17">
        <f>IF(A363&lt;='APR and payment'!$E$5,'Remaining debt'!A363,"")</f>
        <v>360</v>
      </c>
      <c r="C363" s="22">
        <f>IF(A363&lt;='APR and payment'!$E$5,'APR and payment'!$E$24,"")</f>
        <v>22461.231674784805</v>
      </c>
      <c r="D363" s="22">
        <f>IF(A363&lt;='APR and payment'!$E$5,C363-E363,"")</f>
        <v>22360.608934580145</v>
      </c>
      <c r="E363" s="22">
        <f>IF(A363&lt;='APR and payment'!$E$5,F362*'APR and payment'!$E$6/'APR and payment'!$L$9,"")</f>
        <v>100.6227402046609</v>
      </c>
      <c r="F363" s="22">
        <f>IF(A363&lt;='APR and payment'!$E$5,F362-D363,"")</f>
        <v>-2.1105370251461864E-7</v>
      </c>
    </row>
    <row r="364" spans="1:6" x14ac:dyDescent="0.25">
      <c r="A364" s="15">
        <v>361</v>
      </c>
      <c r="B364" s="17" t="str">
        <f>IF(A364&lt;='APR and payment'!$E$5,'Remaining debt'!A364,"")</f>
        <v/>
      </c>
      <c r="C364" s="22" t="str">
        <f>IF(A364&lt;='APR and payment'!$E$5,'APR and payment'!$E$24,"")</f>
        <v/>
      </c>
      <c r="D364" s="22" t="str">
        <f>IF(A364&lt;='APR and payment'!$E$5,C364-E364,"")</f>
        <v/>
      </c>
      <c r="E364" s="22" t="str">
        <f>IF(A364&lt;='APR and payment'!$E$5,F363*'APR and payment'!$E$6/'APR and payment'!$L$9,"")</f>
        <v/>
      </c>
      <c r="F364" s="22" t="str">
        <f>IF(A364&lt;='APR and payment'!$E$5,F363-D364,"")</f>
        <v/>
      </c>
    </row>
    <row r="365" spans="1:6" x14ac:dyDescent="0.25">
      <c r="A365" s="15">
        <v>362</v>
      </c>
      <c r="B365" s="17" t="str">
        <f>IF(A365&lt;='APR and payment'!$E$5,'Remaining debt'!A365,"")</f>
        <v/>
      </c>
      <c r="C365" s="22" t="str">
        <f>IF(A365&lt;='APR and payment'!$E$5,'APR and payment'!$E$24,"")</f>
        <v/>
      </c>
      <c r="D365" s="22" t="str">
        <f>IF(A365&lt;='APR and payment'!$E$5,C365-E365,"")</f>
        <v/>
      </c>
      <c r="E365" s="22" t="str">
        <f>IF(A365&lt;='APR and payment'!$E$5,F364*'APR and payment'!$E$6/'APR and payment'!$L$9,"")</f>
        <v/>
      </c>
      <c r="F365" s="22" t="str">
        <f>IF(A365&lt;='APR and payment'!$E$5,F364-D365,"")</f>
        <v/>
      </c>
    </row>
    <row r="366" spans="1:6" x14ac:dyDescent="0.25">
      <c r="A366" s="15">
        <v>363</v>
      </c>
      <c r="B366" s="17" t="str">
        <f>IF(A366&lt;='APR and payment'!$E$5,'Remaining debt'!A366,"")</f>
        <v/>
      </c>
      <c r="C366" s="22" t="str">
        <f>IF(A366&lt;='APR and payment'!$E$5,'APR and payment'!$E$24,"")</f>
        <v/>
      </c>
      <c r="D366" s="22" t="str">
        <f>IF(A366&lt;='APR and payment'!$E$5,C366-E366,"")</f>
        <v/>
      </c>
      <c r="E366" s="22" t="str">
        <f>IF(A366&lt;='APR and payment'!$E$5,F365*'APR and payment'!$E$6/'APR and payment'!$L$9,"")</f>
        <v/>
      </c>
      <c r="F366" s="22" t="str">
        <f>IF(A366&lt;='APR and payment'!$E$5,F365-D366,"")</f>
        <v/>
      </c>
    </row>
    <row r="367" spans="1:6" x14ac:dyDescent="0.25">
      <c r="A367" s="15">
        <v>364</v>
      </c>
      <c r="B367" s="17" t="str">
        <f>IF(A367&lt;='APR and payment'!$E$5,'Remaining debt'!A367,"")</f>
        <v/>
      </c>
      <c r="C367" s="22" t="str">
        <f>IF(A367&lt;='APR and payment'!$E$5,'APR and payment'!$E$24,"")</f>
        <v/>
      </c>
      <c r="D367" s="22" t="str">
        <f>IF(A367&lt;='APR and payment'!$E$5,C367-E367,"")</f>
        <v/>
      </c>
      <c r="E367" s="22" t="str">
        <f>IF(A367&lt;='APR and payment'!$E$5,F366*'APR and payment'!$E$6/'APR and payment'!$L$9,"")</f>
        <v/>
      </c>
      <c r="F367" s="22" t="str">
        <f>IF(A367&lt;='APR and payment'!$E$5,F366-D367,"")</f>
        <v/>
      </c>
    </row>
    <row r="368" spans="1:6" x14ac:dyDescent="0.25">
      <c r="A368" s="15">
        <v>365</v>
      </c>
      <c r="B368" s="17" t="str">
        <f>IF(A368&lt;='APR and payment'!$E$5,'Remaining debt'!A368,"")</f>
        <v/>
      </c>
      <c r="C368" s="22" t="str">
        <f>IF(A368&lt;='APR and payment'!$E$5,'APR and payment'!$E$24,"")</f>
        <v/>
      </c>
      <c r="D368" s="22" t="str">
        <f>IF(A368&lt;='APR and payment'!$E$5,C368-E368,"")</f>
        <v/>
      </c>
      <c r="E368" s="22" t="str">
        <f>IF(A368&lt;='APR and payment'!$E$5,F367*'APR and payment'!$E$6/'APR and payment'!$L$9,"")</f>
        <v/>
      </c>
      <c r="F368" s="22" t="str">
        <f>IF(A368&lt;='APR and payment'!$E$5,F367-D368,"")</f>
        <v/>
      </c>
    </row>
    <row r="369" spans="1:6" x14ac:dyDescent="0.25">
      <c r="A369" s="15">
        <v>366</v>
      </c>
      <c r="B369" s="17" t="str">
        <f>IF(A369&lt;='APR and payment'!$E$5,'Remaining debt'!A369,"")</f>
        <v/>
      </c>
      <c r="C369" s="22" t="str">
        <f>IF(A369&lt;='APR and payment'!$E$5,'APR and payment'!$E$24,"")</f>
        <v/>
      </c>
      <c r="D369" s="22" t="str">
        <f>IF(A369&lt;='APR and payment'!$E$5,C369-E369,"")</f>
        <v/>
      </c>
      <c r="E369" s="22" t="str">
        <f>IF(A369&lt;='APR and payment'!$E$5,F368*'APR and payment'!$E$6/'APR and payment'!$L$9,"")</f>
        <v/>
      </c>
      <c r="F369" s="22" t="str">
        <f>IF(A369&lt;='APR and payment'!$E$5,F368-D369,"")</f>
        <v/>
      </c>
    </row>
    <row r="370" spans="1:6" x14ac:dyDescent="0.25">
      <c r="A370" s="15">
        <v>367</v>
      </c>
      <c r="B370" s="17" t="str">
        <f>IF(A370&lt;='APR and payment'!$E$5,'Remaining debt'!A370,"")</f>
        <v/>
      </c>
      <c r="C370" s="22" t="str">
        <f>IF(A370&lt;='APR and payment'!$E$5,'APR and payment'!$E$24,"")</f>
        <v/>
      </c>
      <c r="D370" s="22" t="str">
        <f>IF(A370&lt;='APR and payment'!$E$5,C370-E370,"")</f>
        <v/>
      </c>
      <c r="E370" s="22" t="str">
        <f>IF(A370&lt;='APR and payment'!$E$5,F369*'APR and payment'!$E$6/'APR and payment'!$L$9,"")</f>
        <v/>
      </c>
      <c r="F370" s="22" t="str">
        <f>IF(A370&lt;='APR and payment'!$E$5,F369-D370,"")</f>
        <v/>
      </c>
    </row>
    <row r="371" spans="1:6" x14ac:dyDescent="0.25">
      <c r="A371" s="15">
        <v>368</v>
      </c>
      <c r="B371" s="17" t="str">
        <f>IF(A371&lt;='APR and payment'!$E$5,'Remaining debt'!A371,"")</f>
        <v/>
      </c>
      <c r="C371" s="22" t="str">
        <f>IF(A371&lt;='APR and payment'!$E$5,'APR and payment'!$E$24,"")</f>
        <v/>
      </c>
      <c r="D371" s="22" t="str">
        <f>IF(A371&lt;='APR and payment'!$E$5,C371-E371,"")</f>
        <v/>
      </c>
      <c r="E371" s="22" t="str">
        <f>IF(A371&lt;='APR and payment'!$E$5,F370*'APR and payment'!$E$6/'APR and payment'!$L$9,"")</f>
        <v/>
      </c>
      <c r="F371" s="22" t="str">
        <f>IF(A371&lt;='APR and payment'!$E$5,F370-D371,"")</f>
        <v/>
      </c>
    </row>
    <row r="372" spans="1:6" x14ac:dyDescent="0.25">
      <c r="A372" s="15">
        <v>369</v>
      </c>
      <c r="B372" s="17" t="str">
        <f>IF(A372&lt;='APR and payment'!$E$5,'Remaining debt'!A372,"")</f>
        <v/>
      </c>
      <c r="C372" s="22" t="str">
        <f>IF(A372&lt;='APR and payment'!$E$5,'APR and payment'!$E$24,"")</f>
        <v/>
      </c>
      <c r="D372" s="22" t="str">
        <f>IF(A372&lt;='APR and payment'!$E$5,C372-E372,"")</f>
        <v/>
      </c>
      <c r="E372" s="22" t="str">
        <f>IF(A372&lt;='APR and payment'!$E$5,F371*'APR and payment'!$E$6/'APR and payment'!$L$9,"")</f>
        <v/>
      </c>
      <c r="F372" s="22" t="str">
        <f>IF(A372&lt;='APR and payment'!$E$5,F371-D372,"")</f>
        <v/>
      </c>
    </row>
    <row r="373" spans="1:6" x14ac:dyDescent="0.25">
      <c r="A373" s="15">
        <v>370</v>
      </c>
      <c r="B373" s="17" t="str">
        <f>IF(A373&lt;='APR and payment'!$E$5,'Remaining debt'!A373,"")</f>
        <v/>
      </c>
      <c r="C373" s="22" t="str">
        <f>IF(A373&lt;='APR and payment'!$E$5,'APR and payment'!$E$24,"")</f>
        <v/>
      </c>
      <c r="D373" s="22" t="str">
        <f>IF(A373&lt;='APR and payment'!$E$5,C373-E373,"")</f>
        <v/>
      </c>
      <c r="E373" s="22" t="str">
        <f>IF(A373&lt;='APR and payment'!$E$5,F372*'APR and payment'!$E$6/'APR and payment'!$L$9,"")</f>
        <v/>
      </c>
      <c r="F373" s="22" t="str">
        <f>IF(A373&lt;='APR and payment'!$E$5,F372-D373,"")</f>
        <v/>
      </c>
    </row>
    <row r="374" spans="1:6" x14ac:dyDescent="0.25">
      <c r="A374" s="15">
        <v>371</v>
      </c>
      <c r="B374" s="17" t="str">
        <f>IF(A374&lt;='APR and payment'!$E$5,'Remaining debt'!A374,"")</f>
        <v/>
      </c>
      <c r="C374" s="22" t="str">
        <f>IF(A374&lt;='APR and payment'!$E$5,'APR and payment'!$E$24,"")</f>
        <v/>
      </c>
      <c r="D374" s="22" t="str">
        <f>IF(A374&lt;='APR and payment'!$E$5,C374-E374,"")</f>
        <v/>
      </c>
      <c r="E374" s="22" t="str">
        <f>IF(A374&lt;='APR and payment'!$E$5,F373*'APR and payment'!$E$6/'APR and payment'!$L$9,"")</f>
        <v/>
      </c>
      <c r="F374" s="22" t="str">
        <f>IF(A374&lt;='APR and payment'!$E$5,F373-D374,"")</f>
        <v/>
      </c>
    </row>
    <row r="375" spans="1:6" x14ac:dyDescent="0.25">
      <c r="A375" s="15">
        <v>372</v>
      </c>
      <c r="B375" s="17" t="str">
        <f>IF(A375&lt;='APR and payment'!$E$5,'Remaining debt'!A375,"")</f>
        <v/>
      </c>
      <c r="C375" s="22" t="str">
        <f>IF(A375&lt;='APR and payment'!$E$5,'APR and payment'!$E$24,"")</f>
        <v/>
      </c>
      <c r="D375" s="22" t="str">
        <f>IF(A375&lt;='APR and payment'!$E$5,C375-E375,"")</f>
        <v/>
      </c>
      <c r="E375" s="22" t="str">
        <f>IF(A375&lt;='APR and payment'!$E$5,F374*'APR and payment'!$E$6/'APR and payment'!$L$9,"")</f>
        <v/>
      </c>
      <c r="F375" s="22" t="str">
        <f>IF(A375&lt;='APR and payment'!$E$5,F374-D375,"")</f>
        <v/>
      </c>
    </row>
    <row r="376" spans="1:6" x14ac:dyDescent="0.25">
      <c r="A376" s="15">
        <v>373</v>
      </c>
      <c r="B376" s="17" t="str">
        <f>IF(A376&lt;='APR and payment'!$E$5,'Remaining debt'!A376,"")</f>
        <v/>
      </c>
      <c r="C376" s="22" t="str">
        <f>IF(A376&lt;='APR and payment'!$E$5,'APR and payment'!$E$24,"")</f>
        <v/>
      </c>
      <c r="D376" s="22" t="str">
        <f>IF(A376&lt;='APR and payment'!$E$5,C376-E376,"")</f>
        <v/>
      </c>
      <c r="E376" s="22" t="str">
        <f>IF(A376&lt;='APR and payment'!$E$5,F375*'APR and payment'!$E$6/'APR and payment'!$L$9,"")</f>
        <v/>
      </c>
      <c r="F376" s="22" t="str">
        <f>IF(A376&lt;='APR and payment'!$E$5,F375-D376,"")</f>
        <v/>
      </c>
    </row>
    <row r="377" spans="1:6" x14ac:dyDescent="0.25">
      <c r="A377" s="15">
        <v>374</v>
      </c>
      <c r="B377" s="17" t="str">
        <f>IF(A377&lt;='APR and payment'!$E$5,'Remaining debt'!A377,"")</f>
        <v/>
      </c>
      <c r="C377" s="22" t="str">
        <f>IF(A377&lt;='APR and payment'!$E$5,'APR and payment'!$E$24,"")</f>
        <v/>
      </c>
      <c r="D377" s="22" t="str">
        <f>IF(A377&lt;='APR and payment'!$E$5,C377-E377,"")</f>
        <v/>
      </c>
      <c r="E377" s="22" t="str">
        <f>IF(A377&lt;='APR and payment'!$E$5,F376*'APR and payment'!$E$6/'APR and payment'!$L$9,"")</f>
        <v/>
      </c>
      <c r="F377" s="22" t="str">
        <f>IF(A377&lt;='APR and payment'!$E$5,F376-D377,"")</f>
        <v/>
      </c>
    </row>
    <row r="378" spans="1:6" x14ac:dyDescent="0.25">
      <c r="A378" s="15">
        <v>375</v>
      </c>
      <c r="B378" s="17" t="str">
        <f>IF(A378&lt;='APR and payment'!$E$5,'Remaining debt'!A378,"")</f>
        <v/>
      </c>
      <c r="C378" s="22" t="str">
        <f>IF(A378&lt;='APR and payment'!$E$5,'APR and payment'!$E$24,"")</f>
        <v/>
      </c>
      <c r="D378" s="22" t="str">
        <f>IF(A378&lt;='APR and payment'!$E$5,C378-E378,"")</f>
        <v/>
      </c>
      <c r="E378" s="22" t="str">
        <f>IF(A378&lt;='APR and payment'!$E$5,F377*'APR and payment'!$E$6/'APR and payment'!$L$9,"")</f>
        <v/>
      </c>
      <c r="F378" s="22" t="str">
        <f>IF(A378&lt;='APR and payment'!$E$5,F377-D378,"")</f>
        <v/>
      </c>
    </row>
    <row r="379" spans="1:6" x14ac:dyDescent="0.25">
      <c r="A379" s="15">
        <v>376</v>
      </c>
      <c r="B379" s="17" t="str">
        <f>IF(A379&lt;='APR and payment'!$E$5,'Remaining debt'!A379,"")</f>
        <v/>
      </c>
      <c r="C379" s="22" t="str">
        <f>IF(A379&lt;='APR and payment'!$E$5,'APR and payment'!$E$24,"")</f>
        <v/>
      </c>
      <c r="D379" s="22" t="str">
        <f>IF(A379&lt;='APR and payment'!$E$5,C379-E379,"")</f>
        <v/>
      </c>
      <c r="E379" s="22" t="str">
        <f>IF(A379&lt;='APR and payment'!$E$5,F378*'APR and payment'!$E$6/'APR and payment'!$L$9,"")</f>
        <v/>
      </c>
      <c r="F379" s="22" t="str">
        <f>IF(A379&lt;='APR and payment'!$E$5,F378-D379,"")</f>
        <v/>
      </c>
    </row>
    <row r="380" spans="1:6" x14ac:dyDescent="0.25">
      <c r="A380" s="15">
        <v>377</v>
      </c>
      <c r="B380" s="17" t="str">
        <f>IF(A380&lt;='APR and payment'!$E$5,'Remaining debt'!A380,"")</f>
        <v/>
      </c>
      <c r="C380" s="22" t="str">
        <f>IF(A380&lt;='APR and payment'!$E$5,'APR and payment'!$E$24,"")</f>
        <v/>
      </c>
      <c r="D380" s="22" t="str">
        <f>IF(A380&lt;='APR and payment'!$E$5,C380-E380,"")</f>
        <v/>
      </c>
      <c r="E380" s="22" t="str">
        <f>IF(A380&lt;='APR and payment'!$E$5,F379*'APR and payment'!$E$6/'APR and payment'!$L$9,"")</f>
        <v/>
      </c>
      <c r="F380" s="22" t="str">
        <f>IF(A380&lt;='APR and payment'!$E$5,F379-D380,"")</f>
        <v/>
      </c>
    </row>
    <row r="381" spans="1:6" x14ac:dyDescent="0.25">
      <c r="A381" s="15">
        <v>378</v>
      </c>
      <c r="B381" s="17" t="str">
        <f>IF(A381&lt;='APR and payment'!$E$5,'Remaining debt'!A381,"")</f>
        <v/>
      </c>
      <c r="C381" s="22" t="str">
        <f>IF(A381&lt;='APR and payment'!$E$5,'APR and payment'!$E$24,"")</f>
        <v/>
      </c>
      <c r="D381" s="22" t="str">
        <f>IF(A381&lt;='APR and payment'!$E$5,C381-E381,"")</f>
        <v/>
      </c>
      <c r="E381" s="22" t="str">
        <f>IF(A381&lt;='APR and payment'!$E$5,F380*'APR and payment'!$E$6/'APR and payment'!$L$9,"")</f>
        <v/>
      </c>
      <c r="F381" s="22" t="str">
        <f>IF(A381&lt;='APR and payment'!$E$5,F380-D381,"")</f>
        <v/>
      </c>
    </row>
    <row r="382" spans="1:6" x14ac:dyDescent="0.25">
      <c r="A382" s="15">
        <v>379</v>
      </c>
      <c r="B382" s="17" t="str">
        <f>IF(A382&lt;='APR and payment'!$E$5,'Remaining debt'!A382,"")</f>
        <v/>
      </c>
      <c r="C382" s="22" t="str">
        <f>IF(A382&lt;='APR and payment'!$E$5,'APR and payment'!$E$24,"")</f>
        <v/>
      </c>
      <c r="D382" s="22" t="str">
        <f>IF(A382&lt;='APR and payment'!$E$5,C382-E382,"")</f>
        <v/>
      </c>
      <c r="E382" s="22" t="str">
        <f>IF(A382&lt;='APR and payment'!$E$5,F381*'APR and payment'!$E$6/'APR and payment'!$L$9,"")</f>
        <v/>
      </c>
      <c r="F382" s="22" t="str">
        <f>IF(A382&lt;='APR and payment'!$E$5,F381-D382,"")</f>
        <v/>
      </c>
    </row>
    <row r="383" spans="1:6" x14ac:dyDescent="0.25">
      <c r="A383" s="15">
        <v>380</v>
      </c>
      <c r="B383" s="17" t="str">
        <f>IF(A383&lt;='APR and payment'!$E$5,'Remaining debt'!A383,"")</f>
        <v/>
      </c>
      <c r="C383" s="22" t="str">
        <f>IF(A383&lt;='APR and payment'!$E$5,'APR and payment'!$E$24,"")</f>
        <v/>
      </c>
      <c r="D383" s="22" t="str">
        <f>IF(A383&lt;='APR and payment'!$E$5,C383-E383,"")</f>
        <v/>
      </c>
      <c r="E383" s="22" t="str">
        <f>IF(A383&lt;='APR and payment'!$E$5,F382*'APR and payment'!$E$6/'APR and payment'!$L$9,"")</f>
        <v/>
      </c>
      <c r="F383" s="22" t="str">
        <f>IF(A383&lt;='APR and payment'!$E$5,F382-D383,"")</f>
        <v/>
      </c>
    </row>
    <row r="384" spans="1:6" x14ac:dyDescent="0.25">
      <c r="A384" s="15">
        <v>381</v>
      </c>
      <c r="B384" s="17" t="str">
        <f>IF(A384&lt;='APR and payment'!$E$5,'Remaining debt'!A384,"")</f>
        <v/>
      </c>
      <c r="C384" s="22" t="str">
        <f>IF(A384&lt;='APR and payment'!$E$5,'APR and payment'!$E$24,"")</f>
        <v/>
      </c>
      <c r="D384" s="22" t="str">
        <f>IF(A384&lt;='APR and payment'!$E$5,C384-E384,"")</f>
        <v/>
      </c>
      <c r="E384" s="22" t="str">
        <f>IF(A384&lt;='APR and payment'!$E$5,F383*'APR and payment'!$E$6/'APR and payment'!$L$9,"")</f>
        <v/>
      </c>
      <c r="F384" s="22" t="str">
        <f>IF(A384&lt;='APR and payment'!$E$5,F383-D384,"")</f>
        <v/>
      </c>
    </row>
    <row r="385" spans="1:6" x14ac:dyDescent="0.25">
      <c r="A385" s="15">
        <v>382</v>
      </c>
      <c r="B385" s="17" t="str">
        <f>IF(A385&lt;='APR and payment'!$E$5,'Remaining debt'!A385,"")</f>
        <v/>
      </c>
      <c r="C385" s="22" t="str">
        <f>IF(A385&lt;='APR and payment'!$E$5,'APR and payment'!$E$24,"")</f>
        <v/>
      </c>
      <c r="D385" s="22" t="str">
        <f>IF(A385&lt;='APR and payment'!$E$5,C385-E385,"")</f>
        <v/>
      </c>
      <c r="E385" s="22" t="str">
        <f>IF(A385&lt;='APR and payment'!$E$5,F384*'APR and payment'!$E$6/'APR and payment'!$L$9,"")</f>
        <v/>
      </c>
      <c r="F385" s="22" t="str">
        <f>IF(A385&lt;='APR and payment'!$E$5,F384-D385,"")</f>
        <v/>
      </c>
    </row>
    <row r="386" spans="1:6" x14ac:dyDescent="0.25">
      <c r="A386" s="15">
        <v>383</v>
      </c>
      <c r="B386" s="17" t="str">
        <f>IF(A386&lt;='APR and payment'!$E$5,'Remaining debt'!A386,"")</f>
        <v/>
      </c>
      <c r="C386" s="22" t="str">
        <f>IF(A386&lt;='APR and payment'!$E$5,'APR and payment'!$E$24,"")</f>
        <v/>
      </c>
      <c r="D386" s="22" t="str">
        <f>IF(A386&lt;='APR and payment'!$E$5,C386-E386,"")</f>
        <v/>
      </c>
      <c r="E386" s="22" t="str">
        <f>IF(A386&lt;='APR and payment'!$E$5,F385*'APR and payment'!$E$6/'APR and payment'!$L$9,"")</f>
        <v/>
      </c>
      <c r="F386" s="22" t="str">
        <f>IF(A386&lt;='APR and payment'!$E$5,F385-D386,"")</f>
        <v/>
      </c>
    </row>
    <row r="387" spans="1:6" x14ac:dyDescent="0.25">
      <c r="A387" s="15">
        <v>384</v>
      </c>
      <c r="B387" s="17" t="str">
        <f>IF(A387&lt;='APR and payment'!$E$5,'Remaining debt'!A387,"")</f>
        <v/>
      </c>
      <c r="C387" s="22" t="str">
        <f>IF(A387&lt;='APR and payment'!$E$5,'APR and payment'!$E$24,"")</f>
        <v/>
      </c>
      <c r="D387" s="22" t="str">
        <f>IF(A387&lt;='APR and payment'!$E$5,C387-E387,"")</f>
        <v/>
      </c>
      <c r="E387" s="22" t="str">
        <f>IF(A387&lt;='APR and payment'!$E$5,F386*'APR and payment'!$E$6/'APR and payment'!$L$9,"")</f>
        <v/>
      </c>
      <c r="F387" s="22" t="str">
        <f>IF(A387&lt;='APR and payment'!$E$5,F386-D387,"")</f>
        <v/>
      </c>
    </row>
    <row r="388" spans="1:6" x14ac:dyDescent="0.25">
      <c r="A388" s="15">
        <v>385</v>
      </c>
      <c r="B388" s="17" t="str">
        <f>IF(A388&lt;='APR and payment'!$E$5,'Remaining debt'!A388,"")</f>
        <v/>
      </c>
      <c r="C388" s="22" t="str">
        <f>IF(A388&lt;='APR and payment'!$E$5,'APR and payment'!$E$24,"")</f>
        <v/>
      </c>
      <c r="D388" s="22" t="str">
        <f>IF(A388&lt;='APR and payment'!$E$5,C388-E388,"")</f>
        <v/>
      </c>
      <c r="E388" s="22" t="str">
        <f>IF(A388&lt;='APR and payment'!$E$5,F387*'APR and payment'!$E$6/'APR and payment'!$L$9,"")</f>
        <v/>
      </c>
      <c r="F388" s="22" t="str">
        <f>IF(A388&lt;='APR and payment'!$E$5,F387-D388,"")</f>
        <v/>
      </c>
    </row>
    <row r="389" spans="1:6" x14ac:dyDescent="0.25">
      <c r="A389" s="15">
        <v>386</v>
      </c>
      <c r="B389" s="17" t="str">
        <f>IF(A389&lt;='APR and payment'!$E$5,'Remaining debt'!A389,"")</f>
        <v/>
      </c>
      <c r="C389" s="22" t="str">
        <f>IF(A389&lt;='APR and payment'!$E$5,'APR and payment'!$E$24,"")</f>
        <v/>
      </c>
      <c r="D389" s="22" t="str">
        <f>IF(A389&lt;='APR and payment'!$E$5,C389-E389,"")</f>
        <v/>
      </c>
      <c r="E389" s="22" t="str">
        <f>IF(A389&lt;='APR and payment'!$E$5,F388*'APR and payment'!$E$6/'APR and payment'!$L$9,"")</f>
        <v/>
      </c>
      <c r="F389" s="22" t="str">
        <f>IF(A389&lt;='APR and payment'!$E$5,F388-D389,"")</f>
        <v/>
      </c>
    </row>
    <row r="390" spans="1:6" x14ac:dyDescent="0.25">
      <c r="A390" s="15">
        <v>387</v>
      </c>
      <c r="B390" s="17" t="str">
        <f>IF(A390&lt;='APR and payment'!$E$5,'Remaining debt'!A390,"")</f>
        <v/>
      </c>
      <c r="C390" s="22" t="str">
        <f>IF(A390&lt;='APR and payment'!$E$5,'APR and payment'!$E$24,"")</f>
        <v/>
      </c>
      <c r="D390" s="22" t="str">
        <f>IF(A390&lt;='APR and payment'!$E$5,C390-E390,"")</f>
        <v/>
      </c>
      <c r="E390" s="22" t="str">
        <f>IF(A390&lt;='APR and payment'!$E$5,F389*'APR and payment'!$E$6/'APR and payment'!$L$9,"")</f>
        <v/>
      </c>
      <c r="F390" s="22" t="str">
        <f>IF(A390&lt;='APR and payment'!$E$5,F389-D390,"")</f>
        <v/>
      </c>
    </row>
    <row r="391" spans="1:6" x14ac:dyDescent="0.25">
      <c r="A391" s="15">
        <v>388</v>
      </c>
      <c r="B391" s="17" t="str">
        <f>IF(A391&lt;='APR and payment'!$E$5,'Remaining debt'!A391,"")</f>
        <v/>
      </c>
      <c r="C391" s="22" t="str">
        <f>IF(A391&lt;='APR and payment'!$E$5,'APR and payment'!$E$24,"")</f>
        <v/>
      </c>
      <c r="D391" s="22" t="str">
        <f>IF(A391&lt;='APR and payment'!$E$5,C391-E391,"")</f>
        <v/>
      </c>
      <c r="E391" s="22" t="str">
        <f>IF(A391&lt;='APR and payment'!$E$5,F390*'APR and payment'!$E$6/'APR and payment'!$L$9,"")</f>
        <v/>
      </c>
      <c r="F391" s="22" t="str">
        <f>IF(A391&lt;='APR and payment'!$E$5,F390-D391,"")</f>
        <v/>
      </c>
    </row>
    <row r="392" spans="1:6" x14ac:dyDescent="0.25">
      <c r="A392" s="15">
        <v>389</v>
      </c>
      <c r="B392" s="17" t="str">
        <f>IF(A392&lt;='APR and payment'!$E$5,'Remaining debt'!A392,"")</f>
        <v/>
      </c>
      <c r="C392" s="22" t="str">
        <f>IF(A392&lt;='APR and payment'!$E$5,'APR and payment'!$E$24,"")</f>
        <v/>
      </c>
      <c r="D392" s="22" t="str">
        <f>IF(A392&lt;='APR and payment'!$E$5,C392-E392,"")</f>
        <v/>
      </c>
      <c r="E392" s="22" t="str">
        <f>IF(A392&lt;='APR and payment'!$E$5,F391*'APR and payment'!$E$6/'APR and payment'!$L$9,"")</f>
        <v/>
      </c>
      <c r="F392" s="22" t="str">
        <f>IF(A392&lt;='APR and payment'!$E$5,F391-D392,"")</f>
        <v/>
      </c>
    </row>
    <row r="393" spans="1:6" x14ac:dyDescent="0.25">
      <c r="A393" s="15">
        <v>390</v>
      </c>
      <c r="B393" s="17" t="str">
        <f>IF(A393&lt;='APR and payment'!$E$5,'Remaining debt'!A393,"")</f>
        <v/>
      </c>
      <c r="C393" s="22" t="str">
        <f>IF(A393&lt;='APR and payment'!$E$5,'APR and payment'!$E$24,"")</f>
        <v/>
      </c>
      <c r="D393" s="22" t="str">
        <f>IF(A393&lt;='APR and payment'!$E$5,C393-E393,"")</f>
        <v/>
      </c>
      <c r="E393" s="22" t="str">
        <f>IF(A393&lt;='APR and payment'!$E$5,F392*'APR and payment'!$E$6/'APR and payment'!$L$9,"")</f>
        <v/>
      </c>
      <c r="F393" s="22" t="str">
        <f>IF(A393&lt;='APR and payment'!$E$5,F392-D393,"")</f>
        <v/>
      </c>
    </row>
    <row r="394" spans="1:6" x14ac:dyDescent="0.25">
      <c r="A394" s="15">
        <v>391</v>
      </c>
      <c r="B394" s="17" t="str">
        <f>IF(A394&lt;='APR and payment'!$E$5,'Remaining debt'!A394,"")</f>
        <v/>
      </c>
      <c r="C394" s="22" t="str">
        <f>IF(A394&lt;='APR and payment'!$E$5,'APR and payment'!$E$24,"")</f>
        <v/>
      </c>
      <c r="D394" s="22" t="str">
        <f>IF(A394&lt;='APR and payment'!$E$5,C394-E394,"")</f>
        <v/>
      </c>
      <c r="E394" s="22" t="str">
        <f>IF(A394&lt;='APR and payment'!$E$5,F393*'APR and payment'!$E$6/'APR and payment'!$L$9,"")</f>
        <v/>
      </c>
      <c r="F394" s="22" t="str">
        <f>IF(A394&lt;='APR and payment'!$E$5,F393-D394,"")</f>
        <v/>
      </c>
    </row>
    <row r="395" spans="1:6" x14ac:dyDescent="0.25">
      <c r="A395" s="15">
        <v>392</v>
      </c>
      <c r="B395" s="17" t="str">
        <f>IF(A395&lt;='APR and payment'!$E$5,'Remaining debt'!A395,"")</f>
        <v/>
      </c>
      <c r="C395" s="22" t="str">
        <f>IF(A395&lt;='APR and payment'!$E$5,'APR and payment'!$E$24,"")</f>
        <v/>
      </c>
      <c r="D395" s="22" t="str">
        <f>IF(A395&lt;='APR and payment'!$E$5,C395-E395,"")</f>
        <v/>
      </c>
      <c r="E395" s="22" t="str">
        <f>IF(A395&lt;='APR and payment'!$E$5,F394*'APR and payment'!$E$6/'APR and payment'!$L$9,"")</f>
        <v/>
      </c>
      <c r="F395" s="22" t="str">
        <f>IF(A395&lt;='APR and payment'!$E$5,F394-D395,"")</f>
        <v/>
      </c>
    </row>
    <row r="396" spans="1:6" x14ac:dyDescent="0.25">
      <c r="A396" s="15">
        <v>393</v>
      </c>
      <c r="B396" s="17" t="str">
        <f>IF(A396&lt;='APR and payment'!$E$5,'Remaining debt'!A396,"")</f>
        <v/>
      </c>
      <c r="C396" s="22" t="str">
        <f>IF(A396&lt;='APR and payment'!$E$5,'APR and payment'!$E$24,"")</f>
        <v/>
      </c>
      <c r="D396" s="22" t="str">
        <f>IF(A396&lt;='APR and payment'!$E$5,C396-E396,"")</f>
        <v/>
      </c>
      <c r="E396" s="22" t="str">
        <f>IF(A396&lt;='APR and payment'!$E$5,F395*'APR and payment'!$E$6/'APR and payment'!$L$9,"")</f>
        <v/>
      </c>
      <c r="F396" s="22" t="str">
        <f>IF(A396&lt;='APR and payment'!$E$5,F395-D396,"")</f>
        <v/>
      </c>
    </row>
    <row r="397" spans="1:6" x14ac:dyDescent="0.25">
      <c r="A397" s="15">
        <v>394</v>
      </c>
      <c r="B397" s="17" t="str">
        <f>IF(A397&lt;='APR and payment'!$E$5,'Remaining debt'!A397,"")</f>
        <v/>
      </c>
      <c r="C397" s="22" t="str">
        <f>IF(A397&lt;='APR and payment'!$E$5,'APR and payment'!$E$24,"")</f>
        <v/>
      </c>
      <c r="D397" s="22" t="str">
        <f>IF(A397&lt;='APR and payment'!$E$5,C397-E397,"")</f>
        <v/>
      </c>
      <c r="E397" s="22" t="str">
        <f>IF(A397&lt;='APR and payment'!$E$5,F396*'APR and payment'!$E$6/'APR and payment'!$L$9,"")</f>
        <v/>
      </c>
      <c r="F397" s="22" t="str">
        <f>IF(A397&lt;='APR and payment'!$E$5,F396-D397,"")</f>
        <v/>
      </c>
    </row>
    <row r="398" spans="1:6" x14ac:dyDescent="0.25">
      <c r="A398" s="15">
        <v>395</v>
      </c>
      <c r="B398" s="17" t="str">
        <f>IF(A398&lt;='APR and payment'!$E$5,'Remaining debt'!A398,"")</f>
        <v/>
      </c>
      <c r="C398" s="22" t="str">
        <f>IF(A398&lt;='APR and payment'!$E$5,'APR and payment'!$E$24,"")</f>
        <v/>
      </c>
      <c r="D398" s="22" t="str">
        <f>IF(A398&lt;='APR and payment'!$E$5,C398-E398,"")</f>
        <v/>
      </c>
      <c r="E398" s="22" t="str">
        <f>IF(A398&lt;='APR and payment'!$E$5,F397*'APR and payment'!$E$6/'APR and payment'!$L$9,"")</f>
        <v/>
      </c>
      <c r="F398" s="22" t="str">
        <f>IF(A398&lt;='APR and payment'!$E$5,F397-D398,"")</f>
        <v/>
      </c>
    </row>
    <row r="399" spans="1:6" x14ac:dyDescent="0.25">
      <c r="A399" s="15">
        <v>396</v>
      </c>
      <c r="B399" s="17" t="str">
        <f>IF(A399&lt;='APR and payment'!$E$5,'Remaining debt'!A399,"")</f>
        <v/>
      </c>
      <c r="C399" s="22" t="str">
        <f>IF(A399&lt;='APR and payment'!$E$5,'APR and payment'!$E$24,"")</f>
        <v/>
      </c>
      <c r="D399" s="22" t="str">
        <f>IF(A399&lt;='APR and payment'!$E$5,C399-E399,"")</f>
        <v/>
      </c>
      <c r="E399" s="22" t="str">
        <f>IF(A399&lt;='APR and payment'!$E$5,F398*'APR and payment'!$E$6/'APR and payment'!$L$9,"")</f>
        <v/>
      </c>
      <c r="F399" s="22" t="str">
        <f>IF(A399&lt;='APR and payment'!$E$5,F398-D399,"")</f>
        <v/>
      </c>
    </row>
    <row r="400" spans="1:6" x14ac:dyDescent="0.25">
      <c r="A400" s="15">
        <v>397</v>
      </c>
      <c r="B400" s="17" t="str">
        <f>IF(A400&lt;='APR and payment'!$E$5,'Remaining debt'!A400,"")</f>
        <v/>
      </c>
      <c r="C400" s="22" t="str">
        <f>IF(A400&lt;='APR and payment'!$E$5,'APR and payment'!$E$24,"")</f>
        <v/>
      </c>
      <c r="D400" s="22" t="str">
        <f>IF(A400&lt;='APR and payment'!$E$5,C400-E400,"")</f>
        <v/>
      </c>
      <c r="E400" s="22" t="str">
        <f>IF(A400&lt;='APR and payment'!$E$5,F399*'APR and payment'!$E$6/'APR and payment'!$L$9,"")</f>
        <v/>
      </c>
      <c r="F400" s="22" t="str">
        <f>IF(A400&lt;='APR and payment'!$E$5,F399-D400,"")</f>
        <v/>
      </c>
    </row>
    <row r="401" spans="1:6" x14ac:dyDescent="0.25">
      <c r="A401" s="15">
        <v>398</v>
      </c>
      <c r="B401" s="17" t="str">
        <f>IF(A401&lt;='APR and payment'!$E$5,'Remaining debt'!A401,"")</f>
        <v/>
      </c>
      <c r="C401" s="22" t="str">
        <f>IF(A401&lt;='APR and payment'!$E$5,'APR and payment'!$E$24,"")</f>
        <v/>
      </c>
      <c r="D401" s="22" t="str">
        <f>IF(A401&lt;='APR and payment'!$E$5,C401-E401,"")</f>
        <v/>
      </c>
      <c r="E401" s="22" t="str">
        <f>IF(A401&lt;='APR and payment'!$E$5,F400*'APR and payment'!$E$6/'APR and payment'!$L$9,"")</f>
        <v/>
      </c>
      <c r="F401" s="22" t="str">
        <f>IF(A401&lt;='APR and payment'!$E$5,F400-D401,"")</f>
        <v/>
      </c>
    </row>
    <row r="402" spans="1:6" x14ac:dyDescent="0.25">
      <c r="A402" s="15">
        <v>399</v>
      </c>
      <c r="B402" s="17" t="str">
        <f>IF(A402&lt;='APR and payment'!$E$5,'Remaining debt'!A402,"")</f>
        <v/>
      </c>
      <c r="C402" s="22" t="str">
        <f>IF(A402&lt;='APR and payment'!$E$5,'APR and payment'!$E$24,"")</f>
        <v/>
      </c>
      <c r="D402" s="22" t="str">
        <f>IF(A402&lt;='APR and payment'!$E$5,C402-E402,"")</f>
        <v/>
      </c>
      <c r="E402" s="22" t="str">
        <f>IF(A402&lt;='APR and payment'!$E$5,F401*'APR and payment'!$E$6/'APR and payment'!$L$9,"")</f>
        <v/>
      </c>
      <c r="F402" s="22" t="str">
        <f>IF(A402&lt;='APR and payment'!$E$5,F401-D402,"")</f>
        <v/>
      </c>
    </row>
    <row r="403" spans="1:6" x14ac:dyDescent="0.25">
      <c r="A403" s="15">
        <v>400</v>
      </c>
      <c r="B403" s="17" t="str">
        <f>IF(A403&lt;='APR and payment'!$E$5,'Remaining debt'!A403,"")</f>
        <v/>
      </c>
      <c r="C403" s="22" t="str">
        <f>IF(A403&lt;='APR and payment'!$E$5,'APR and payment'!$E$24,"")</f>
        <v/>
      </c>
      <c r="D403" s="22" t="str">
        <f>IF(A403&lt;='APR and payment'!$E$5,C403-E403,"")</f>
        <v/>
      </c>
      <c r="E403" s="22" t="str">
        <f>IF(A403&lt;='APR and payment'!$E$5,F402*'APR and payment'!$E$6/'APR and payment'!$L$9,"")</f>
        <v/>
      </c>
      <c r="F403" s="22" t="str">
        <f>IF(A403&lt;='APR and payment'!$E$5,F402-D403,"")</f>
        <v/>
      </c>
    </row>
    <row r="404" spans="1:6" x14ac:dyDescent="0.25">
      <c r="A404" s="15">
        <v>401</v>
      </c>
      <c r="B404" s="17" t="str">
        <f>IF(A404&lt;='APR and payment'!$E$5,'Remaining debt'!A404,"")</f>
        <v/>
      </c>
      <c r="C404" s="22" t="str">
        <f>IF(A404&lt;='APR and payment'!$E$5,'APR and payment'!$E$24,"")</f>
        <v/>
      </c>
      <c r="D404" s="22" t="str">
        <f>IF(A404&lt;='APR and payment'!$E$5,C404-E404,"")</f>
        <v/>
      </c>
      <c r="E404" s="22" t="str">
        <f>IF(A404&lt;='APR and payment'!$E$5,F403*'APR and payment'!$E$6/'APR and payment'!$L$9,"")</f>
        <v/>
      </c>
      <c r="F404" s="22" t="str">
        <f>IF(A404&lt;='APR and payment'!$E$5,F403-D404,"")</f>
        <v/>
      </c>
    </row>
    <row r="405" spans="1:6" x14ac:dyDescent="0.25">
      <c r="A405" s="15">
        <v>402</v>
      </c>
      <c r="B405" s="17" t="str">
        <f>IF(A405&lt;='APR and payment'!$E$5,'Remaining debt'!A405,"")</f>
        <v/>
      </c>
      <c r="C405" s="22" t="str">
        <f>IF(A405&lt;='APR and payment'!$E$5,'APR and payment'!$E$24,"")</f>
        <v/>
      </c>
      <c r="D405" s="22" t="str">
        <f>IF(A405&lt;='APR and payment'!$E$5,C405-E405,"")</f>
        <v/>
      </c>
      <c r="E405" s="22" t="str">
        <f>IF(A405&lt;='APR and payment'!$E$5,F404*'APR and payment'!$E$6/'APR and payment'!$L$9,"")</f>
        <v/>
      </c>
      <c r="F405" s="22" t="str">
        <f>IF(A405&lt;='APR and payment'!$E$5,F404-D405,"")</f>
        <v/>
      </c>
    </row>
    <row r="406" spans="1:6" x14ac:dyDescent="0.25">
      <c r="A406" s="15">
        <v>403</v>
      </c>
      <c r="B406" s="17" t="str">
        <f>IF(A406&lt;='APR and payment'!$E$5,'Remaining debt'!A406,"")</f>
        <v/>
      </c>
      <c r="C406" s="22" t="str">
        <f>IF(A406&lt;='APR and payment'!$E$5,'APR and payment'!$E$24,"")</f>
        <v/>
      </c>
      <c r="D406" s="22" t="str">
        <f>IF(A406&lt;='APR and payment'!$E$5,C406-E406,"")</f>
        <v/>
      </c>
      <c r="E406" s="22" t="str">
        <f>IF(A406&lt;='APR and payment'!$E$5,F405*'APR and payment'!$E$6/'APR and payment'!$L$9,"")</f>
        <v/>
      </c>
      <c r="F406" s="22" t="str">
        <f>IF(A406&lt;='APR and payment'!$E$5,F405-D406,"")</f>
        <v/>
      </c>
    </row>
    <row r="407" spans="1:6" x14ac:dyDescent="0.25">
      <c r="A407" s="15">
        <v>404</v>
      </c>
      <c r="B407" s="17" t="str">
        <f>IF(A407&lt;='APR and payment'!$E$5,'Remaining debt'!A407,"")</f>
        <v/>
      </c>
      <c r="C407" s="22" t="str">
        <f>IF(A407&lt;='APR and payment'!$E$5,'APR and payment'!$E$24,"")</f>
        <v/>
      </c>
      <c r="D407" s="22" t="str">
        <f>IF(A407&lt;='APR and payment'!$E$5,C407-E407,"")</f>
        <v/>
      </c>
      <c r="E407" s="22" t="str">
        <f>IF(A407&lt;='APR and payment'!$E$5,F406*'APR and payment'!$E$6/'APR and payment'!$L$9,"")</f>
        <v/>
      </c>
      <c r="F407" s="22" t="str">
        <f>IF(A407&lt;='APR and payment'!$E$5,F406-D407,"")</f>
        <v/>
      </c>
    </row>
    <row r="408" spans="1:6" x14ac:dyDescent="0.25">
      <c r="A408" s="15">
        <v>405</v>
      </c>
      <c r="B408" s="17" t="str">
        <f>IF(A408&lt;='APR and payment'!$E$5,'Remaining debt'!A408,"")</f>
        <v/>
      </c>
      <c r="C408" s="22" t="str">
        <f>IF(A408&lt;='APR and payment'!$E$5,'APR and payment'!$E$24,"")</f>
        <v/>
      </c>
      <c r="D408" s="22" t="str">
        <f>IF(A408&lt;='APR and payment'!$E$5,C408-E408,"")</f>
        <v/>
      </c>
      <c r="E408" s="22" t="str">
        <f>IF(A408&lt;='APR and payment'!$E$5,F407*'APR and payment'!$E$6/'APR and payment'!$L$9,"")</f>
        <v/>
      </c>
      <c r="F408" s="22" t="str">
        <f>IF(A408&lt;='APR and payment'!$E$5,F407-D408,"")</f>
        <v/>
      </c>
    </row>
    <row r="409" spans="1:6" x14ac:dyDescent="0.25">
      <c r="A409" s="15">
        <v>406</v>
      </c>
      <c r="B409" s="17" t="str">
        <f>IF(A409&lt;='APR and payment'!$E$5,'Remaining debt'!A409,"")</f>
        <v/>
      </c>
      <c r="C409" s="22" t="str">
        <f>IF(A409&lt;='APR and payment'!$E$5,'APR and payment'!$E$24,"")</f>
        <v/>
      </c>
      <c r="D409" s="22" t="str">
        <f>IF(A409&lt;='APR and payment'!$E$5,C409-E409,"")</f>
        <v/>
      </c>
      <c r="E409" s="22" t="str">
        <f>IF(A409&lt;='APR and payment'!$E$5,F408*'APR and payment'!$E$6/'APR and payment'!$L$9,"")</f>
        <v/>
      </c>
      <c r="F409" s="22" t="str">
        <f>IF(A409&lt;='APR and payment'!$E$5,F408-D409,"")</f>
        <v/>
      </c>
    </row>
    <row r="410" spans="1:6" x14ac:dyDescent="0.25">
      <c r="A410" s="15">
        <v>407</v>
      </c>
      <c r="B410" s="17" t="str">
        <f>IF(A410&lt;='APR and payment'!$E$5,'Remaining debt'!A410,"")</f>
        <v/>
      </c>
      <c r="C410" s="22" t="str">
        <f>IF(A410&lt;='APR and payment'!$E$5,'APR and payment'!$E$24,"")</f>
        <v/>
      </c>
      <c r="D410" s="22" t="str">
        <f>IF(A410&lt;='APR and payment'!$E$5,C410-E410,"")</f>
        <v/>
      </c>
      <c r="E410" s="22" t="str">
        <f>IF(A410&lt;='APR and payment'!$E$5,F409*'APR and payment'!$E$6/'APR and payment'!$L$9,"")</f>
        <v/>
      </c>
      <c r="F410" s="22" t="str">
        <f>IF(A410&lt;='APR and payment'!$E$5,F409-D410,"")</f>
        <v/>
      </c>
    </row>
    <row r="411" spans="1:6" x14ac:dyDescent="0.25">
      <c r="A411" s="15">
        <v>408</v>
      </c>
      <c r="B411" s="17" t="str">
        <f>IF(A411&lt;='APR and payment'!$E$5,'Remaining debt'!A411,"")</f>
        <v/>
      </c>
      <c r="C411" s="22" t="str">
        <f>IF(A411&lt;='APR and payment'!$E$5,'APR and payment'!$E$24,"")</f>
        <v/>
      </c>
      <c r="D411" s="22" t="str">
        <f>IF(A411&lt;='APR and payment'!$E$5,C411-E411,"")</f>
        <v/>
      </c>
      <c r="E411" s="22" t="str">
        <f>IF(A411&lt;='APR and payment'!$E$5,F410*'APR and payment'!$E$6/'APR and payment'!$L$9,"")</f>
        <v/>
      </c>
      <c r="F411" s="22" t="str">
        <f>IF(A411&lt;='APR and payment'!$E$5,F410-D411,"")</f>
        <v/>
      </c>
    </row>
    <row r="412" spans="1:6" x14ac:dyDescent="0.25">
      <c r="A412" s="15">
        <v>409</v>
      </c>
      <c r="B412" s="17" t="str">
        <f>IF(A412&lt;='APR and payment'!$E$5,'Remaining debt'!A412,"")</f>
        <v/>
      </c>
      <c r="C412" s="22" t="str">
        <f>IF(A412&lt;='APR and payment'!$E$5,'APR and payment'!$E$24,"")</f>
        <v/>
      </c>
      <c r="D412" s="22" t="str">
        <f>IF(A412&lt;='APR and payment'!$E$5,C412-E412,"")</f>
        <v/>
      </c>
      <c r="E412" s="22" t="str">
        <f>IF(A412&lt;='APR and payment'!$E$5,F411*'APR and payment'!$E$6/'APR and payment'!$L$9,"")</f>
        <v/>
      </c>
      <c r="F412" s="22" t="str">
        <f>IF(A412&lt;='APR and payment'!$E$5,F411-D412,"")</f>
        <v/>
      </c>
    </row>
    <row r="413" spans="1:6" x14ac:dyDescent="0.25">
      <c r="A413" s="15">
        <v>410</v>
      </c>
      <c r="B413" s="17" t="str">
        <f>IF(A413&lt;='APR and payment'!$E$5,'Remaining debt'!A413,"")</f>
        <v/>
      </c>
      <c r="C413" s="22" t="str">
        <f>IF(A413&lt;='APR and payment'!$E$5,'APR and payment'!$E$24,"")</f>
        <v/>
      </c>
      <c r="D413" s="22" t="str">
        <f>IF(A413&lt;='APR and payment'!$E$5,C413-E413,"")</f>
        <v/>
      </c>
      <c r="E413" s="22" t="str">
        <f>IF(A413&lt;='APR and payment'!$E$5,F412*'APR and payment'!$E$6/'APR and payment'!$L$9,"")</f>
        <v/>
      </c>
      <c r="F413" s="22" t="str">
        <f>IF(A413&lt;='APR and payment'!$E$5,F412-D413,"")</f>
        <v/>
      </c>
    </row>
    <row r="414" spans="1:6" x14ac:dyDescent="0.25">
      <c r="A414" s="15">
        <v>411</v>
      </c>
      <c r="B414" s="17" t="str">
        <f>IF(A414&lt;='APR and payment'!$E$5,'Remaining debt'!A414,"")</f>
        <v/>
      </c>
      <c r="C414" s="22" t="str">
        <f>IF(A414&lt;='APR and payment'!$E$5,'APR and payment'!$E$24,"")</f>
        <v/>
      </c>
      <c r="D414" s="22" t="str">
        <f>IF(A414&lt;='APR and payment'!$E$5,C414-E414,"")</f>
        <v/>
      </c>
      <c r="E414" s="22" t="str">
        <f>IF(A414&lt;='APR and payment'!$E$5,F413*'APR and payment'!$E$6/'APR and payment'!$L$9,"")</f>
        <v/>
      </c>
      <c r="F414" s="22" t="str">
        <f>IF(A414&lt;='APR and payment'!$E$5,F413-D414,"")</f>
        <v/>
      </c>
    </row>
    <row r="415" spans="1:6" x14ac:dyDescent="0.25">
      <c r="A415" s="15">
        <v>412</v>
      </c>
      <c r="B415" s="17" t="str">
        <f>IF(A415&lt;='APR and payment'!$E$5,'Remaining debt'!A415,"")</f>
        <v/>
      </c>
      <c r="C415" s="22" t="str">
        <f>IF(A415&lt;='APR and payment'!$E$5,'APR and payment'!$E$24,"")</f>
        <v/>
      </c>
      <c r="D415" s="22" t="str">
        <f>IF(A415&lt;='APR and payment'!$E$5,C415-E415,"")</f>
        <v/>
      </c>
      <c r="E415" s="22" t="str">
        <f>IF(A415&lt;='APR and payment'!$E$5,F414*'APR and payment'!$E$6/'APR and payment'!$L$9,"")</f>
        <v/>
      </c>
      <c r="F415" s="22" t="str">
        <f>IF(A415&lt;='APR and payment'!$E$5,F414-D415,"")</f>
        <v/>
      </c>
    </row>
    <row r="416" spans="1:6" x14ac:dyDescent="0.25">
      <c r="A416" s="15">
        <v>413</v>
      </c>
      <c r="B416" s="17" t="str">
        <f>IF(A416&lt;='APR and payment'!$E$5,'Remaining debt'!A416,"")</f>
        <v/>
      </c>
      <c r="C416" s="22" t="str">
        <f>IF(A416&lt;='APR and payment'!$E$5,'APR and payment'!$E$24,"")</f>
        <v/>
      </c>
      <c r="D416" s="22" t="str">
        <f>IF(A416&lt;='APR and payment'!$E$5,C416-E416,"")</f>
        <v/>
      </c>
      <c r="E416" s="22" t="str">
        <f>IF(A416&lt;='APR and payment'!$E$5,F415*'APR and payment'!$E$6/'APR and payment'!$L$9,"")</f>
        <v/>
      </c>
      <c r="F416" s="22" t="str">
        <f>IF(A416&lt;='APR and payment'!$E$5,F415-D416,"")</f>
        <v/>
      </c>
    </row>
    <row r="417" spans="1:6" x14ac:dyDescent="0.25">
      <c r="A417" s="15">
        <v>414</v>
      </c>
      <c r="B417" s="17" t="str">
        <f>IF(A417&lt;='APR and payment'!$E$5,'Remaining debt'!A417,"")</f>
        <v/>
      </c>
      <c r="C417" s="22" t="str">
        <f>IF(A417&lt;='APR and payment'!$E$5,'APR and payment'!$E$24,"")</f>
        <v/>
      </c>
      <c r="D417" s="22" t="str">
        <f>IF(A417&lt;='APR and payment'!$E$5,C417-E417,"")</f>
        <v/>
      </c>
      <c r="E417" s="22" t="str">
        <f>IF(A417&lt;='APR and payment'!$E$5,F416*'APR and payment'!$E$6/'APR and payment'!$L$9,"")</f>
        <v/>
      </c>
      <c r="F417" s="22" t="str">
        <f>IF(A417&lt;='APR and payment'!$E$5,F416-D417,"")</f>
        <v/>
      </c>
    </row>
    <row r="418" spans="1:6" x14ac:dyDescent="0.25">
      <c r="A418" s="15">
        <v>415</v>
      </c>
      <c r="B418" s="17" t="str">
        <f>IF(A418&lt;='APR and payment'!$E$5,'Remaining debt'!A418,"")</f>
        <v/>
      </c>
      <c r="C418" s="22" t="str">
        <f>IF(A418&lt;='APR and payment'!$E$5,'APR and payment'!$E$24,"")</f>
        <v/>
      </c>
      <c r="D418" s="22" t="str">
        <f>IF(A418&lt;='APR and payment'!$E$5,C418-E418,"")</f>
        <v/>
      </c>
      <c r="E418" s="22" t="str">
        <f>IF(A418&lt;='APR and payment'!$E$5,F417*'APR and payment'!$E$6/'APR and payment'!$L$9,"")</f>
        <v/>
      </c>
      <c r="F418" s="22" t="str">
        <f>IF(A418&lt;='APR and payment'!$E$5,F417-D418,"")</f>
        <v/>
      </c>
    </row>
    <row r="419" spans="1:6" x14ac:dyDescent="0.25">
      <c r="A419" s="15">
        <v>416</v>
      </c>
      <c r="B419" s="17" t="str">
        <f>IF(A419&lt;='APR and payment'!$E$5,'Remaining debt'!A419,"")</f>
        <v/>
      </c>
      <c r="C419" s="22" t="str">
        <f>IF(A419&lt;='APR and payment'!$E$5,'APR and payment'!$E$24,"")</f>
        <v/>
      </c>
      <c r="D419" s="22" t="str">
        <f>IF(A419&lt;='APR and payment'!$E$5,C419-E419,"")</f>
        <v/>
      </c>
      <c r="E419" s="22" t="str">
        <f>IF(A419&lt;='APR and payment'!$E$5,F418*'APR and payment'!$E$6/'APR and payment'!$L$9,"")</f>
        <v/>
      </c>
      <c r="F419" s="22" t="str">
        <f>IF(A419&lt;='APR and payment'!$E$5,F418-D419,"")</f>
        <v/>
      </c>
    </row>
    <row r="420" spans="1:6" x14ac:dyDescent="0.25">
      <c r="A420" s="15">
        <v>417</v>
      </c>
      <c r="B420" s="17" t="str">
        <f>IF(A420&lt;='APR and payment'!$E$5,'Remaining debt'!A420,"")</f>
        <v/>
      </c>
      <c r="C420" s="22" t="str">
        <f>IF(A420&lt;='APR and payment'!$E$5,'APR and payment'!$E$24,"")</f>
        <v/>
      </c>
      <c r="D420" s="22" t="str">
        <f>IF(A420&lt;='APR and payment'!$E$5,C420-E420,"")</f>
        <v/>
      </c>
      <c r="E420" s="22" t="str">
        <f>IF(A420&lt;='APR and payment'!$E$5,F419*'APR and payment'!$E$6/'APR and payment'!$L$9,"")</f>
        <v/>
      </c>
      <c r="F420" s="22" t="str">
        <f>IF(A420&lt;='APR and payment'!$E$5,F419-D420,"")</f>
        <v/>
      </c>
    </row>
    <row r="421" spans="1:6" x14ac:dyDescent="0.25">
      <c r="A421" s="15">
        <v>418</v>
      </c>
      <c r="B421" s="17" t="str">
        <f>IF(A421&lt;='APR and payment'!$E$5,'Remaining debt'!A421,"")</f>
        <v/>
      </c>
      <c r="C421" s="22" t="str">
        <f>IF(A421&lt;='APR and payment'!$E$5,'APR and payment'!$E$24,"")</f>
        <v/>
      </c>
      <c r="D421" s="22" t="str">
        <f>IF(A421&lt;='APR and payment'!$E$5,C421-E421,"")</f>
        <v/>
      </c>
      <c r="E421" s="22" t="str">
        <f>IF(A421&lt;='APR and payment'!$E$5,F420*'APR and payment'!$E$6/'APR and payment'!$L$9,"")</f>
        <v/>
      </c>
      <c r="F421" s="22" t="str">
        <f>IF(A421&lt;='APR and payment'!$E$5,F420-D421,"")</f>
        <v/>
      </c>
    </row>
    <row r="422" spans="1:6" x14ac:dyDescent="0.25">
      <c r="A422" s="15">
        <v>419</v>
      </c>
      <c r="B422" s="17" t="str">
        <f>IF(A422&lt;='APR and payment'!$E$5,'Remaining debt'!A422,"")</f>
        <v/>
      </c>
      <c r="C422" s="22" t="str">
        <f>IF(A422&lt;='APR and payment'!$E$5,'APR and payment'!$E$24,"")</f>
        <v/>
      </c>
      <c r="D422" s="22" t="str">
        <f>IF(A422&lt;='APR and payment'!$E$5,C422-E422,"")</f>
        <v/>
      </c>
      <c r="E422" s="22" t="str">
        <f>IF(A422&lt;='APR and payment'!$E$5,F421*'APR and payment'!$E$6/'APR and payment'!$L$9,"")</f>
        <v/>
      </c>
      <c r="F422" s="22" t="str">
        <f>IF(A422&lt;='APR and payment'!$E$5,F421-D422,"")</f>
        <v/>
      </c>
    </row>
    <row r="423" spans="1:6" x14ac:dyDescent="0.25">
      <c r="A423" s="15">
        <v>420</v>
      </c>
      <c r="B423" s="17" t="str">
        <f>IF(A423&lt;='APR and payment'!$E$5,'Remaining debt'!A423,"")</f>
        <v/>
      </c>
      <c r="C423" s="22" t="str">
        <f>IF(A423&lt;='APR and payment'!$E$5,'APR and payment'!$E$24,"")</f>
        <v/>
      </c>
      <c r="D423" s="22" t="str">
        <f>IF(A423&lt;='APR and payment'!$E$5,C423-E423,"")</f>
        <v/>
      </c>
      <c r="E423" s="22" t="str">
        <f>IF(A423&lt;='APR and payment'!$E$5,F422*'APR and payment'!$E$6/'APR and payment'!$L$9,"")</f>
        <v/>
      </c>
      <c r="F423" s="22" t="str">
        <f>IF(A423&lt;='APR and payment'!$E$5,F422-D423,"")</f>
        <v/>
      </c>
    </row>
    <row r="424" spans="1:6" x14ac:dyDescent="0.25">
      <c r="A424" s="15">
        <v>421</v>
      </c>
      <c r="B424" s="17" t="str">
        <f>IF(A424&lt;='APR and payment'!$E$5,'Remaining debt'!A424,"")</f>
        <v/>
      </c>
      <c r="C424" s="22" t="str">
        <f>IF(A424&lt;='APR and payment'!$E$5,'APR and payment'!$E$24,"")</f>
        <v/>
      </c>
      <c r="D424" s="22" t="str">
        <f>IF(A424&lt;='APR and payment'!$E$5,C424-E424,"")</f>
        <v/>
      </c>
      <c r="E424" s="22" t="str">
        <f>IF(A424&lt;='APR and payment'!$E$5,F423*'APR and payment'!$E$6/'APR and payment'!$L$9,"")</f>
        <v/>
      </c>
      <c r="F424" s="22" t="str">
        <f>IF(A424&lt;='APR and payment'!$E$5,F423-D424,"")</f>
        <v/>
      </c>
    </row>
    <row r="425" spans="1:6" x14ac:dyDescent="0.25">
      <c r="A425" s="15">
        <v>422</v>
      </c>
      <c r="B425" s="17" t="str">
        <f>IF(A425&lt;='APR and payment'!$E$5,'Remaining debt'!A425,"")</f>
        <v/>
      </c>
      <c r="C425" s="22" t="str">
        <f>IF(A425&lt;='APR and payment'!$E$5,'APR and payment'!$E$24,"")</f>
        <v/>
      </c>
      <c r="D425" s="22" t="str">
        <f>IF(A425&lt;='APR and payment'!$E$5,C425-E425,"")</f>
        <v/>
      </c>
      <c r="E425" s="22" t="str">
        <f>IF(A425&lt;='APR and payment'!$E$5,F424*'APR and payment'!$E$6/'APR and payment'!$L$9,"")</f>
        <v/>
      </c>
      <c r="F425" s="22" t="str">
        <f>IF(A425&lt;='APR and payment'!$E$5,F424-D425,"")</f>
        <v/>
      </c>
    </row>
    <row r="426" spans="1:6" x14ac:dyDescent="0.25">
      <c r="A426" s="15">
        <v>423</v>
      </c>
      <c r="B426" s="17" t="str">
        <f>IF(A426&lt;='APR and payment'!$E$5,'Remaining debt'!A426,"")</f>
        <v/>
      </c>
      <c r="C426" s="22" t="str">
        <f>IF(A426&lt;='APR and payment'!$E$5,'APR and payment'!$E$24,"")</f>
        <v/>
      </c>
      <c r="D426" s="22" t="str">
        <f>IF(A426&lt;='APR and payment'!$E$5,C426-E426,"")</f>
        <v/>
      </c>
      <c r="E426" s="22" t="str">
        <f>IF(A426&lt;='APR and payment'!$E$5,F425*'APR and payment'!$E$6/'APR and payment'!$L$9,"")</f>
        <v/>
      </c>
      <c r="F426" s="22" t="str">
        <f>IF(A426&lt;='APR and payment'!$E$5,F425-D426,"")</f>
        <v/>
      </c>
    </row>
    <row r="427" spans="1:6" x14ac:dyDescent="0.25">
      <c r="A427" s="15">
        <v>424</v>
      </c>
      <c r="B427" s="17" t="str">
        <f>IF(A427&lt;='APR and payment'!$E$5,'Remaining debt'!A427,"")</f>
        <v/>
      </c>
      <c r="C427" s="22" t="str">
        <f>IF(A427&lt;='APR and payment'!$E$5,'APR and payment'!$E$24,"")</f>
        <v/>
      </c>
      <c r="D427" s="22" t="str">
        <f>IF(A427&lt;='APR and payment'!$E$5,C427-E427,"")</f>
        <v/>
      </c>
      <c r="E427" s="22" t="str">
        <f>IF(A427&lt;='APR and payment'!$E$5,F426*'APR and payment'!$E$6/'APR and payment'!$L$9,"")</f>
        <v/>
      </c>
      <c r="F427" s="22" t="str">
        <f>IF(A427&lt;='APR and payment'!$E$5,F426-D427,"")</f>
        <v/>
      </c>
    </row>
    <row r="428" spans="1:6" x14ac:dyDescent="0.25">
      <c r="A428" s="15">
        <v>425</v>
      </c>
      <c r="B428" s="17" t="str">
        <f>IF(A428&lt;='APR and payment'!$E$5,'Remaining debt'!A428,"")</f>
        <v/>
      </c>
      <c r="C428" s="22" t="str">
        <f>IF(A428&lt;='APR and payment'!$E$5,'APR and payment'!$E$24,"")</f>
        <v/>
      </c>
      <c r="D428" s="22" t="str">
        <f>IF(A428&lt;='APR and payment'!$E$5,C428-E428,"")</f>
        <v/>
      </c>
      <c r="E428" s="22" t="str">
        <f>IF(A428&lt;='APR and payment'!$E$5,F427*'APR and payment'!$E$6/'APR and payment'!$L$9,"")</f>
        <v/>
      </c>
      <c r="F428" s="22" t="str">
        <f>IF(A428&lt;='APR and payment'!$E$5,F427-D428,"")</f>
        <v/>
      </c>
    </row>
    <row r="429" spans="1:6" x14ac:dyDescent="0.25">
      <c r="A429" s="15">
        <v>426</v>
      </c>
      <c r="B429" s="17" t="str">
        <f>IF(A429&lt;='APR and payment'!$E$5,'Remaining debt'!A429,"")</f>
        <v/>
      </c>
      <c r="C429" s="22" t="str">
        <f>IF(A429&lt;='APR and payment'!$E$5,'APR and payment'!$E$24,"")</f>
        <v/>
      </c>
      <c r="D429" s="22" t="str">
        <f>IF(A429&lt;='APR and payment'!$E$5,C429-E429,"")</f>
        <v/>
      </c>
      <c r="E429" s="22" t="str">
        <f>IF(A429&lt;='APR and payment'!$E$5,F428*'APR and payment'!$E$6/'APR and payment'!$L$9,"")</f>
        <v/>
      </c>
      <c r="F429" s="22" t="str">
        <f>IF(A429&lt;='APR and payment'!$E$5,F428-D429,"")</f>
        <v/>
      </c>
    </row>
    <row r="430" spans="1:6" x14ac:dyDescent="0.25">
      <c r="A430" s="15">
        <v>427</v>
      </c>
      <c r="B430" s="17" t="str">
        <f>IF(A430&lt;='APR and payment'!$E$5,'Remaining debt'!A430,"")</f>
        <v/>
      </c>
      <c r="C430" s="22" t="str">
        <f>IF(A430&lt;='APR and payment'!$E$5,'APR and payment'!$E$24,"")</f>
        <v/>
      </c>
      <c r="D430" s="22" t="str">
        <f>IF(A430&lt;='APR and payment'!$E$5,C430-E430,"")</f>
        <v/>
      </c>
      <c r="E430" s="22" t="str">
        <f>IF(A430&lt;='APR and payment'!$E$5,F429*'APR and payment'!$E$6/'APR and payment'!$L$9,"")</f>
        <v/>
      </c>
      <c r="F430" s="22" t="str">
        <f>IF(A430&lt;='APR and payment'!$E$5,F429-D430,"")</f>
        <v/>
      </c>
    </row>
    <row r="431" spans="1:6" x14ac:dyDescent="0.25">
      <c r="A431" s="15">
        <v>428</v>
      </c>
      <c r="B431" s="17" t="str">
        <f>IF(A431&lt;='APR and payment'!$E$5,'Remaining debt'!A431,"")</f>
        <v/>
      </c>
      <c r="C431" s="22" t="str">
        <f>IF(A431&lt;='APR and payment'!$E$5,'APR and payment'!$E$24,"")</f>
        <v/>
      </c>
      <c r="D431" s="22" t="str">
        <f>IF(A431&lt;='APR and payment'!$E$5,C431-E431,"")</f>
        <v/>
      </c>
      <c r="E431" s="22" t="str">
        <f>IF(A431&lt;='APR and payment'!$E$5,F430*'APR and payment'!$E$6/'APR and payment'!$L$9,"")</f>
        <v/>
      </c>
      <c r="F431" s="22" t="str">
        <f>IF(A431&lt;='APR and payment'!$E$5,F430-D431,"")</f>
        <v/>
      </c>
    </row>
    <row r="432" spans="1:6" x14ac:dyDescent="0.25">
      <c r="A432" s="15">
        <v>429</v>
      </c>
      <c r="B432" s="17" t="str">
        <f>IF(A432&lt;='APR and payment'!$E$5,'Remaining debt'!A432,"")</f>
        <v/>
      </c>
      <c r="C432" s="22" t="str">
        <f>IF(A432&lt;='APR and payment'!$E$5,'APR and payment'!$E$24,"")</f>
        <v/>
      </c>
      <c r="D432" s="22" t="str">
        <f>IF(A432&lt;='APR and payment'!$E$5,C432-E432,"")</f>
        <v/>
      </c>
      <c r="E432" s="22" t="str">
        <f>IF(A432&lt;='APR and payment'!$E$5,F431*'APR and payment'!$E$6/'APR and payment'!$L$9,"")</f>
        <v/>
      </c>
      <c r="F432" s="22" t="str">
        <f>IF(A432&lt;='APR and payment'!$E$5,F431-D432,"")</f>
        <v/>
      </c>
    </row>
    <row r="433" spans="1:6" x14ac:dyDescent="0.25">
      <c r="A433" s="15">
        <v>430</v>
      </c>
      <c r="B433" s="17" t="str">
        <f>IF(A433&lt;='APR and payment'!$E$5,'Remaining debt'!A433,"")</f>
        <v/>
      </c>
      <c r="C433" s="22" t="str">
        <f>IF(A433&lt;='APR and payment'!$E$5,'APR and payment'!$E$24,"")</f>
        <v/>
      </c>
      <c r="D433" s="22" t="str">
        <f>IF(A433&lt;='APR and payment'!$E$5,C433-E433,"")</f>
        <v/>
      </c>
      <c r="E433" s="22" t="str">
        <f>IF(A433&lt;='APR and payment'!$E$5,F432*'APR and payment'!$E$6/'APR and payment'!$L$9,"")</f>
        <v/>
      </c>
      <c r="F433" s="22" t="str">
        <f>IF(A433&lt;='APR and payment'!$E$5,F432-D433,"")</f>
        <v/>
      </c>
    </row>
    <row r="434" spans="1:6" x14ac:dyDescent="0.25">
      <c r="A434" s="15">
        <v>431</v>
      </c>
      <c r="B434" s="17" t="str">
        <f>IF(A434&lt;='APR and payment'!$E$5,'Remaining debt'!A434,"")</f>
        <v/>
      </c>
      <c r="C434" s="22" t="str">
        <f>IF(A434&lt;='APR and payment'!$E$5,'APR and payment'!$E$24,"")</f>
        <v/>
      </c>
      <c r="D434" s="22" t="str">
        <f>IF(A434&lt;='APR and payment'!$E$5,C434-E434,"")</f>
        <v/>
      </c>
      <c r="E434" s="22" t="str">
        <f>IF(A434&lt;='APR and payment'!$E$5,F433*'APR and payment'!$E$6/'APR and payment'!$L$9,"")</f>
        <v/>
      </c>
      <c r="F434" s="22" t="str">
        <f>IF(A434&lt;='APR and payment'!$E$5,F433-D434,"")</f>
        <v/>
      </c>
    </row>
    <row r="435" spans="1:6" x14ac:dyDescent="0.25">
      <c r="A435" s="15">
        <v>432</v>
      </c>
      <c r="B435" s="17" t="str">
        <f>IF(A435&lt;='APR and payment'!$E$5,'Remaining debt'!A435,"")</f>
        <v/>
      </c>
      <c r="C435" s="22" t="str">
        <f>IF(A435&lt;='APR and payment'!$E$5,'APR and payment'!$E$24,"")</f>
        <v/>
      </c>
      <c r="D435" s="22" t="str">
        <f>IF(A435&lt;='APR and payment'!$E$5,C435-E435,"")</f>
        <v/>
      </c>
      <c r="E435" s="22" t="str">
        <f>IF(A435&lt;='APR and payment'!$E$5,F434*'APR and payment'!$E$6/'APR and payment'!$L$9,"")</f>
        <v/>
      </c>
      <c r="F435" s="22" t="str">
        <f>IF(A435&lt;='APR and payment'!$E$5,F434-D435,"")</f>
        <v/>
      </c>
    </row>
    <row r="436" spans="1:6" x14ac:dyDescent="0.25">
      <c r="A436" s="15">
        <v>433</v>
      </c>
      <c r="B436" s="17" t="str">
        <f>IF(A436&lt;='APR and payment'!$E$5,'Remaining debt'!A436,"")</f>
        <v/>
      </c>
      <c r="C436" s="22" t="str">
        <f>IF(A436&lt;='APR and payment'!$E$5,'APR and payment'!$E$24,"")</f>
        <v/>
      </c>
      <c r="D436" s="22" t="str">
        <f>IF(A436&lt;='APR and payment'!$E$5,C436-E436,"")</f>
        <v/>
      </c>
      <c r="E436" s="22" t="str">
        <f>IF(A436&lt;='APR and payment'!$E$5,F435*'APR and payment'!$E$6/'APR and payment'!$L$9,"")</f>
        <v/>
      </c>
      <c r="F436" s="22" t="str">
        <f>IF(A436&lt;='APR and payment'!$E$5,F435-D436,"")</f>
        <v/>
      </c>
    </row>
    <row r="437" spans="1:6" x14ac:dyDescent="0.25">
      <c r="A437" s="15">
        <v>434</v>
      </c>
      <c r="B437" s="17" t="str">
        <f>IF(A437&lt;='APR and payment'!$E$5,'Remaining debt'!A437,"")</f>
        <v/>
      </c>
      <c r="C437" s="22" t="str">
        <f>IF(A437&lt;='APR and payment'!$E$5,'APR and payment'!$E$24,"")</f>
        <v/>
      </c>
      <c r="D437" s="22" t="str">
        <f>IF(A437&lt;='APR and payment'!$E$5,C437-E437,"")</f>
        <v/>
      </c>
      <c r="E437" s="22" t="str">
        <f>IF(A437&lt;='APR and payment'!$E$5,F436*'APR and payment'!$E$6/'APR and payment'!$L$9,"")</f>
        <v/>
      </c>
      <c r="F437" s="22" t="str">
        <f>IF(A437&lt;='APR and payment'!$E$5,F436-D437,"")</f>
        <v/>
      </c>
    </row>
    <row r="438" spans="1:6" x14ac:dyDescent="0.25">
      <c r="A438" s="15">
        <v>435</v>
      </c>
      <c r="B438" s="17" t="str">
        <f>IF(A438&lt;='APR and payment'!$E$5,'Remaining debt'!A438,"")</f>
        <v/>
      </c>
      <c r="C438" s="22" t="str">
        <f>IF(A438&lt;='APR and payment'!$E$5,'APR and payment'!$E$24,"")</f>
        <v/>
      </c>
      <c r="D438" s="22" t="str">
        <f>IF(A438&lt;='APR and payment'!$E$5,C438-E438,"")</f>
        <v/>
      </c>
      <c r="E438" s="22" t="str">
        <f>IF(A438&lt;='APR and payment'!$E$5,F437*'APR and payment'!$E$6/'APR and payment'!$L$9,"")</f>
        <v/>
      </c>
      <c r="F438" s="22" t="str">
        <f>IF(A438&lt;='APR and payment'!$E$5,F437-D438,"")</f>
        <v/>
      </c>
    </row>
    <row r="439" spans="1:6" x14ac:dyDescent="0.25">
      <c r="A439" s="15">
        <v>436</v>
      </c>
      <c r="B439" s="17" t="str">
        <f>IF(A439&lt;='APR and payment'!$E$5,'Remaining debt'!A439,"")</f>
        <v/>
      </c>
      <c r="C439" s="22" t="str">
        <f>IF(A439&lt;='APR and payment'!$E$5,'APR and payment'!$E$24,"")</f>
        <v/>
      </c>
      <c r="D439" s="22" t="str">
        <f>IF(A439&lt;='APR and payment'!$E$5,C439-E439,"")</f>
        <v/>
      </c>
      <c r="E439" s="22" t="str">
        <f>IF(A439&lt;='APR and payment'!$E$5,F438*'APR and payment'!$E$6/'APR and payment'!$L$9,"")</f>
        <v/>
      </c>
      <c r="F439" s="22" t="str">
        <f>IF(A439&lt;='APR and payment'!$E$5,F438-D439,"")</f>
        <v/>
      </c>
    </row>
    <row r="440" spans="1:6" x14ac:dyDescent="0.25">
      <c r="A440" s="15">
        <v>437</v>
      </c>
      <c r="B440" s="17" t="str">
        <f>IF(A440&lt;='APR and payment'!$E$5,'Remaining debt'!A440,"")</f>
        <v/>
      </c>
      <c r="C440" s="22" t="str">
        <f>IF(A440&lt;='APR and payment'!$E$5,'APR and payment'!$E$24,"")</f>
        <v/>
      </c>
      <c r="D440" s="22" t="str">
        <f>IF(A440&lt;='APR and payment'!$E$5,C440-E440,"")</f>
        <v/>
      </c>
      <c r="E440" s="22" t="str">
        <f>IF(A440&lt;='APR and payment'!$E$5,F439*'APR and payment'!$E$6/'APR and payment'!$L$9,"")</f>
        <v/>
      </c>
      <c r="F440" s="22" t="str">
        <f>IF(A440&lt;='APR and payment'!$E$5,F439-D440,"")</f>
        <v/>
      </c>
    </row>
    <row r="441" spans="1:6" x14ac:dyDescent="0.25">
      <c r="A441" s="15">
        <v>438</v>
      </c>
      <c r="B441" s="17" t="str">
        <f>IF(A441&lt;='APR and payment'!$E$5,'Remaining debt'!A441,"")</f>
        <v/>
      </c>
      <c r="C441" s="22" t="str">
        <f>IF(A441&lt;='APR and payment'!$E$5,'APR and payment'!$E$24,"")</f>
        <v/>
      </c>
      <c r="D441" s="22" t="str">
        <f>IF(A441&lt;='APR and payment'!$E$5,C441-E441,"")</f>
        <v/>
      </c>
      <c r="E441" s="22" t="str">
        <f>IF(A441&lt;='APR and payment'!$E$5,F440*'APR and payment'!$E$6/'APR and payment'!$L$9,"")</f>
        <v/>
      </c>
      <c r="F441" s="22" t="str">
        <f>IF(A441&lt;='APR and payment'!$E$5,F440-D441,"")</f>
        <v/>
      </c>
    </row>
    <row r="442" spans="1:6" x14ac:dyDescent="0.25">
      <c r="A442" s="15">
        <v>439</v>
      </c>
      <c r="B442" s="17" t="str">
        <f>IF(A442&lt;='APR and payment'!$E$5,'Remaining debt'!A442,"")</f>
        <v/>
      </c>
      <c r="C442" s="22" t="str">
        <f>IF(A442&lt;='APR and payment'!$E$5,'APR and payment'!$E$24,"")</f>
        <v/>
      </c>
      <c r="D442" s="22" t="str">
        <f>IF(A442&lt;='APR and payment'!$E$5,C442-E442,"")</f>
        <v/>
      </c>
      <c r="E442" s="22" t="str">
        <f>IF(A442&lt;='APR and payment'!$E$5,F441*'APR and payment'!$E$6/'APR and payment'!$L$9,"")</f>
        <v/>
      </c>
      <c r="F442" s="22" t="str">
        <f>IF(A442&lt;='APR and payment'!$E$5,F441-D442,"")</f>
        <v/>
      </c>
    </row>
    <row r="443" spans="1:6" x14ac:dyDescent="0.25">
      <c r="A443" s="15">
        <v>440</v>
      </c>
      <c r="B443" s="17" t="str">
        <f>IF(A443&lt;='APR and payment'!$E$5,'Remaining debt'!A443,"")</f>
        <v/>
      </c>
      <c r="C443" s="22" t="str">
        <f>IF(A443&lt;='APR and payment'!$E$5,'APR and payment'!$E$24,"")</f>
        <v/>
      </c>
      <c r="D443" s="22" t="str">
        <f>IF(A443&lt;='APR and payment'!$E$5,C443-E443,"")</f>
        <v/>
      </c>
      <c r="E443" s="22" t="str">
        <f>IF(A443&lt;='APR and payment'!$E$5,F442*'APR and payment'!$E$6/'APR and payment'!$L$9,"")</f>
        <v/>
      </c>
      <c r="F443" s="22" t="str">
        <f>IF(A443&lt;='APR and payment'!$E$5,F442-D443,"")</f>
        <v/>
      </c>
    </row>
    <row r="444" spans="1:6" x14ac:dyDescent="0.25">
      <c r="A444" s="15">
        <v>441</v>
      </c>
      <c r="B444" s="17" t="str">
        <f>IF(A444&lt;='APR and payment'!$E$5,'Remaining debt'!A444,"")</f>
        <v/>
      </c>
      <c r="C444" s="22" t="str">
        <f>IF(A444&lt;='APR and payment'!$E$5,'APR and payment'!$E$24,"")</f>
        <v/>
      </c>
      <c r="D444" s="22" t="str">
        <f>IF(A444&lt;='APR and payment'!$E$5,C444-E444,"")</f>
        <v/>
      </c>
      <c r="E444" s="22" t="str">
        <f>IF(A444&lt;='APR and payment'!$E$5,F443*'APR and payment'!$E$6/'APR and payment'!$L$9,"")</f>
        <v/>
      </c>
      <c r="F444" s="22" t="str">
        <f>IF(A444&lt;='APR and payment'!$E$5,F443-D444,"")</f>
        <v/>
      </c>
    </row>
    <row r="445" spans="1:6" x14ac:dyDescent="0.25">
      <c r="A445" s="15">
        <v>442</v>
      </c>
      <c r="B445" s="17" t="str">
        <f>IF(A445&lt;='APR and payment'!$E$5,'Remaining debt'!A445,"")</f>
        <v/>
      </c>
      <c r="C445" s="22" t="str">
        <f>IF(A445&lt;='APR and payment'!$E$5,'APR and payment'!$E$24,"")</f>
        <v/>
      </c>
      <c r="D445" s="22" t="str">
        <f>IF(A445&lt;='APR and payment'!$E$5,C445-E445,"")</f>
        <v/>
      </c>
      <c r="E445" s="22" t="str">
        <f>IF(A445&lt;='APR and payment'!$E$5,F444*'APR and payment'!$E$6/'APR and payment'!$L$9,"")</f>
        <v/>
      </c>
      <c r="F445" s="22" t="str">
        <f>IF(A445&lt;='APR and payment'!$E$5,F444-D445,"")</f>
        <v/>
      </c>
    </row>
    <row r="446" spans="1:6" x14ac:dyDescent="0.25">
      <c r="A446" s="15">
        <v>443</v>
      </c>
      <c r="B446" s="17" t="str">
        <f>IF(A446&lt;='APR and payment'!$E$5,'Remaining debt'!A446,"")</f>
        <v/>
      </c>
      <c r="C446" s="22" t="str">
        <f>IF(A446&lt;='APR and payment'!$E$5,'APR and payment'!$E$24,"")</f>
        <v/>
      </c>
      <c r="D446" s="22" t="str">
        <f>IF(A446&lt;='APR and payment'!$E$5,C446-E446,"")</f>
        <v/>
      </c>
      <c r="E446" s="22" t="str">
        <f>IF(A446&lt;='APR and payment'!$E$5,F445*'APR and payment'!$E$6/'APR and payment'!$L$9,"")</f>
        <v/>
      </c>
      <c r="F446" s="22" t="str">
        <f>IF(A446&lt;='APR and payment'!$E$5,F445-D446,"")</f>
        <v/>
      </c>
    </row>
    <row r="447" spans="1:6" x14ac:dyDescent="0.25">
      <c r="A447" s="15">
        <v>444</v>
      </c>
      <c r="B447" s="17" t="str">
        <f>IF(A447&lt;='APR and payment'!$E$5,'Remaining debt'!A447,"")</f>
        <v/>
      </c>
      <c r="C447" s="22" t="str">
        <f>IF(A447&lt;='APR and payment'!$E$5,'APR and payment'!$E$24,"")</f>
        <v/>
      </c>
      <c r="D447" s="22" t="str">
        <f>IF(A447&lt;='APR and payment'!$E$5,C447-E447,"")</f>
        <v/>
      </c>
      <c r="E447" s="22" t="str">
        <f>IF(A447&lt;='APR and payment'!$E$5,F446*'APR and payment'!$E$6/'APR and payment'!$L$9,"")</f>
        <v/>
      </c>
      <c r="F447" s="22" t="str">
        <f>IF(A447&lt;='APR and payment'!$E$5,F446-D447,"")</f>
        <v/>
      </c>
    </row>
    <row r="448" spans="1:6" x14ac:dyDescent="0.25">
      <c r="A448" s="15">
        <v>445</v>
      </c>
      <c r="B448" s="17" t="str">
        <f>IF(A448&lt;='APR and payment'!$E$5,'Remaining debt'!A448,"")</f>
        <v/>
      </c>
      <c r="C448" s="22" t="str">
        <f>IF(A448&lt;='APR and payment'!$E$5,'APR and payment'!$E$24,"")</f>
        <v/>
      </c>
      <c r="D448" s="22" t="str">
        <f>IF(A448&lt;='APR and payment'!$E$5,C448-E448,"")</f>
        <v/>
      </c>
      <c r="E448" s="22" t="str">
        <f>IF(A448&lt;='APR and payment'!$E$5,F447*'APR and payment'!$E$6/'APR and payment'!$L$9,"")</f>
        <v/>
      </c>
      <c r="F448" s="22" t="str">
        <f>IF(A448&lt;='APR and payment'!$E$5,F447-D448,"")</f>
        <v/>
      </c>
    </row>
    <row r="449" spans="1:6" x14ac:dyDescent="0.25">
      <c r="A449" s="15">
        <v>446</v>
      </c>
      <c r="B449" s="17" t="str">
        <f>IF(A449&lt;='APR and payment'!$E$5,'Remaining debt'!A449,"")</f>
        <v/>
      </c>
      <c r="C449" s="22" t="str">
        <f>IF(A449&lt;='APR and payment'!$E$5,'APR and payment'!$E$24,"")</f>
        <v/>
      </c>
      <c r="D449" s="22" t="str">
        <f>IF(A449&lt;='APR and payment'!$E$5,C449-E449,"")</f>
        <v/>
      </c>
      <c r="E449" s="22" t="str">
        <f>IF(A449&lt;='APR and payment'!$E$5,F448*'APR and payment'!$E$6/'APR and payment'!$L$9,"")</f>
        <v/>
      </c>
      <c r="F449" s="22" t="str">
        <f>IF(A449&lt;='APR and payment'!$E$5,F448-D449,"")</f>
        <v/>
      </c>
    </row>
    <row r="450" spans="1:6" x14ac:dyDescent="0.25">
      <c r="A450" s="15">
        <v>447</v>
      </c>
      <c r="B450" s="17" t="str">
        <f>IF(A450&lt;='APR and payment'!$E$5,'Remaining debt'!A450,"")</f>
        <v/>
      </c>
      <c r="C450" s="22" t="str">
        <f>IF(A450&lt;='APR and payment'!$E$5,'APR and payment'!$E$24,"")</f>
        <v/>
      </c>
      <c r="D450" s="22" t="str">
        <f>IF(A450&lt;='APR and payment'!$E$5,C450-E450,"")</f>
        <v/>
      </c>
      <c r="E450" s="22" t="str">
        <f>IF(A450&lt;='APR and payment'!$E$5,F449*'APR and payment'!$E$6/'APR and payment'!$L$9,"")</f>
        <v/>
      </c>
      <c r="F450" s="22" t="str">
        <f>IF(A450&lt;='APR and payment'!$E$5,F449-D450,"")</f>
        <v/>
      </c>
    </row>
    <row r="451" spans="1:6" x14ac:dyDescent="0.25">
      <c r="A451" s="15">
        <v>448</v>
      </c>
      <c r="B451" s="17" t="str">
        <f>IF(A451&lt;='APR and payment'!$E$5,'Remaining debt'!A451,"")</f>
        <v/>
      </c>
      <c r="C451" s="22" t="str">
        <f>IF(A451&lt;='APR and payment'!$E$5,'APR and payment'!$E$24,"")</f>
        <v/>
      </c>
      <c r="D451" s="22" t="str">
        <f>IF(A451&lt;='APR and payment'!$E$5,C451-E451,"")</f>
        <v/>
      </c>
      <c r="E451" s="22" t="str">
        <f>IF(A451&lt;='APR and payment'!$E$5,F450*'APR and payment'!$E$6/'APR and payment'!$L$9,"")</f>
        <v/>
      </c>
      <c r="F451" s="22" t="str">
        <f>IF(A451&lt;='APR and payment'!$E$5,F450-D451,"")</f>
        <v/>
      </c>
    </row>
    <row r="452" spans="1:6" x14ac:dyDescent="0.25">
      <c r="A452" s="15">
        <v>449</v>
      </c>
      <c r="B452" s="17" t="str">
        <f>IF(A452&lt;='APR and payment'!$E$5,'Remaining debt'!A452,"")</f>
        <v/>
      </c>
      <c r="C452" s="22" t="str">
        <f>IF(A452&lt;='APR and payment'!$E$5,'APR and payment'!$E$24,"")</f>
        <v/>
      </c>
      <c r="D452" s="22" t="str">
        <f>IF(A452&lt;='APR and payment'!$E$5,C452-E452,"")</f>
        <v/>
      </c>
      <c r="E452" s="22" t="str">
        <f>IF(A452&lt;='APR and payment'!$E$5,F451*'APR and payment'!$E$6/'APR and payment'!$L$9,"")</f>
        <v/>
      </c>
      <c r="F452" s="22" t="str">
        <f>IF(A452&lt;='APR and payment'!$E$5,F451-D452,"")</f>
        <v/>
      </c>
    </row>
    <row r="453" spans="1:6" x14ac:dyDescent="0.25">
      <c r="A453" s="15">
        <v>450</v>
      </c>
      <c r="B453" s="17" t="str">
        <f>IF(A453&lt;='APR and payment'!$E$5,'Remaining debt'!A453,"")</f>
        <v/>
      </c>
      <c r="C453" s="22" t="str">
        <f>IF(A453&lt;='APR and payment'!$E$5,'APR and payment'!$E$24,"")</f>
        <v/>
      </c>
      <c r="D453" s="22" t="str">
        <f>IF(A453&lt;='APR and payment'!$E$5,C453-E453,"")</f>
        <v/>
      </c>
      <c r="E453" s="22" t="str">
        <f>IF(A453&lt;='APR and payment'!$E$5,F452*'APR and payment'!$E$6/'APR and payment'!$L$9,"")</f>
        <v/>
      </c>
      <c r="F453" s="22" t="str">
        <f>IF(A453&lt;='APR and payment'!$E$5,F452-D453,"")</f>
        <v/>
      </c>
    </row>
    <row r="454" spans="1:6" x14ac:dyDescent="0.25">
      <c r="A454" s="15">
        <v>451</v>
      </c>
      <c r="B454" s="17" t="str">
        <f>IF(A454&lt;='APR and payment'!$E$5,'Remaining debt'!A454,"")</f>
        <v/>
      </c>
      <c r="C454" s="22" t="str">
        <f>IF(A454&lt;='APR and payment'!$E$5,'APR and payment'!$E$24,"")</f>
        <v/>
      </c>
      <c r="D454" s="22" t="str">
        <f>IF(A454&lt;='APR and payment'!$E$5,C454-E454,"")</f>
        <v/>
      </c>
      <c r="E454" s="22" t="str">
        <f>IF(A454&lt;='APR and payment'!$E$5,F453*'APR and payment'!$E$6/'APR and payment'!$L$9,"")</f>
        <v/>
      </c>
      <c r="F454" s="22" t="str">
        <f>IF(A454&lt;='APR and payment'!$E$5,F453-D454,"")</f>
        <v/>
      </c>
    </row>
    <row r="455" spans="1:6" x14ac:dyDescent="0.25">
      <c r="A455" s="15">
        <v>452</v>
      </c>
      <c r="B455" s="17" t="str">
        <f>IF(A455&lt;='APR and payment'!$E$5,'Remaining debt'!A455,"")</f>
        <v/>
      </c>
      <c r="C455" s="22" t="str">
        <f>IF(A455&lt;='APR and payment'!$E$5,'APR and payment'!$E$24,"")</f>
        <v/>
      </c>
      <c r="D455" s="22" t="str">
        <f>IF(A455&lt;='APR and payment'!$E$5,C455-E455,"")</f>
        <v/>
      </c>
      <c r="E455" s="22" t="str">
        <f>IF(A455&lt;='APR and payment'!$E$5,F454*'APR and payment'!$E$6/'APR and payment'!$L$9,"")</f>
        <v/>
      </c>
      <c r="F455" s="22" t="str">
        <f>IF(A455&lt;='APR and payment'!$E$5,F454-D455,"")</f>
        <v/>
      </c>
    </row>
    <row r="456" spans="1:6" x14ac:dyDescent="0.25">
      <c r="A456" s="15">
        <v>453</v>
      </c>
      <c r="B456" s="17" t="str">
        <f>IF(A456&lt;='APR and payment'!$E$5,'Remaining debt'!A456,"")</f>
        <v/>
      </c>
      <c r="C456" s="22" t="str">
        <f>IF(A456&lt;='APR and payment'!$E$5,'APR and payment'!$E$24,"")</f>
        <v/>
      </c>
      <c r="D456" s="22" t="str">
        <f>IF(A456&lt;='APR and payment'!$E$5,C456-E456,"")</f>
        <v/>
      </c>
      <c r="E456" s="22" t="str">
        <f>IF(A456&lt;='APR and payment'!$E$5,F455*'APR and payment'!$E$6/'APR and payment'!$L$9,"")</f>
        <v/>
      </c>
      <c r="F456" s="22" t="str">
        <f>IF(A456&lt;='APR and payment'!$E$5,F455-D456,"")</f>
        <v/>
      </c>
    </row>
    <row r="457" spans="1:6" x14ac:dyDescent="0.25">
      <c r="A457" s="15">
        <v>454</v>
      </c>
      <c r="B457" s="17" t="str">
        <f>IF(A457&lt;='APR and payment'!$E$5,'Remaining debt'!A457,"")</f>
        <v/>
      </c>
      <c r="C457" s="22" t="str">
        <f>IF(A457&lt;='APR and payment'!$E$5,'APR and payment'!$E$24,"")</f>
        <v/>
      </c>
      <c r="D457" s="22" t="str">
        <f>IF(A457&lt;='APR and payment'!$E$5,C457-E457,"")</f>
        <v/>
      </c>
      <c r="E457" s="22" t="str">
        <f>IF(A457&lt;='APR and payment'!$E$5,F456*'APR and payment'!$E$6/'APR and payment'!$L$9,"")</f>
        <v/>
      </c>
      <c r="F457" s="22" t="str">
        <f>IF(A457&lt;='APR and payment'!$E$5,F456-D457,"")</f>
        <v/>
      </c>
    </row>
    <row r="458" spans="1:6" x14ac:dyDescent="0.25">
      <c r="A458" s="15">
        <v>455</v>
      </c>
      <c r="B458" s="17" t="str">
        <f>IF(A458&lt;='APR and payment'!$E$5,'Remaining debt'!A458,"")</f>
        <v/>
      </c>
      <c r="C458" s="22" t="str">
        <f>IF(A458&lt;='APR and payment'!$E$5,'APR and payment'!$E$24,"")</f>
        <v/>
      </c>
      <c r="D458" s="22" t="str">
        <f>IF(A458&lt;='APR and payment'!$E$5,C458-E458,"")</f>
        <v/>
      </c>
      <c r="E458" s="22" t="str">
        <f>IF(A458&lt;='APR and payment'!$E$5,F457*'APR and payment'!$E$6/'APR and payment'!$L$9,"")</f>
        <v/>
      </c>
      <c r="F458" s="22" t="str">
        <f>IF(A458&lt;='APR and payment'!$E$5,F457-D458,"")</f>
        <v/>
      </c>
    </row>
    <row r="459" spans="1:6" x14ac:dyDescent="0.25">
      <c r="A459" s="15">
        <v>456</v>
      </c>
      <c r="B459" s="17" t="str">
        <f>IF(A459&lt;='APR and payment'!$E$5,'Remaining debt'!A459,"")</f>
        <v/>
      </c>
      <c r="C459" s="22" t="str">
        <f>IF(A459&lt;='APR and payment'!$E$5,'APR and payment'!$E$24,"")</f>
        <v/>
      </c>
      <c r="D459" s="22" t="str">
        <f>IF(A459&lt;='APR and payment'!$E$5,C459-E459,"")</f>
        <v/>
      </c>
      <c r="E459" s="22" t="str">
        <f>IF(A459&lt;='APR and payment'!$E$5,F458*'APR and payment'!$E$6/'APR and payment'!$L$9,"")</f>
        <v/>
      </c>
      <c r="F459" s="22" t="str">
        <f>IF(A459&lt;='APR and payment'!$E$5,F458-D459,"")</f>
        <v/>
      </c>
    </row>
    <row r="460" spans="1:6" x14ac:dyDescent="0.25">
      <c r="A460" s="15">
        <v>457</v>
      </c>
      <c r="B460" s="17" t="str">
        <f>IF(A460&lt;='APR and payment'!$E$5,'Remaining debt'!A460,"")</f>
        <v/>
      </c>
      <c r="C460" s="22" t="str">
        <f>IF(A460&lt;='APR and payment'!$E$5,'APR and payment'!$E$24,"")</f>
        <v/>
      </c>
      <c r="D460" s="22" t="str">
        <f>IF(A460&lt;='APR and payment'!$E$5,C460-E460,"")</f>
        <v/>
      </c>
      <c r="E460" s="22" t="str">
        <f>IF(A460&lt;='APR and payment'!$E$5,F459*'APR and payment'!$E$6/'APR and payment'!$L$9,"")</f>
        <v/>
      </c>
      <c r="F460" s="22" t="str">
        <f>IF(A460&lt;='APR and payment'!$E$5,F459-D460,"")</f>
        <v/>
      </c>
    </row>
    <row r="461" spans="1:6" x14ac:dyDescent="0.25">
      <c r="A461" s="15">
        <v>458</v>
      </c>
      <c r="B461" s="17" t="str">
        <f>IF(A461&lt;='APR and payment'!$E$5,'Remaining debt'!A461,"")</f>
        <v/>
      </c>
      <c r="C461" s="22" t="str">
        <f>IF(A461&lt;='APR and payment'!$E$5,'APR and payment'!$E$24,"")</f>
        <v/>
      </c>
      <c r="D461" s="22" t="str">
        <f>IF(A461&lt;='APR and payment'!$E$5,C461-E461,"")</f>
        <v/>
      </c>
      <c r="E461" s="22" t="str">
        <f>IF(A461&lt;='APR and payment'!$E$5,F460*'APR and payment'!$E$6/'APR and payment'!$L$9,"")</f>
        <v/>
      </c>
      <c r="F461" s="22" t="str">
        <f>IF(A461&lt;='APR and payment'!$E$5,F460-D461,"")</f>
        <v/>
      </c>
    </row>
    <row r="462" spans="1:6" x14ac:dyDescent="0.25">
      <c r="A462" s="15">
        <v>459</v>
      </c>
      <c r="B462" s="17" t="str">
        <f>IF(A462&lt;='APR and payment'!$E$5,'Remaining debt'!A462,"")</f>
        <v/>
      </c>
      <c r="C462" s="22" t="str">
        <f>IF(A462&lt;='APR and payment'!$E$5,'APR and payment'!$E$24,"")</f>
        <v/>
      </c>
      <c r="D462" s="22" t="str">
        <f>IF(A462&lt;='APR and payment'!$E$5,C462-E462,"")</f>
        <v/>
      </c>
      <c r="E462" s="22" t="str">
        <f>IF(A462&lt;='APR and payment'!$E$5,F461*'APR and payment'!$E$6/'APR and payment'!$L$9,"")</f>
        <v/>
      </c>
      <c r="F462" s="22" t="str">
        <f>IF(A462&lt;='APR and payment'!$E$5,F461-D462,"")</f>
        <v/>
      </c>
    </row>
    <row r="463" spans="1:6" x14ac:dyDescent="0.25">
      <c r="A463" s="15">
        <v>460</v>
      </c>
      <c r="B463" s="17" t="str">
        <f>IF(A463&lt;='APR and payment'!$E$5,'Remaining debt'!A463,"")</f>
        <v/>
      </c>
      <c r="C463" s="22" t="str">
        <f>IF(A463&lt;='APR and payment'!$E$5,'APR and payment'!$E$24,"")</f>
        <v/>
      </c>
      <c r="D463" s="22" t="str">
        <f>IF(A463&lt;='APR and payment'!$E$5,C463-E463,"")</f>
        <v/>
      </c>
      <c r="E463" s="22" t="str">
        <f>IF(A463&lt;='APR and payment'!$E$5,F462*'APR and payment'!$E$6/'APR and payment'!$L$9,"")</f>
        <v/>
      </c>
      <c r="F463" s="22" t="str">
        <f>IF(A463&lt;='APR and payment'!$E$5,F462-D463,"")</f>
        <v/>
      </c>
    </row>
    <row r="464" spans="1:6" x14ac:dyDescent="0.25">
      <c r="A464" s="15">
        <v>461</v>
      </c>
      <c r="B464" s="17" t="str">
        <f>IF(A464&lt;='APR and payment'!$E$5,'Remaining debt'!A464,"")</f>
        <v/>
      </c>
      <c r="C464" s="22" t="str">
        <f>IF(A464&lt;='APR and payment'!$E$5,'APR and payment'!$E$24,"")</f>
        <v/>
      </c>
      <c r="D464" s="22" t="str">
        <f>IF(A464&lt;='APR and payment'!$E$5,C464-E464,"")</f>
        <v/>
      </c>
      <c r="E464" s="22" t="str">
        <f>IF(A464&lt;='APR and payment'!$E$5,F463*'APR and payment'!$E$6/'APR and payment'!$L$9,"")</f>
        <v/>
      </c>
      <c r="F464" s="22" t="str">
        <f>IF(A464&lt;='APR and payment'!$E$5,F463-D464,"")</f>
        <v/>
      </c>
    </row>
    <row r="465" spans="1:6" x14ac:dyDescent="0.25">
      <c r="A465" s="15">
        <v>462</v>
      </c>
      <c r="B465" s="17" t="str">
        <f>IF(A465&lt;='APR and payment'!$E$5,'Remaining debt'!A465,"")</f>
        <v/>
      </c>
      <c r="C465" s="22" t="str">
        <f>IF(A465&lt;='APR and payment'!$E$5,'APR and payment'!$E$24,"")</f>
        <v/>
      </c>
      <c r="D465" s="22" t="str">
        <f>IF(A465&lt;='APR and payment'!$E$5,C465-E465,"")</f>
        <v/>
      </c>
      <c r="E465" s="22" t="str">
        <f>IF(A465&lt;='APR and payment'!$E$5,F464*'APR and payment'!$E$6/'APR and payment'!$L$9,"")</f>
        <v/>
      </c>
      <c r="F465" s="22" t="str">
        <f>IF(A465&lt;='APR and payment'!$E$5,F464-D465,"")</f>
        <v/>
      </c>
    </row>
    <row r="466" spans="1:6" x14ac:dyDescent="0.25">
      <c r="A466" s="15">
        <v>463</v>
      </c>
      <c r="B466" s="17" t="str">
        <f>IF(A466&lt;='APR and payment'!$E$5,'Remaining debt'!A466,"")</f>
        <v/>
      </c>
      <c r="C466" s="22" t="str">
        <f>IF(A466&lt;='APR and payment'!$E$5,'APR and payment'!$E$24,"")</f>
        <v/>
      </c>
      <c r="D466" s="22" t="str">
        <f>IF(A466&lt;='APR and payment'!$E$5,C466-E466,"")</f>
        <v/>
      </c>
      <c r="E466" s="22" t="str">
        <f>IF(A466&lt;='APR and payment'!$E$5,F465*'APR and payment'!$E$6/'APR and payment'!$L$9,"")</f>
        <v/>
      </c>
      <c r="F466" s="22" t="str">
        <f>IF(A466&lt;='APR and payment'!$E$5,F465-D466,"")</f>
        <v/>
      </c>
    </row>
    <row r="467" spans="1:6" x14ac:dyDescent="0.25">
      <c r="A467" s="15">
        <v>464</v>
      </c>
      <c r="B467" s="17" t="str">
        <f>IF(A467&lt;='APR and payment'!$E$5,'Remaining debt'!A467,"")</f>
        <v/>
      </c>
      <c r="C467" s="22" t="str">
        <f>IF(A467&lt;='APR and payment'!$E$5,'APR and payment'!$E$24,"")</f>
        <v/>
      </c>
      <c r="D467" s="22" t="str">
        <f>IF(A467&lt;='APR and payment'!$E$5,C467-E467,"")</f>
        <v/>
      </c>
      <c r="E467" s="22" t="str">
        <f>IF(A467&lt;='APR and payment'!$E$5,F466*'APR and payment'!$E$6/'APR and payment'!$L$9,"")</f>
        <v/>
      </c>
      <c r="F467" s="22" t="str">
        <f>IF(A467&lt;='APR and payment'!$E$5,F466-D467,"")</f>
        <v/>
      </c>
    </row>
    <row r="468" spans="1:6" x14ac:dyDescent="0.25">
      <c r="A468" s="15">
        <v>465</v>
      </c>
      <c r="B468" s="17" t="str">
        <f>IF(A468&lt;='APR and payment'!$E$5,'Remaining debt'!A468,"")</f>
        <v/>
      </c>
      <c r="C468" s="22" t="str">
        <f>IF(A468&lt;='APR and payment'!$E$5,'APR and payment'!$E$24,"")</f>
        <v/>
      </c>
      <c r="D468" s="22" t="str">
        <f>IF(A468&lt;='APR and payment'!$E$5,C468-E468,"")</f>
        <v/>
      </c>
      <c r="E468" s="22" t="str">
        <f>IF(A468&lt;='APR and payment'!$E$5,F467*'APR and payment'!$E$6/'APR and payment'!$L$9,"")</f>
        <v/>
      </c>
      <c r="F468" s="22" t="str">
        <f>IF(A468&lt;='APR and payment'!$E$5,F467-D468,"")</f>
        <v/>
      </c>
    </row>
    <row r="469" spans="1:6" x14ac:dyDescent="0.25">
      <c r="A469" s="15">
        <v>466</v>
      </c>
      <c r="B469" s="17" t="str">
        <f>IF(A469&lt;='APR and payment'!$E$5,'Remaining debt'!A469,"")</f>
        <v/>
      </c>
      <c r="C469" s="22" t="str">
        <f>IF(A469&lt;='APR and payment'!$E$5,'APR and payment'!$E$24,"")</f>
        <v/>
      </c>
      <c r="D469" s="22" t="str">
        <f>IF(A469&lt;='APR and payment'!$E$5,C469-E469,"")</f>
        <v/>
      </c>
      <c r="E469" s="22" t="str">
        <f>IF(A469&lt;='APR and payment'!$E$5,F468*'APR and payment'!$E$6/'APR and payment'!$L$9,"")</f>
        <v/>
      </c>
      <c r="F469" s="22" t="str">
        <f>IF(A469&lt;='APR and payment'!$E$5,F468-D469,"")</f>
        <v/>
      </c>
    </row>
    <row r="470" spans="1:6" x14ac:dyDescent="0.25">
      <c r="A470" s="15">
        <v>467</v>
      </c>
      <c r="B470" s="17" t="str">
        <f>IF(A470&lt;='APR and payment'!$E$5,'Remaining debt'!A470,"")</f>
        <v/>
      </c>
      <c r="C470" s="22" t="str">
        <f>IF(A470&lt;='APR and payment'!$E$5,'APR and payment'!$E$24,"")</f>
        <v/>
      </c>
      <c r="D470" s="22" t="str">
        <f>IF(A470&lt;='APR and payment'!$E$5,C470-E470,"")</f>
        <v/>
      </c>
      <c r="E470" s="22" t="str">
        <f>IF(A470&lt;='APR and payment'!$E$5,F469*'APR and payment'!$E$6/'APR and payment'!$L$9,"")</f>
        <v/>
      </c>
      <c r="F470" s="22" t="str">
        <f>IF(A470&lt;='APR and payment'!$E$5,F469-D470,"")</f>
        <v/>
      </c>
    </row>
    <row r="471" spans="1:6" x14ac:dyDescent="0.25">
      <c r="A471" s="15">
        <v>468</v>
      </c>
      <c r="B471" s="17" t="str">
        <f>IF(A471&lt;='APR and payment'!$E$5,'Remaining debt'!A471,"")</f>
        <v/>
      </c>
      <c r="C471" s="22" t="str">
        <f>IF(A471&lt;='APR and payment'!$E$5,'APR and payment'!$E$24,"")</f>
        <v/>
      </c>
      <c r="D471" s="22" t="str">
        <f>IF(A471&lt;='APR and payment'!$E$5,C471-E471,"")</f>
        <v/>
      </c>
      <c r="E471" s="22" t="str">
        <f>IF(A471&lt;='APR and payment'!$E$5,F470*'APR and payment'!$E$6/'APR and payment'!$L$9,"")</f>
        <v/>
      </c>
      <c r="F471" s="22" t="str">
        <f>IF(A471&lt;='APR and payment'!$E$5,F470-D471,"")</f>
        <v/>
      </c>
    </row>
    <row r="472" spans="1:6" x14ac:dyDescent="0.25">
      <c r="A472" s="15">
        <v>469</v>
      </c>
      <c r="B472" s="17" t="str">
        <f>IF(A472&lt;='APR and payment'!$E$5,'Remaining debt'!A472,"")</f>
        <v/>
      </c>
      <c r="C472" s="22" t="str">
        <f>IF(A472&lt;='APR and payment'!$E$5,'APR and payment'!$E$24,"")</f>
        <v/>
      </c>
      <c r="D472" s="22" t="str">
        <f>IF(A472&lt;='APR and payment'!$E$5,C472-E472,"")</f>
        <v/>
      </c>
      <c r="E472" s="22" t="str">
        <f>IF(A472&lt;='APR and payment'!$E$5,F471*'APR and payment'!$E$6/'APR and payment'!$L$9,"")</f>
        <v/>
      </c>
      <c r="F472" s="22" t="str">
        <f>IF(A472&lt;='APR and payment'!$E$5,F471-D472,"")</f>
        <v/>
      </c>
    </row>
    <row r="473" spans="1:6" x14ac:dyDescent="0.25">
      <c r="A473" s="15">
        <v>470</v>
      </c>
      <c r="B473" s="17" t="str">
        <f>IF(A473&lt;='APR and payment'!$E$5,'Remaining debt'!A473,"")</f>
        <v/>
      </c>
      <c r="C473" s="22" t="str">
        <f>IF(A473&lt;='APR and payment'!$E$5,'APR and payment'!$E$24,"")</f>
        <v/>
      </c>
      <c r="D473" s="22" t="str">
        <f>IF(A473&lt;='APR and payment'!$E$5,C473-E473,"")</f>
        <v/>
      </c>
      <c r="E473" s="22" t="str">
        <f>IF(A473&lt;='APR and payment'!$E$5,F472*'APR and payment'!$E$6/'APR and payment'!$L$9,"")</f>
        <v/>
      </c>
      <c r="F473" s="22" t="str">
        <f>IF(A473&lt;='APR and payment'!$E$5,F472-D473,"")</f>
        <v/>
      </c>
    </row>
    <row r="474" spans="1:6" x14ac:dyDescent="0.25">
      <c r="A474" s="15">
        <v>471</v>
      </c>
      <c r="B474" s="17" t="str">
        <f>IF(A474&lt;='APR and payment'!$E$5,'Remaining debt'!A474,"")</f>
        <v/>
      </c>
      <c r="C474" s="22" t="str">
        <f>IF(A474&lt;='APR and payment'!$E$5,'APR and payment'!$E$24,"")</f>
        <v/>
      </c>
      <c r="D474" s="22" t="str">
        <f>IF(A474&lt;='APR and payment'!$E$5,C474-E474,"")</f>
        <v/>
      </c>
      <c r="E474" s="22" t="str">
        <f>IF(A474&lt;='APR and payment'!$E$5,F473*'APR and payment'!$E$6/'APR and payment'!$L$9,"")</f>
        <v/>
      </c>
      <c r="F474" s="22" t="str">
        <f>IF(A474&lt;='APR and payment'!$E$5,F473-D474,"")</f>
        <v/>
      </c>
    </row>
    <row r="475" spans="1:6" x14ac:dyDescent="0.25">
      <c r="A475" s="15">
        <v>472</v>
      </c>
      <c r="B475" s="17" t="str">
        <f>IF(A475&lt;='APR and payment'!$E$5,'Remaining debt'!A475,"")</f>
        <v/>
      </c>
      <c r="C475" s="22" t="str">
        <f>IF(A475&lt;='APR and payment'!$E$5,'APR and payment'!$E$24,"")</f>
        <v/>
      </c>
      <c r="D475" s="22" t="str">
        <f>IF(A475&lt;='APR and payment'!$E$5,C475-E475,"")</f>
        <v/>
      </c>
      <c r="E475" s="22" t="str">
        <f>IF(A475&lt;='APR and payment'!$E$5,F474*'APR and payment'!$E$6/'APR and payment'!$L$9,"")</f>
        <v/>
      </c>
      <c r="F475" s="22" t="str">
        <f>IF(A475&lt;='APR and payment'!$E$5,F474-D475,"")</f>
        <v/>
      </c>
    </row>
    <row r="476" spans="1:6" x14ac:dyDescent="0.25">
      <c r="A476" s="15">
        <v>473</v>
      </c>
      <c r="B476" s="17" t="str">
        <f>IF(A476&lt;='APR and payment'!$E$5,'Remaining debt'!A476,"")</f>
        <v/>
      </c>
      <c r="C476" s="22" t="str">
        <f>IF(A476&lt;='APR and payment'!$E$5,'APR and payment'!$E$24,"")</f>
        <v/>
      </c>
      <c r="D476" s="22" t="str">
        <f>IF(A476&lt;='APR and payment'!$E$5,C476-E476,"")</f>
        <v/>
      </c>
      <c r="E476" s="22" t="str">
        <f>IF(A476&lt;='APR and payment'!$E$5,F475*'APR and payment'!$E$6/'APR and payment'!$L$9,"")</f>
        <v/>
      </c>
      <c r="F476" s="22" t="str">
        <f>IF(A476&lt;='APR and payment'!$E$5,F475-D476,"")</f>
        <v/>
      </c>
    </row>
    <row r="477" spans="1:6" x14ac:dyDescent="0.25">
      <c r="A477" s="15">
        <v>474</v>
      </c>
      <c r="B477" s="17" t="str">
        <f>IF(A477&lt;='APR and payment'!$E$5,'Remaining debt'!A477,"")</f>
        <v/>
      </c>
      <c r="C477" s="22" t="str">
        <f>IF(A477&lt;='APR and payment'!$E$5,'APR and payment'!$E$24,"")</f>
        <v/>
      </c>
      <c r="D477" s="22" t="str">
        <f>IF(A477&lt;='APR and payment'!$E$5,C477-E477,"")</f>
        <v/>
      </c>
      <c r="E477" s="22" t="str">
        <f>IF(A477&lt;='APR and payment'!$E$5,F476*'APR and payment'!$E$6/'APR and payment'!$L$9,"")</f>
        <v/>
      </c>
      <c r="F477" s="22" t="str">
        <f>IF(A477&lt;='APR and payment'!$E$5,F476-D477,"")</f>
        <v/>
      </c>
    </row>
    <row r="478" spans="1:6" x14ac:dyDescent="0.25">
      <c r="A478" s="15">
        <v>475</v>
      </c>
      <c r="B478" s="17" t="str">
        <f>IF(A478&lt;='APR and payment'!$E$5,'Remaining debt'!A478,"")</f>
        <v/>
      </c>
      <c r="C478" s="22" t="str">
        <f>IF(A478&lt;='APR and payment'!$E$5,'APR and payment'!$E$24,"")</f>
        <v/>
      </c>
      <c r="D478" s="22" t="str">
        <f>IF(A478&lt;='APR and payment'!$E$5,C478-E478,"")</f>
        <v/>
      </c>
      <c r="E478" s="22" t="str">
        <f>IF(A478&lt;='APR and payment'!$E$5,F477*'APR and payment'!$E$6/'APR and payment'!$L$9,"")</f>
        <v/>
      </c>
      <c r="F478" s="22" t="str">
        <f>IF(A478&lt;='APR and payment'!$E$5,F477-D478,"")</f>
        <v/>
      </c>
    </row>
    <row r="479" spans="1:6" x14ac:dyDescent="0.25">
      <c r="A479" s="15">
        <v>476</v>
      </c>
      <c r="B479" s="17" t="str">
        <f>IF(A479&lt;='APR and payment'!$E$5,'Remaining debt'!A479,"")</f>
        <v/>
      </c>
      <c r="C479" s="22" t="str">
        <f>IF(A479&lt;='APR and payment'!$E$5,'APR and payment'!$E$24,"")</f>
        <v/>
      </c>
      <c r="D479" s="22" t="str">
        <f>IF(A479&lt;='APR and payment'!$E$5,C479-E479,"")</f>
        <v/>
      </c>
      <c r="E479" s="22" t="str">
        <f>IF(A479&lt;='APR and payment'!$E$5,F478*'APR and payment'!$E$6/'APR and payment'!$L$9,"")</f>
        <v/>
      </c>
      <c r="F479" s="22" t="str">
        <f>IF(A479&lt;='APR and payment'!$E$5,F478-D479,"")</f>
        <v/>
      </c>
    </row>
    <row r="480" spans="1:6" x14ac:dyDescent="0.25">
      <c r="A480" s="15">
        <v>477</v>
      </c>
      <c r="B480" s="17" t="str">
        <f>IF(A480&lt;='APR and payment'!$E$5,'Remaining debt'!A480,"")</f>
        <v/>
      </c>
      <c r="C480" s="22" t="str">
        <f>IF(A480&lt;='APR and payment'!$E$5,'APR and payment'!$E$24,"")</f>
        <v/>
      </c>
      <c r="D480" s="22" t="str">
        <f>IF(A480&lt;='APR and payment'!$E$5,C480-E480,"")</f>
        <v/>
      </c>
      <c r="E480" s="22" t="str">
        <f>IF(A480&lt;='APR and payment'!$E$5,F479*'APR and payment'!$E$6/'APR and payment'!$L$9,"")</f>
        <v/>
      </c>
      <c r="F480" s="22" t="str">
        <f>IF(A480&lt;='APR and payment'!$E$5,F479-D480,"")</f>
        <v/>
      </c>
    </row>
    <row r="481" spans="1:6" x14ac:dyDescent="0.25">
      <c r="A481" s="15">
        <v>478</v>
      </c>
      <c r="B481" s="17" t="str">
        <f>IF(A481&lt;='APR and payment'!$E$5,'Remaining debt'!A481,"")</f>
        <v/>
      </c>
      <c r="C481" s="22" t="str">
        <f>IF(A481&lt;='APR and payment'!$E$5,'APR and payment'!$E$24,"")</f>
        <v/>
      </c>
      <c r="D481" s="22" t="str">
        <f>IF(A481&lt;='APR and payment'!$E$5,C481-E481,"")</f>
        <v/>
      </c>
      <c r="E481" s="22" t="str">
        <f>IF(A481&lt;='APR and payment'!$E$5,F480*'APR and payment'!$E$6/'APR and payment'!$L$9,"")</f>
        <v/>
      </c>
      <c r="F481" s="22" t="str">
        <f>IF(A481&lt;='APR and payment'!$E$5,F480-D481,"")</f>
        <v/>
      </c>
    </row>
    <row r="482" spans="1:6" x14ac:dyDescent="0.25">
      <c r="A482" s="15">
        <v>479</v>
      </c>
      <c r="B482" s="17" t="str">
        <f>IF(A482&lt;='APR and payment'!$E$5,'Remaining debt'!A482,"")</f>
        <v/>
      </c>
      <c r="C482" s="22" t="str">
        <f>IF(A482&lt;='APR and payment'!$E$5,'APR and payment'!$E$24,"")</f>
        <v/>
      </c>
      <c r="D482" s="22" t="str">
        <f>IF(A482&lt;='APR and payment'!$E$5,C482-E482,"")</f>
        <v/>
      </c>
      <c r="E482" s="22" t="str">
        <f>IF(A482&lt;='APR and payment'!$E$5,F481*'APR and payment'!$E$6/'APR and payment'!$L$9,"")</f>
        <v/>
      </c>
      <c r="F482" s="22" t="str">
        <f>IF(A482&lt;='APR and payment'!$E$5,F481-D482,"")</f>
        <v/>
      </c>
    </row>
    <row r="483" spans="1:6" x14ac:dyDescent="0.25">
      <c r="A483" s="15">
        <v>480</v>
      </c>
      <c r="B483" s="17" t="str">
        <f>IF(A483&lt;='APR and payment'!$E$5,'Remaining debt'!A483,"")</f>
        <v/>
      </c>
      <c r="C483" s="22" t="str">
        <f>IF(A483&lt;='APR and payment'!$E$5,'APR and payment'!$E$24,"")</f>
        <v/>
      </c>
      <c r="D483" s="22" t="str">
        <f>IF(A483&lt;='APR and payment'!$E$5,C483-E483,"")</f>
        <v/>
      </c>
      <c r="E483" s="22" t="str">
        <f>IF(A483&lt;='APR and payment'!$E$5,F482*'APR and payment'!$E$6/'APR and payment'!$L$9,"")</f>
        <v/>
      </c>
      <c r="F483" s="22" t="str">
        <f>IF(A483&lt;='APR and payment'!$E$5,F482-D483,"")</f>
        <v/>
      </c>
    </row>
    <row r="484" spans="1:6" x14ac:dyDescent="0.25">
      <c r="A484" s="15">
        <v>481</v>
      </c>
      <c r="B484" s="17" t="str">
        <f>IF(A484&lt;='APR and payment'!$E$5,'Remaining debt'!A484,"")</f>
        <v/>
      </c>
      <c r="C484" s="22" t="str">
        <f>IF(A484&lt;='APR and payment'!$E$5,'APR and payment'!$E$24,"")</f>
        <v/>
      </c>
      <c r="D484" s="22" t="str">
        <f>IF(A484&lt;='APR and payment'!$E$5,C484-E484,"")</f>
        <v/>
      </c>
      <c r="E484" s="22" t="str">
        <f>IF(A484&lt;='APR and payment'!$E$5,F483*'APR and payment'!$E$6/'APR and payment'!$L$9,"")</f>
        <v/>
      </c>
      <c r="F484" s="22" t="str">
        <f>IF(A484&lt;='APR and payment'!$E$5,F483-D484,"")</f>
        <v/>
      </c>
    </row>
    <row r="485" spans="1:6" x14ac:dyDescent="0.25">
      <c r="A485" s="15">
        <v>482</v>
      </c>
      <c r="B485" s="17" t="str">
        <f>IF(A485&lt;='APR and payment'!$E$5,'Remaining debt'!A485,"")</f>
        <v/>
      </c>
      <c r="C485" s="22" t="str">
        <f>IF(A485&lt;='APR and payment'!$E$5,'APR and payment'!$E$24,"")</f>
        <v/>
      </c>
      <c r="D485" s="22" t="str">
        <f>IF(A485&lt;='APR and payment'!$E$5,C485-E485,"")</f>
        <v/>
      </c>
      <c r="E485" s="22" t="str">
        <f>IF(A485&lt;='APR and payment'!$E$5,F484*'APR and payment'!$E$6/'APR and payment'!$L$9,"")</f>
        <v/>
      </c>
      <c r="F485" s="22" t="str">
        <f>IF(A485&lt;='APR and payment'!$E$5,F484-D485,"")</f>
        <v/>
      </c>
    </row>
    <row r="486" spans="1:6" x14ac:dyDescent="0.25">
      <c r="A486" s="15">
        <v>483</v>
      </c>
      <c r="B486" s="17" t="str">
        <f>IF(A486&lt;='APR and payment'!$E$5,'Remaining debt'!A486,"")</f>
        <v/>
      </c>
      <c r="C486" s="22" t="str">
        <f>IF(A486&lt;='APR and payment'!$E$5,'APR and payment'!$E$24,"")</f>
        <v/>
      </c>
      <c r="D486" s="22" t="str">
        <f>IF(A486&lt;='APR and payment'!$E$5,C486-E486,"")</f>
        <v/>
      </c>
      <c r="E486" s="22" t="str">
        <f>IF(A486&lt;='APR and payment'!$E$5,F485*'APR and payment'!$E$6/'APR and payment'!$L$9,"")</f>
        <v/>
      </c>
      <c r="F486" s="22" t="str">
        <f>IF(A486&lt;='APR and payment'!$E$5,F485-D486,"")</f>
        <v/>
      </c>
    </row>
    <row r="487" spans="1:6" x14ac:dyDescent="0.25">
      <c r="A487" s="15">
        <v>484</v>
      </c>
      <c r="B487" s="17" t="str">
        <f>IF(A487&lt;='APR and payment'!$E$5,'Remaining debt'!A487,"")</f>
        <v/>
      </c>
      <c r="C487" s="22" t="str">
        <f>IF(A487&lt;='APR and payment'!$E$5,'APR and payment'!$E$24,"")</f>
        <v/>
      </c>
      <c r="D487" s="22" t="str">
        <f>IF(A487&lt;='APR and payment'!$E$5,C487-E487,"")</f>
        <v/>
      </c>
      <c r="E487" s="22" t="str">
        <f>IF(A487&lt;='APR and payment'!$E$5,F486*'APR and payment'!$E$6/'APR and payment'!$L$9,"")</f>
        <v/>
      </c>
      <c r="F487" s="22" t="str">
        <f>IF(A487&lt;='APR and payment'!$E$5,F486-D487,"")</f>
        <v/>
      </c>
    </row>
    <row r="488" spans="1:6" x14ac:dyDescent="0.25">
      <c r="A488" s="15">
        <v>485</v>
      </c>
      <c r="B488" s="17" t="str">
        <f>IF(A488&lt;='APR and payment'!$E$5,'Remaining debt'!A488,"")</f>
        <v/>
      </c>
      <c r="C488" s="22" t="str">
        <f>IF(A488&lt;='APR and payment'!$E$5,'APR and payment'!$E$24,"")</f>
        <v/>
      </c>
      <c r="D488" s="22" t="str">
        <f>IF(A488&lt;='APR and payment'!$E$5,C488-E488,"")</f>
        <v/>
      </c>
      <c r="E488" s="22" t="str">
        <f>IF(A488&lt;='APR and payment'!$E$5,F487*'APR and payment'!$E$6/'APR and payment'!$L$9,"")</f>
        <v/>
      </c>
      <c r="F488" s="22" t="str">
        <f>IF(A488&lt;='APR and payment'!$E$5,F487-D488,"")</f>
        <v/>
      </c>
    </row>
    <row r="489" spans="1:6" x14ac:dyDescent="0.25">
      <c r="A489" s="15">
        <v>486</v>
      </c>
      <c r="B489" s="17" t="str">
        <f>IF(A489&lt;='APR and payment'!$E$5,'Remaining debt'!A489,"")</f>
        <v/>
      </c>
      <c r="C489" s="22" t="str">
        <f>IF(A489&lt;='APR and payment'!$E$5,'APR and payment'!$E$24,"")</f>
        <v/>
      </c>
      <c r="D489" s="22" t="str">
        <f>IF(A489&lt;='APR and payment'!$E$5,C489-E489,"")</f>
        <v/>
      </c>
      <c r="E489" s="22" t="str">
        <f>IF(A489&lt;='APR and payment'!$E$5,F488*'APR and payment'!$E$6/'APR and payment'!$L$9,"")</f>
        <v/>
      </c>
      <c r="F489" s="22" t="str">
        <f>IF(A489&lt;='APR and payment'!$E$5,F488-D489,"")</f>
        <v/>
      </c>
    </row>
    <row r="490" spans="1:6" x14ac:dyDescent="0.25">
      <c r="A490" s="15">
        <v>487</v>
      </c>
      <c r="B490" s="17" t="str">
        <f>IF(A490&lt;='APR and payment'!$E$5,'Remaining debt'!A490,"")</f>
        <v/>
      </c>
      <c r="C490" s="22" t="str">
        <f>IF(A490&lt;='APR and payment'!$E$5,'APR and payment'!$E$24,"")</f>
        <v/>
      </c>
      <c r="D490" s="22" t="str">
        <f>IF(A490&lt;='APR and payment'!$E$5,C490-E490,"")</f>
        <v/>
      </c>
      <c r="E490" s="22" t="str">
        <f>IF(A490&lt;='APR and payment'!$E$5,F489*'APR and payment'!$E$6/'APR and payment'!$L$9,"")</f>
        <v/>
      </c>
      <c r="F490" s="22" t="str">
        <f>IF(A490&lt;='APR and payment'!$E$5,F489-D490,"")</f>
        <v/>
      </c>
    </row>
    <row r="491" spans="1:6" x14ac:dyDescent="0.25">
      <c r="A491" s="15">
        <v>488</v>
      </c>
      <c r="B491" s="17" t="str">
        <f>IF(A491&lt;='APR and payment'!$E$5,'Remaining debt'!A491,"")</f>
        <v/>
      </c>
      <c r="C491" s="22" t="str">
        <f>IF(A491&lt;='APR and payment'!$E$5,'APR and payment'!$E$24,"")</f>
        <v/>
      </c>
      <c r="D491" s="22" t="str">
        <f>IF(A491&lt;='APR and payment'!$E$5,C491-E491,"")</f>
        <v/>
      </c>
      <c r="E491" s="22" t="str">
        <f>IF(A491&lt;='APR and payment'!$E$5,F490*'APR and payment'!$E$6/'APR and payment'!$L$9,"")</f>
        <v/>
      </c>
      <c r="F491" s="22" t="str">
        <f>IF(A491&lt;='APR and payment'!$E$5,F490-D491,"")</f>
        <v/>
      </c>
    </row>
    <row r="492" spans="1:6" x14ac:dyDescent="0.25">
      <c r="A492" s="15">
        <v>489</v>
      </c>
      <c r="B492" s="17" t="str">
        <f>IF(A492&lt;='APR and payment'!$E$5,'Remaining debt'!A492,"")</f>
        <v/>
      </c>
      <c r="C492" s="22" t="str">
        <f>IF(A492&lt;='APR and payment'!$E$5,'APR and payment'!$E$24,"")</f>
        <v/>
      </c>
      <c r="D492" s="22" t="str">
        <f>IF(A492&lt;='APR and payment'!$E$5,C492-E492,"")</f>
        <v/>
      </c>
      <c r="E492" s="22" t="str">
        <f>IF(A492&lt;='APR and payment'!$E$5,F491*'APR and payment'!$E$6/'APR and payment'!$L$9,"")</f>
        <v/>
      </c>
      <c r="F492" s="22" t="str">
        <f>IF(A492&lt;='APR and payment'!$E$5,F491-D492,"")</f>
        <v/>
      </c>
    </row>
    <row r="493" spans="1:6" x14ac:dyDescent="0.25">
      <c r="A493" s="15">
        <v>490</v>
      </c>
      <c r="B493" s="17" t="str">
        <f>IF(A493&lt;='APR and payment'!$E$5,'Remaining debt'!A493,"")</f>
        <v/>
      </c>
      <c r="C493" s="22" t="str">
        <f>IF(A493&lt;='APR and payment'!$E$5,'APR and payment'!$E$24,"")</f>
        <v/>
      </c>
      <c r="D493" s="22" t="str">
        <f>IF(A493&lt;='APR and payment'!$E$5,C493-E493,"")</f>
        <v/>
      </c>
      <c r="E493" s="22" t="str">
        <f>IF(A493&lt;='APR and payment'!$E$5,F492*'APR and payment'!$E$6/'APR and payment'!$L$9,"")</f>
        <v/>
      </c>
      <c r="F493" s="22" t="str">
        <f>IF(A493&lt;='APR and payment'!$E$5,F492-D493,"")</f>
        <v/>
      </c>
    </row>
    <row r="494" spans="1:6" x14ac:dyDescent="0.25">
      <c r="A494" s="15">
        <v>491</v>
      </c>
      <c r="B494" s="17" t="str">
        <f>IF(A494&lt;='APR and payment'!$E$5,'Remaining debt'!A494,"")</f>
        <v/>
      </c>
      <c r="C494" s="22" t="str">
        <f>IF(A494&lt;='APR and payment'!$E$5,'APR and payment'!$E$24,"")</f>
        <v/>
      </c>
      <c r="D494" s="22" t="str">
        <f>IF(A494&lt;='APR and payment'!$E$5,C494-E494,"")</f>
        <v/>
      </c>
      <c r="E494" s="22" t="str">
        <f>IF(A494&lt;='APR and payment'!$E$5,F493*'APR and payment'!$E$6/'APR and payment'!$L$9,"")</f>
        <v/>
      </c>
      <c r="F494" s="22" t="str">
        <f>IF(A494&lt;='APR and payment'!$E$5,F493-D494,"")</f>
        <v/>
      </c>
    </row>
    <row r="495" spans="1:6" x14ac:dyDescent="0.25">
      <c r="A495" s="15">
        <v>492</v>
      </c>
      <c r="B495" s="17" t="str">
        <f>IF(A495&lt;='APR and payment'!$E$5,'Remaining debt'!A495,"")</f>
        <v/>
      </c>
      <c r="C495" s="22" t="str">
        <f>IF(A495&lt;='APR and payment'!$E$5,'APR and payment'!$E$24,"")</f>
        <v/>
      </c>
      <c r="D495" s="22" t="str">
        <f>IF(A495&lt;='APR and payment'!$E$5,C495-E495,"")</f>
        <v/>
      </c>
      <c r="E495" s="22" t="str">
        <f>IF(A495&lt;='APR and payment'!$E$5,F494*'APR and payment'!$E$6/'APR and payment'!$L$9,"")</f>
        <v/>
      </c>
      <c r="F495" s="22" t="str">
        <f>IF(A495&lt;='APR and payment'!$E$5,F494-D495,"")</f>
        <v/>
      </c>
    </row>
    <row r="496" spans="1:6" x14ac:dyDescent="0.25">
      <c r="A496" s="15">
        <v>493</v>
      </c>
      <c r="B496" s="17" t="str">
        <f>IF(A496&lt;='APR and payment'!$E$5,'Remaining debt'!A496,"")</f>
        <v/>
      </c>
      <c r="C496" s="22" t="str">
        <f>IF(A496&lt;='APR and payment'!$E$5,'APR and payment'!$E$24,"")</f>
        <v/>
      </c>
      <c r="D496" s="22" t="str">
        <f>IF(A496&lt;='APR and payment'!$E$5,C496-E496,"")</f>
        <v/>
      </c>
      <c r="E496" s="22" t="str">
        <f>IF(A496&lt;='APR and payment'!$E$5,F495*'APR and payment'!$E$6/'APR and payment'!$L$9,"")</f>
        <v/>
      </c>
      <c r="F496" s="22" t="str">
        <f>IF(A496&lt;='APR and payment'!$E$5,F495-D496,"")</f>
        <v/>
      </c>
    </row>
    <row r="497" spans="1:6" x14ac:dyDescent="0.25">
      <c r="A497" s="15">
        <v>494</v>
      </c>
      <c r="B497" s="17" t="str">
        <f>IF(A497&lt;='APR and payment'!$E$5,'Remaining debt'!A497,"")</f>
        <v/>
      </c>
      <c r="C497" s="22" t="str">
        <f>IF(A497&lt;='APR and payment'!$E$5,'APR and payment'!$E$24,"")</f>
        <v/>
      </c>
      <c r="D497" s="22" t="str">
        <f>IF(A497&lt;='APR and payment'!$E$5,C497-E497,"")</f>
        <v/>
      </c>
      <c r="E497" s="22" t="str">
        <f>IF(A497&lt;='APR and payment'!$E$5,F496*'APR and payment'!$E$6/'APR and payment'!$L$9,"")</f>
        <v/>
      </c>
      <c r="F497" s="22" t="str">
        <f>IF(A497&lt;='APR and payment'!$E$5,F496-D497,"")</f>
        <v/>
      </c>
    </row>
    <row r="498" spans="1:6" x14ac:dyDescent="0.25">
      <c r="A498" s="15">
        <v>495</v>
      </c>
      <c r="B498" s="17" t="str">
        <f>IF(A498&lt;='APR and payment'!$E$5,'Remaining debt'!A498,"")</f>
        <v/>
      </c>
      <c r="C498" s="22" t="str">
        <f>IF(A498&lt;='APR and payment'!$E$5,'APR and payment'!$E$24,"")</f>
        <v/>
      </c>
      <c r="D498" s="22" t="str">
        <f>IF(A498&lt;='APR and payment'!$E$5,C498-E498,"")</f>
        <v/>
      </c>
      <c r="E498" s="22" t="str">
        <f>IF(A498&lt;='APR and payment'!$E$5,F497*'APR and payment'!$E$6/'APR and payment'!$L$9,"")</f>
        <v/>
      </c>
      <c r="F498" s="22" t="str">
        <f>IF(A498&lt;='APR and payment'!$E$5,F497-D498,"")</f>
        <v/>
      </c>
    </row>
    <row r="499" spans="1:6" x14ac:dyDescent="0.25">
      <c r="A499" s="15">
        <v>496</v>
      </c>
      <c r="B499" s="17" t="str">
        <f>IF(A499&lt;='APR and payment'!$E$5,'Remaining debt'!A499,"")</f>
        <v/>
      </c>
      <c r="C499" s="22" t="str">
        <f>IF(A499&lt;='APR and payment'!$E$5,'APR and payment'!$E$24,"")</f>
        <v/>
      </c>
      <c r="D499" s="22" t="str">
        <f>IF(A499&lt;='APR and payment'!$E$5,C499-E499,"")</f>
        <v/>
      </c>
      <c r="E499" s="22" t="str">
        <f>IF(A499&lt;='APR and payment'!$E$5,F498*'APR and payment'!$E$6/'APR and payment'!$L$9,"")</f>
        <v/>
      </c>
      <c r="F499" s="22" t="str">
        <f>IF(A499&lt;='APR and payment'!$E$5,F498-D499,"")</f>
        <v/>
      </c>
    </row>
    <row r="500" spans="1:6" x14ac:dyDescent="0.25">
      <c r="A500" s="15">
        <v>497</v>
      </c>
      <c r="B500" s="17" t="str">
        <f>IF(A500&lt;='APR and payment'!$E$5,'Remaining debt'!A500,"")</f>
        <v/>
      </c>
      <c r="C500" s="22" t="str">
        <f>IF(A500&lt;='APR and payment'!$E$5,'APR and payment'!$E$24,"")</f>
        <v/>
      </c>
      <c r="D500" s="22" t="str">
        <f>IF(A500&lt;='APR and payment'!$E$5,C500-E500,"")</f>
        <v/>
      </c>
      <c r="E500" s="22" t="str">
        <f>IF(A500&lt;='APR and payment'!$E$5,F499*'APR and payment'!$E$6/'APR and payment'!$L$9,"")</f>
        <v/>
      </c>
      <c r="F500" s="22" t="str">
        <f>IF(A500&lt;='APR and payment'!$E$5,F499-D500,"")</f>
        <v/>
      </c>
    </row>
    <row r="501" spans="1:6" x14ac:dyDescent="0.25">
      <c r="A501" s="15">
        <v>498</v>
      </c>
      <c r="B501" s="17" t="str">
        <f>IF(A501&lt;='APR and payment'!$E$5,'Remaining debt'!A501,"")</f>
        <v/>
      </c>
      <c r="C501" s="22" t="str">
        <f>IF(A501&lt;='APR and payment'!$E$5,'APR and payment'!$E$24,"")</f>
        <v/>
      </c>
      <c r="D501" s="22" t="str">
        <f>IF(A501&lt;='APR and payment'!$E$5,C501-E501,"")</f>
        <v/>
      </c>
      <c r="E501" s="22" t="str">
        <f>IF(A501&lt;='APR and payment'!$E$5,F500*'APR and payment'!$E$6/'APR and payment'!$L$9,"")</f>
        <v/>
      </c>
      <c r="F501" s="22" t="str">
        <f>IF(A501&lt;='APR and payment'!$E$5,F500-D501,"")</f>
        <v/>
      </c>
    </row>
    <row r="502" spans="1:6" x14ac:dyDescent="0.25">
      <c r="A502" s="15">
        <v>499</v>
      </c>
      <c r="B502" s="17" t="str">
        <f>IF(A502&lt;='APR and payment'!$E$5,'Remaining debt'!A502,"")</f>
        <v/>
      </c>
      <c r="C502" s="22" t="str">
        <f>IF(A502&lt;='APR and payment'!$E$5,'APR and payment'!$E$24,"")</f>
        <v/>
      </c>
      <c r="D502" s="22" t="str">
        <f>IF(A502&lt;='APR and payment'!$E$5,C502-E502,"")</f>
        <v/>
      </c>
      <c r="E502" s="22" t="str">
        <f>IF(A502&lt;='APR and payment'!$E$5,F501*'APR and payment'!$E$6/'APR and payment'!$L$9,"")</f>
        <v/>
      </c>
      <c r="F502" s="22" t="str">
        <f>IF(A502&lt;='APR and payment'!$E$5,F501-D502,"")</f>
        <v/>
      </c>
    </row>
    <row r="503" spans="1:6" x14ac:dyDescent="0.25">
      <c r="A503" s="15">
        <v>500</v>
      </c>
      <c r="B503" s="17" t="str">
        <f>IF(A503&lt;='APR and payment'!$E$5,'Remaining debt'!A503,"")</f>
        <v/>
      </c>
      <c r="C503" s="22" t="str">
        <f>IF(A503&lt;='APR and payment'!$E$5,'APR and payment'!$E$24,"")</f>
        <v/>
      </c>
      <c r="D503" s="22" t="str">
        <f>IF(A503&lt;='APR and payment'!$E$5,C503-E503,"")</f>
        <v/>
      </c>
      <c r="E503" s="22" t="str">
        <f>IF(A503&lt;='APR and payment'!$E$5,F502*'APR and payment'!$E$6/'APR and payment'!$L$9,"")</f>
        <v/>
      </c>
      <c r="F503" s="22" t="str">
        <f>IF(A503&lt;='APR and payment'!$E$5,F502-D503,"")</f>
        <v/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Listy</vt:lpstr>
      </vt:variant>
      <vt:variant>
        <vt:i4>2</vt:i4>
      </vt:variant>
      <vt:variant>
        <vt:lpstr>Grafy</vt:lpstr>
      </vt:variant>
      <vt:variant>
        <vt:i4>2</vt:i4>
      </vt:variant>
    </vt:vector>
  </HeadingPairs>
  <TitlesOfParts>
    <vt:vector size="4" baseType="lpstr">
      <vt:lpstr>APR and payment</vt:lpstr>
      <vt:lpstr>Remaining debt</vt:lpstr>
      <vt:lpstr>Remaining debt - chart</vt:lpstr>
      <vt:lpstr>Payment breakdown - 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Nikola Svrčinová</dc:creator>
  <cp:lastModifiedBy>Ing. Nikola Svrčinová</cp:lastModifiedBy>
  <cp:lastPrinted>2021-04-27T10:15:02Z</cp:lastPrinted>
  <dcterms:created xsi:type="dcterms:W3CDTF">2015-06-05T18:19:34Z</dcterms:created>
  <dcterms:modified xsi:type="dcterms:W3CDTF">2026-05-15T12:25:52Z</dcterms:modified>
</cp:coreProperties>
</file>