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6871\Desktop\"/>
    </mc:Choice>
  </mc:AlternateContent>
  <xr:revisionPtr revIDLastSave="0" documentId="13_ncr:1_{EB00D1F4-6FA9-4D95-B6CE-A21693BBAE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PR and payment" sheetId="1" r:id="rId1"/>
    <sheet name="Remaining debt" sheetId="2" r:id="rId2"/>
    <sheet name="Remaining debt - chart" sheetId="3" r:id="rId3"/>
    <sheet name="Payment breakdown - cha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" l="1"/>
  <c r="J20" i="1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C501" i="2"/>
  <c r="C502" i="2"/>
  <c r="C50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J24" i="1"/>
  <c r="J23" i="1"/>
  <c r="J22" i="1"/>
  <c r="C28" i="1"/>
  <c r="L9" i="1"/>
  <c r="C21" i="1"/>
  <c r="C20" i="1"/>
  <c r="C19" i="1"/>
  <c r="C18" i="1"/>
  <c r="C17" i="1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4" i="2"/>
  <c r="B3" i="2"/>
  <c r="F3" i="2"/>
  <c r="E4" i="2" l="1"/>
  <c r="E28" i="1"/>
  <c r="R5" i="1"/>
  <c r="L10" i="1" l="1"/>
  <c r="E24" i="1" s="1"/>
  <c r="C4" i="2" s="1"/>
  <c r="D4" i="2" s="1"/>
  <c r="C188" i="2" l="1"/>
  <c r="C196" i="2"/>
  <c r="C204" i="2"/>
  <c r="C212" i="2"/>
  <c r="C220" i="2"/>
  <c r="C228" i="2"/>
  <c r="C236" i="2"/>
  <c r="C244" i="2"/>
  <c r="C252" i="2"/>
  <c r="C260" i="2"/>
  <c r="C268" i="2"/>
  <c r="C276" i="2"/>
  <c r="C284" i="2"/>
  <c r="C292" i="2"/>
  <c r="C300" i="2"/>
  <c r="C308" i="2"/>
  <c r="C316" i="2"/>
  <c r="C324" i="2"/>
  <c r="C332" i="2"/>
  <c r="C340" i="2"/>
  <c r="C348" i="2"/>
  <c r="C356" i="2"/>
  <c r="C191" i="2"/>
  <c r="C215" i="2"/>
  <c r="C239" i="2"/>
  <c r="C263" i="2"/>
  <c r="C287" i="2"/>
  <c r="C311" i="2"/>
  <c r="C335" i="2"/>
  <c r="C359" i="2"/>
  <c r="C200" i="2"/>
  <c r="C232" i="2"/>
  <c r="C256" i="2"/>
  <c r="C280" i="2"/>
  <c r="C304" i="2"/>
  <c r="C328" i="2"/>
  <c r="C185" i="2"/>
  <c r="C217" i="2"/>
  <c r="C249" i="2"/>
  <c r="C273" i="2"/>
  <c r="C313" i="2"/>
  <c r="C337" i="2"/>
  <c r="C361" i="2"/>
  <c r="C189" i="2"/>
  <c r="C197" i="2"/>
  <c r="C205" i="2"/>
  <c r="C213" i="2"/>
  <c r="C221" i="2"/>
  <c r="C229" i="2"/>
  <c r="C237" i="2"/>
  <c r="C245" i="2"/>
  <c r="C253" i="2"/>
  <c r="C261" i="2"/>
  <c r="C269" i="2"/>
  <c r="C277" i="2"/>
  <c r="C285" i="2"/>
  <c r="C293" i="2"/>
  <c r="C301" i="2"/>
  <c r="C309" i="2"/>
  <c r="C317" i="2"/>
  <c r="C325" i="2"/>
  <c r="C333" i="2"/>
  <c r="C341" i="2"/>
  <c r="C349" i="2"/>
  <c r="C357" i="2"/>
  <c r="C207" i="2"/>
  <c r="C231" i="2"/>
  <c r="C247" i="2"/>
  <c r="C279" i="2"/>
  <c r="C303" i="2"/>
  <c r="C327" i="2"/>
  <c r="C343" i="2"/>
  <c r="C192" i="2"/>
  <c r="C216" i="2"/>
  <c r="C240" i="2"/>
  <c r="C264" i="2"/>
  <c r="C296" i="2"/>
  <c r="C320" i="2"/>
  <c r="C344" i="2"/>
  <c r="C360" i="2"/>
  <c r="C201" i="2"/>
  <c r="C225" i="2"/>
  <c r="C241" i="2"/>
  <c r="C257" i="2"/>
  <c r="C289" i="2"/>
  <c r="C297" i="2"/>
  <c r="C321" i="2"/>
  <c r="C345" i="2"/>
  <c r="C194" i="2"/>
  <c r="C210" i="2"/>
  <c r="C226" i="2"/>
  <c r="C242" i="2"/>
  <c r="C258" i="2"/>
  <c r="C274" i="2"/>
  <c r="C290" i="2"/>
  <c r="C306" i="2"/>
  <c r="C322" i="2"/>
  <c r="C338" i="2"/>
  <c r="C354" i="2"/>
  <c r="C190" i="2"/>
  <c r="C198" i="2"/>
  <c r="C206" i="2"/>
  <c r="C214" i="2"/>
  <c r="C222" i="2"/>
  <c r="C230" i="2"/>
  <c r="C238" i="2"/>
  <c r="C246" i="2"/>
  <c r="C254" i="2"/>
  <c r="C262" i="2"/>
  <c r="C270" i="2"/>
  <c r="C278" i="2"/>
  <c r="C286" i="2"/>
  <c r="C294" i="2"/>
  <c r="C302" i="2"/>
  <c r="C310" i="2"/>
  <c r="C318" i="2"/>
  <c r="C326" i="2"/>
  <c r="C334" i="2"/>
  <c r="C342" i="2"/>
  <c r="C350" i="2"/>
  <c r="C358" i="2"/>
  <c r="C199" i="2"/>
  <c r="C223" i="2"/>
  <c r="C255" i="2"/>
  <c r="C271" i="2"/>
  <c r="C295" i="2"/>
  <c r="C319" i="2"/>
  <c r="C351" i="2"/>
  <c r="C184" i="2"/>
  <c r="C208" i="2"/>
  <c r="C224" i="2"/>
  <c r="C248" i="2"/>
  <c r="C272" i="2"/>
  <c r="C288" i="2"/>
  <c r="C312" i="2"/>
  <c r="C336" i="2"/>
  <c r="C352" i="2"/>
  <c r="C193" i="2"/>
  <c r="C209" i="2"/>
  <c r="C233" i="2"/>
  <c r="C265" i="2"/>
  <c r="C281" i="2"/>
  <c r="C305" i="2"/>
  <c r="C329" i="2"/>
  <c r="C353" i="2"/>
  <c r="C186" i="2"/>
  <c r="C202" i="2"/>
  <c r="C218" i="2"/>
  <c r="C234" i="2"/>
  <c r="C250" i="2"/>
  <c r="C266" i="2"/>
  <c r="C282" i="2"/>
  <c r="C298" i="2"/>
  <c r="C314" i="2"/>
  <c r="C330" i="2"/>
  <c r="C346" i="2"/>
  <c r="C362" i="2"/>
  <c r="C187" i="2"/>
  <c r="C195" i="2"/>
  <c r="C203" i="2"/>
  <c r="C211" i="2"/>
  <c r="C219" i="2"/>
  <c r="C227" i="2"/>
  <c r="C235" i="2"/>
  <c r="C243" i="2"/>
  <c r="C251" i="2"/>
  <c r="C259" i="2"/>
  <c r="C267" i="2"/>
  <c r="C275" i="2"/>
  <c r="C283" i="2"/>
  <c r="C291" i="2"/>
  <c r="C299" i="2"/>
  <c r="C307" i="2"/>
  <c r="C315" i="2"/>
  <c r="C323" i="2"/>
  <c r="C331" i="2"/>
  <c r="C339" i="2"/>
  <c r="C347" i="2"/>
  <c r="C355" i="2"/>
  <c r="C363" i="2"/>
  <c r="C129" i="2"/>
  <c r="C137" i="2"/>
  <c r="C145" i="2"/>
  <c r="C153" i="2"/>
  <c r="C161" i="2"/>
  <c r="C169" i="2"/>
  <c r="C177" i="2"/>
  <c r="C130" i="2"/>
  <c r="C138" i="2"/>
  <c r="C146" i="2"/>
  <c r="C154" i="2"/>
  <c r="C162" i="2"/>
  <c r="C170" i="2"/>
  <c r="C178" i="2"/>
  <c r="C131" i="2"/>
  <c r="C139" i="2"/>
  <c r="C147" i="2"/>
  <c r="C155" i="2"/>
  <c r="C163" i="2"/>
  <c r="C171" i="2"/>
  <c r="C179" i="2"/>
  <c r="C124" i="2"/>
  <c r="C132" i="2"/>
  <c r="C140" i="2"/>
  <c r="C148" i="2"/>
  <c r="C156" i="2"/>
  <c r="C164" i="2"/>
  <c r="C172" i="2"/>
  <c r="C180" i="2"/>
  <c r="C125" i="2"/>
  <c r="C133" i="2"/>
  <c r="C141" i="2"/>
  <c r="C149" i="2"/>
  <c r="C157" i="2"/>
  <c r="C165" i="2"/>
  <c r="C173" i="2"/>
  <c r="C181" i="2"/>
  <c r="C126" i="2"/>
  <c r="C134" i="2"/>
  <c r="C142" i="2"/>
  <c r="C150" i="2"/>
  <c r="C158" i="2"/>
  <c r="C166" i="2"/>
  <c r="C174" i="2"/>
  <c r="C182" i="2"/>
  <c r="C127" i="2"/>
  <c r="C135" i="2"/>
  <c r="C143" i="2"/>
  <c r="C151" i="2"/>
  <c r="C159" i="2"/>
  <c r="C167" i="2"/>
  <c r="C175" i="2"/>
  <c r="C183" i="2"/>
  <c r="C128" i="2"/>
  <c r="C136" i="2"/>
  <c r="C144" i="2"/>
  <c r="C152" i="2"/>
  <c r="C160" i="2"/>
  <c r="C168" i="2"/>
  <c r="C176" i="2"/>
  <c r="C69" i="2"/>
  <c r="C77" i="2"/>
  <c r="C85" i="2"/>
  <c r="C93" i="2"/>
  <c r="C101" i="2"/>
  <c r="C109" i="2"/>
  <c r="C117" i="2"/>
  <c r="C70" i="2"/>
  <c r="C78" i="2"/>
  <c r="C86" i="2"/>
  <c r="C94" i="2"/>
  <c r="C102" i="2"/>
  <c r="C110" i="2"/>
  <c r="C118" i="2"/>
  <c r="C71" i="2"/>
  <c r="C79" i="2"/>
  <c r="C87" i="2"/>
  <c r="C95" i="2"/>
  <c r="C103" i="2"/>
  <c r="C111" i="2"/>
  <c r="C119" i="2"/>
  <c r="C64" i="2"/>
  <c r="C72" i="2"/>
  <c r="C80" i="2"/>
  <c r="C88" i="2"/>
  <c r="C96" i="2"/>
  <c r="C104" i="2"/>
  <c r="C112" i="2"/>
  <c r="C120" i="2"/>
  <c r="C89" i="2"/>
  <c r="C97" i="2"/>
  <c r="C105" i="2"/>
  <c r="C113" i="2"/>
  <c r="C121" i="2"/>
  <c r="C65" i="2"/>
  <c r="C73" i="2"/>
  <c r="C81" i="2"/>
  <c r="C66" i="2"/>
  <c r="C74" i="2"/>
  <c r="C82" i="2"/>
  <c r="C90" i="2"/>
  <c r="C98" i="2"/>
  <c r="C106" i="2"/>
  <c r="C114" i="2"/>
  <c r="C122" i="2"/>
  <c r="C67" i="2"/>
  <c r="C75" i="2"/>
  <c r="C83" i="2"/>
  <c r="C91" i="2"/>
  <c r="C99" i="2"/>
  <c r="C107" i="2"/>
  <c r="C115" i="2"/>
  <c r="C123" i="2"/>
  <c r="C68" i="2"/>
  <c r="C76" i="2"/>
  <c r="C84" i="2"/>
  <c r="C92" i="2"/>
  <c r="C100" i="2"/>
  <c r="C108" i="2"/>
  <c r="C116" i="2"/>
  <c r="C57" i="2"/>
  <c r="C58" i="2"/>
  <c r="C59" i="2"/>
  <c r="C56" i="2"/>
  <c r="C52" i="2"/>
  <c r="C60" i="2"/>
  <c r="C53" i="2"/>
  <c r="C61" i="2"/>
  <c r="C54" i="2"/>
  <c r="C62" i="2"/>
  <c r="C55" i="2"/>
  <c r="C63" i="2"/>
  <c r="C45" i="2"/>
  <c r="C46" i="2"/>
  <c r="C47" i="2"/>
  <c r="C40" i="2"/>
  <c r="C48" i="2"/>
  <c r="C41" i="2"/>
  <c r="C49" i="2"/>
  <c r="C42" i="2"/>
  <c r="C50" i="2"/>
  <c r="C43" i="2"/>
  <c r="C51" i="2"/>
  <c r="C44" i="2"/>
  <c r="C33" i="2"/>
  <c r="C34" i="2"/>
  <c r="C35" i="2"/>
  <c r="C28" i="2"/>
  <c r="C36" i="2"/>
  <c r="C29" i="2"/>
  <c r="C37" i="2"/>
  <c r="C30" i="2"/>
  <c r="C38" i="2"/>
  <c r="C31" i="2"/>
  <c r="C39" i="2"/>
  <c r="C32" i="2"/>
  <c r="C10" i="2"/>
  <c r="C18" i="2"/>
  <c r="C26" i="2"/>
  <c r="C11" i="2"/>
  <c r="C19" i="2"/>
  <c r="C27" i="2"/>
  <c r="C8" i="2"/>
  <c r="C12" i="2"/>
  <c r="C20" i="2"/>
  <c r="C5" i="2"/>
  <c r="C13" i="2"/>
  <c r="C21" i="2"/>
  <c r="C15" i="2"/>
  <c r="C23" i="2"/>
  <c r="C16" i="2"/>
  <c r="C6" i="2"/>
  <c r="C14" i="2"/>
  <c r="C22" i="2"/>
  <c r="C7" i="2"/>
  <c r="C24" i="2"/>
  <c r="C9" i="2"/>
  <c r="C17" i="2"/>
  <c r="C25" i="2"/>
  <c r="T5" i="1"/>
  <c r="S5" i="1"/>
  <c r="U5" i="1"/>
  <c r="F4" i="2" l="1"/>
  <c r="E5" i="2" s="1"/>
  <c r="D5" i="2" s="1"/>
  <c r="F5" i="2" s="1"/>
  <c r="E6" i="2" s="1"/>
  <c r="D6" i="2" s="1"/>
  <c r="F6" i="2" s="1"/>
  <c r="E7" i="2" s="1"/>
  <c r="D7" i="2" s="1"/>
  <c r="F7" i="2" s="1"/>
  <c r="P6" i="1"/>
  <c r="S6" i="1" s="1"/>
  <c r="Q6" i="1"/>
  <c r="T6" i="1" s="1"/>
  <c r="R6" i="1" l="1"/>
  <c r="E8" i="2"/>
  <c r="D8" i="2" s="1"/>
  <c r="F8" i="2" s="1"/>
  <c r="U6" i="1" l="1"/>
  <c r="P7" i="1" s="1"/>
  <c r="S7" i="1" s="1"/>
  <c r="E9" i="2"/>
  <c r="D9" i="2" s="1"/>
  <c r="F9" i="2" s="1"/>
  <c r="Q7" i="1" l="1"/>
  <c r="T7" i="1" s="1"/>
  <c r="E10" i="2"/>
  <c r="D10" i="2" s="1"/>
  <c r="F10" i="2" s="1"/>
  <c r="R7" i="1" l="1"/>
  <c r="U7" i="1" s="1"/>
  <c r="Q8" i="1" s="1"/>
  <c r="T8" i="1" s="1"/>
  <c r="E11" i="2"/>
  <c r="D11" i="2" s="1"/>
  <c r="F11" i="2" s="1"/>
  <c r="P8" i="1" l="1"/>
  <c r="S8" i="1" s="1"/>
  <c r="E12" i="2"/>
  <c r="D12" i="2" s="1"/>
  <c r="F12" i="2" s="1"/>
  <c r="R8" i="1" l="1"/>
  <c r="U8" i="1" s="1"/>
  <c r="E13" i="2"/>
  <c r="D13" i="2" s="1"/>
  <c r="F13" i="2" s="1"/>
  <c r="Q9" i="1" l="1"/>
  <c r="T9" i="1" s="1"/>
  <c r="E14" i="2"/>
  <c r="D14" i="2" s="1"/>
  <c r="F14" i="2" s="1"/>
  <c r="P9" i="1" l="1"/>
  <c r="S9" i="1" s="1"/>
  <c r="E15" i="2"/>
  <c r="D15" i="2" s="1"/>
  <c r="F15" i="2" s="1"/>
  <c r="R9" i="1" l="1"/>
  <c r="U9" i="1" s="1"/>
  <c r="E16" i="2"/>
  <c r="D16" i="2" s="1"/>
  <c r="F16" i="2" s="1"/>
  <c r="P10" i="1" l="1"/>
  <c r="S10" i="1" s="1"/>
  <c r="E17" i="2"/>
  <c r="D17" i="2" s="1"/>
  <c r="F17" i="2" s="1"/>
  <c r="Q10" i="1" l="1"/>
  <c r="T10" i="1" s="1"/>
  <c r="E18" i="2"/>
  <c r="D18" i="2" s="1"/>
  <c r="F18" i="2" s="1"/>
  <c r="E19" i="2" s="1"/>
  <c r="D19" i="2" s="1"/>
  <c r="F19" i="2" s="1"/>
  <c r="E20" i="2" s="1"/>
  <c r="D20" i="2" s="1"/>
  <c r="R10" i="1" l="1"/>
  <c r="U10" i="1" s="1"/>
  <c r="F20" i="2"/>
  <c r="Q11" i="1" l="1"/>
  <c r="T11" i="1" s="1"/>
  <c r="E21" i="2"/>
  <c r="D21" i="2" s="1"/>
  <c r="P11" i="1" l="1"/>
  <c r="S11" i="1" s="1"/>
  <c r="F21" i="2"/>
  <c r="R11" i="1" l="1"/>
  <c r="E22" i="2"/>
  <c r="D22" i="2" s="1"/>
  <c r="U11" i="1" l="1"/>
  <c r="P12" i="1" s="1"/>
  <c r="S12" i="1" s="1"/>
  <c r="F22" i="2"/>
  <c r="Q12" i="1" l="1"/>
  <c r="T12" i="1" s="1"/>
  <c r="E23" i="2"/>
  <c r="D23" i="2" s="1"/>
  <c r="R12" i="1" l="1"/>
  <c r="U12" i="1" s="1"/>
  <c r="P13" i="1" s="1"/>
  <c r="S13" i="1" s="1"/>
  <c r="F23" i="2"/>
  <c r="Q13" i="1" l="1"/>
  <c r="T13" i="1" s="1"/>
  <c r="E24" i="2"/>
  <c r="D24" i="2" s="1"/>
  <c r="R13" i="1" l="1"/>
  <c r="U13" i="1" s="1"/>
  <c r="F24" i="2"/>
  <c r="Q14" i="1" l="1"/>
  <c r="T14" i="1" s="1"/>
  <c r="E25" i="2"/>
  <c r="D25" i="2" s="1"/>
  <c r="P14" i="1" l="1"/>
  <c r="S14" i="1" s="1"/>
  <c r="F25" i="2"/>
  <c r="R14" i="1" l="1"/>
  <c r="U14" i="1" s="1"/>
  <c r="E26" i="2"/>
  <c r="D26" i="2" s="1"/>
  <c r="P15" i="1" l="1"/>
  <c r="S15" i="1" s="1"/>
  <c r="F26" i="2"/>
  <c r="Q15" i="1" l="1"/>
  <c r="T15" i="1" s="1"/>
  <c r="E27" i="2"/>
  <c r="D27" i="2" s="1"/>
  <c r="R15" i="1" l="1"/>
  <c r="U15" i="1" s="1"/>
  <c r="F27" i="2"/>
  <c r="P16" i="1" l="1"/>
  <c r="S16" i="1" s="1"/>
  <c r="E28" i="2"/>
  <c r="D28" i="2" s="1"/>
  <c r="Q16" i="1" l="1"/>
  <c r="T16" i="1" s="1"/>
  <c r="F28" i="2"/>
  <c r="R16" i="1" l="1"/>
  <c r="E29" i="2"/>
  <c r="D29" i="2" s="1"/>
  <c r="U16" i="1" l="1"/>
  <c r="P17" i="1" s="1"/>
  <c r="S17" i="1" s="1"/>
  <c r="F29" i="2"/>
  <c r="Q17" i="1" l="1"/>
  <c r="T17" i="1" s="1"/>
  <c r="E30" i="2"/>
  <c r="D30" i="2" s="1"/>
  <c r="R17" i="1" l="1"/>
  <c r="U17" i="1" s="1"/>
  <c r="P18" i="1" s="1"/>
  <c r="S18" i="1" s="1"/>
  <c r="F30" i="2"/>
  <c r="Q18" i="1" l="1"/>
  <c r="T18" i="1" s="1"/>
  <c r="E31" i="2"/>
  <c r="D31" i="2" s="1"/>
  <c r="R18" i="1" l="1"/>
  <c r="U18" i="1" s="1"/>
  <c r="P19" i="1" s="1"/>
  <c r="S19" i="1" s="1"/>
  <c r="F31" i="2"/>
  <c r="Q19" i="1" l="1"/>
  <c r="T19" i="1" s="1"/>
  <c r="E32" i="2"/>
  <c r="D32" i="2" s="1"/>
  <c r="R19" i="1" l="1"/>
  <c r="U19" i="1" s="1"/>
  <c r="P20" i="1" s="1"/>
  <c r="S20" i="1" s="1"/>
  <c r="F32" i="2"/>
  <c r="E33" i="2" l="1"/>
  <c r="D33" i="2" s="1"/>
  <c r="Q20" i="1"/>
  <c r="T20" i="1" s="1"/>
  <c r="F33" i="2" l="1"/>
  <c r="R20" i="1"/>
  <c r="U20" i="1" s="1"/>
  <c r="E34" i="2" l="1"/>
  <c r="D34" i="2" s="1"/>
  <c r="Q21" i="1"/>
  <c r="T21" i="1" s="1"/>
  <c r="F34" i="2" l="1"/>
  <c r="P21" i="1"/>
  <c r="S21" i="1" s="1"/>
  <c r="E35" i="2" l="1"/>
  <c r="D35" i="2" s="1"/>
  <c r="R21" i="1"/>
  <c r="U21" i="1" s="1"/>
  <c r="F35" i="2" l="1"/>
  <c r="Q22" i="1"/>
  <c r="T22" i="1" s="1"/>
  <c r="E36" i="2" l="1"/>
  <c r="D36" i="2" s="1"/>
  <c r="P22" i="1"/>
  <c r="S22" i="1" s="1"/>
  <c r="F36" i="2" l="1"/>
  <c r="R22" i="1"/>
  <c r="U22" i="1" s="1"/>
  <c r="E37" i="2" l="1"/>
  <c r="D37" i="2" s="1"/>
  <c r="P23" i="1"/>
  <c r="S23" i="1" s="1"/>
  <c r="F37" i="2" l="1"/>
  <c r="Q23" i="1"/>
  <c r="T23" i="1" s="1"/>
  <c r="E38" i="2" l="1"/>
  <c r="D38" i="2" s="1"/>
  <c r="F38" i="2" s="1"/>
  <c r="R23" i="1"/>
  <c r="U23" i="1" s="1"/>
  <c r="Q24" i="1" l="1"/>
  <c r="T24" i="1" s="1"/>
  <c r="E39" i="2"/>
  <c r="D39" i="2" s="1"/>
  <c r="F39" i="2" s="1"/>
  <c r="P24" i="1" l="1"/>
  <c r="S24" i="1" s="1"/>
  <c r="E40" i="2"/>
  <c r="D40" i="2" s="1"/>
  <c r="F40" i="2" s="1"/>
  <c r="R24" i="1" l="1"/>
  <c r="U24" i="1" s="1"/>
  <c r="E41" i="2"/>
  <c r="D41" i="2" s="1"/>
  <c r="F41" i="2" s="1"/>
  <c r="Q25" i="1" l="1"/>
  <c r="T25" i="1" s="1"/>
  <c r="E42" i="2"/>
  <c r="D42" i="2" s="1"/>
  <c r="F42" i="2" s="1"/>
  <c r="P25" i="1" l="1"/>
  <c r="S25" i="1" s="1"/>
  <c r="E43" i="2"/>
  <c r="D43" i="2" s="1"/>
  <c r="F43" i="2" s="1"/>
  <c r="R25" i="1" l="1"/>
  <c r="U25" i="1" s="1"/>
  <c r="E44" i="2"/>
  <c r="D44" i="2" s="1"/>
  <c r="F44" i="2" s="1"/>
  <c r="P26" i="1" l="1"/>
  <c r="S26" i="1" s="1"/>
  <c r="E45" i="2"/>
  <c r="D45" i="2" s="1"/>
  <c r="F45" i="2" s="1"/>
  <c r="Q26" i="1" l="1"/>
  <c r="T26" i="1" s="1"/>
  <c r="E46" i="2"/>
  <c r="D46" i="2" s="1"/>
  <c r="F46" i="2" s="1"/>
  <c r="R26" i="1" l="1"/>
  <c r="U26" i="1" s="1"/>
  <c r="E47" i="2"/>
  <c r="D47" i="2" s="1"/>
  <c r="F47" i="2" s="1"/>
  <c r="Q27" i="1" l="1"/>
  <c r="T27" i="1" s="1"/>
  <c r="E48" i="2"/>
  <c r="D48" i="2" s="1"/>
  <c r="F48" i="2" s="1"/>
  <c r="P27" i="1" l="1"/>
  <c r="S27" i="1" s="1"/>
  <c r="E49" i="2"/>
  <c r="D49" i="2" s="1"/>
  <c r="F49" i="2" s="1"/>
  <c r="R27" i="1" l="1"/>
  <c r="E50" i="2"/>
  <c r="D50" i="2" s="1"/>
  <c r="F50" i="2" s="1"/>
  <c r="U27" i="1" l="1"/>
  <c r="P28" i="1" s="1"/>
  <c r="S28" i="1" s="1"/>
  <c r="E51" i="2"/>
  <c r="D51" i="2" s="1"/>
  <c r="F51" i="2" s="1"/>
  <c r="Q28" i="1" l="1"/>
  <c r="T28" i="1" s="1"/>
  <c r="E52" i="2"/>
  <c r="D52" i="2" s="1"/>
  <c r="F52" i="2" s="1"/>
  <c r="R28" i="1" l="1"/>
  <c r="U28" i="1" s="1"/>
  <c r="P29" i="1" s="1"/>
  <c r="S29" i="1" s="1"/>
  <c r="E53" i="2"/>
  <c r="D53" i="2" s="1"/>
  <c r="F53" i="2" s="1"/>
  <c r="Q29" i="1" l="1"/>
  <c r="T29" i="1" s="1"/>
  <c r="E54" i="2"/>
  <c r="D54" i="2" s="1"/>
  <c r="F54" i="2" s="1"/>
  <c r="R29" i="1" l="1"/>
  <c r="U29" i="1" s="1"/>
  <c r="P30" i="1" s="1"/>
  <c r="S30" i="1" s="1"/>
  <c r="E55" i="2"/>
  <c r="D55" i="2" s="1"/>
  <c r="F55" i="2" s="1"/>
  <c r="Q30" i="1" l="1"/>
  <c r="T30" i="1" s="1"/>
  <c r="E56" i="2"/>
  <c r="D56" i="2" s="1"/>
  <c r="F56" i="2" s="1"/>
  <c r="R30" i="1" l="1"/>
  <c r="E57" i="2"/>
  <c r="D57" i="2" s="1"/>
  <c r="F57" i="2" s="1"/>
  <c r="U30" i="1" l="1"/>
  <c r="P31" i="1" s="1"/>
  <c r="S31" i="1" s="1"/>
  <c r="E58" i="2"/>
  <c r="D58" i="2" s="1"/>
  <c r="F58" i="2" s="1"/>
  <c r="Q31" i="1" l="1"/>
  <c r="T31" i="1" s="1"/>
  <c r="E59" i="2"/>
  <c r="D59" i="2" s="1"/>
  <c r="F59" i="2" s="1"/>
  <c r="R31" i="1" l="1"/>
  <c r="U31" i="1" s="1"/>
  <c r="P32" i="1" s="1"/>
  <c r="S32" i="1" s="1"/>
  <c r="E60" i="2"/>
  <c r="D60" i="2" s="1"/>
  <c r="F60" i="2" s="1"/>
  <c r="Q32" i="1" l="1"/>
  <c r="T32" i="1" s="1"/>
  <c r="E61" i="2"/>
  <c r="D61" i="2" s="1"/>
  <c r="F61" i="2" s="1"/>
  <c r="R32" i="1" l="1"/>
  <c r="E62" i="2"/>
  <c r="D62" i="2" s="1"/>
  <c r="F62" i="2" s="1"/>
  <c r="U32" i="1" l="1"/>
  <c r="P33" i="1" s="1"/>
  <c r="S33" i="1" s="1"/>
  <c r="E63" i="2"/>
  <c r="D63" i="2" s="1"/>
  <c r="F63" i="2" s="1"/>
  <c r="Q33" i="1" l="1"/>
  <c r="T33" i="1" s="1"/>
  <c r="E64" i="2"/>
  <c r="D64" i="2" s="1"/>
  <c r="F64" i="2" s="1"/>
  <c r="R33" i="1" l="1"/>
  <c r="U33" i="1" s="1"/>
  <c r="P34" i="1" s="1"/>
  <c r="S34" i="1" s="1"/>
  <c r="E65" i="2"/>
  <c r="D65" i="2" s="1"/>
  <c r="F65" i="2" s="1"/>
  <c r="E66" i="2" l="1"/>
  <c r="D66" i="2" s="1"/>
  <c r="F66" i="2" s="1"/>
  <c r="Q34" i="1"/>
  <c r="T34" i="1" s="1"/>
  <c r="E67" i="2" l="1"/>
  <c r="D67" i="2" s="1"/>
  <c r="F67" i="2" s="1"/>
  <c r="R34" i="1"/>
  <c r="U34" i="1" s="1"/>
  <c r="E68" i="2" l="1"/>
  <c r="D68" i="2" s="1"/>
  <c r="F68" i="2" s="1"/>
  <c r="P35" i="1"/>
  <c r="S35" i="1" s="1"/>
  <c r="E69" i="2" l="1"/>
  <c r="D69" i="2" s="1"/>
  <c r="F69" i="2" s="1"/>
  <c r="Q35" i="1"/>
  <c r="T35" i="1" s="1"/>
  <c r="E70" i="2" l="1"/>
  <c r="D70" i="2" s="1"/>
  <c r="F70" i="2" s="1"/>
  <c r="R35" i="1"/>
  <c r="U35" i="1" s="1"/>
  <c r="E71" i="2" l="1"/>
  <c r="D71" i="2" s="1"/>
  <c r="F71" i="2" s="1"/>
  <c r="P36" i="1"/>
  <c r="S36" i="1" s="1"/>
  <c r="E72" i="2" l="1"/>
  <c r="D72" i="2" s="1"/>
  <c r="F72" i="2" s="1"/>
  <c r="Q36" i="1"/>
  <c r="T36" i="1" s="1"/>
  <c r="E73" i="2" l="1"/>
  <c r="D73" i="2" s="1"/>
  <c r="F73" i="2" s="1"/>
  <c r="R36" i="1"/>
  <c r="U36" i="1" s="1"/>
  <c r="E74" i="2" l="1"/>
  <c r="D74" i="2" s="1"/>
  <c r="F74" i="2" s="1"/>
  <c r="P37" i="1"/>
  <c r="S37" i="1" s="1"/>
  <c r="E75" i="2" l="1"/>
  <c r="D75" i="2" s="1"/>
  <c r="F75" i="2" s="1"/>
  <c r="Q37" i="1"/>
  <c r="T37" i="1" s="1"/>
  <c r="E76" i="2" l="1"/>
  <c r="D76" i="2" s="1"/>
  <c r="F76" i="2" s="1"/>
  <c r="R37" i="1"/>
  <c r="U37" i="1" s="1"/>
  <c r="E77" i="2" l="1"/>
  <c r="D77" i="2" s="1"/>
  <c r="F77" i="2" s="1"/>
  <c r="P38" i="1"/>
  <c r="S38" i="1" s="1"/>
  <c r="E78" i="2" l="1"/>
  <c r="D78" i="2" s="1"/>
  <c r="F78" i="2" s="1"/>
  <c r="Q38" i="1"/>
  <c r="T38" i="1" s="1"/>
  <c r="E79" i="2" l="1"/>
  <c r="D79" i="2" s="1"/>
  <c r="F79" i="2" s="1"/>
  <c r="R38" i="1"/>
  <c r="U38" i="1" s="1"/>
  <c r="E80" i="2" l="1"/>
  <c r="D80" i="2" s="1"/>
  <c r="F80" i="2" s="1"/>
  <c r="P39" i="1"/>
  <c r="S39" i="1" s="1"/>
  <c r="E81" i="2" l="1"/>
  <c r="D81" i="2" s="1"/>
  <c r="F81" i="2" s="1"/>
  <c r="Q39" i="1"/>
  <c r="T39" i="1" s="1"/>
  <c r="E82" i="2" l="1"/>
  <c r="D82" i="2" s="1"/>
  <c r="F82" i="2" s="1"/>
  <c r="R39" i="1"/>
  <c r="U39" i="1" s="1"/>
  <c r="E83" i="2" l="1"/>
  <c r="D83" i="2" s="1"/>
  <c r="F83" i="2" s="1"/>
  <c r="P40" i="1"/>
  <c r="S40" i="1" s="1"/>
  <c r="E84" i="2" l="1"/>
  <c r="D84" i="2" s="1"/>
  <c r="F84" i="2" s="1"/>
  <c r="Q40" i="1"/>
  <c r="T40" i="1" s="1"/>
  <c r="E85" i="2" l="1"/>
  <c r="D85" i="2" s="1"/>
  <c r="F85" i="2" s="1"/>
  <c r="R40" i="1"/>
  <c r="U40" i="1" s="1"/>
  <c r="E86" i="2" l="1"/>
  <c r="D86" i="2" s="1"/>
  <c r="F86" i="2" s="1"/>
  <c r="P41" i="1"/>
  <c r="S41" i="1" s="1"/>
  <c r="E87" i="2" l="1"/>
  <c r="D87" i="2" s="1"/>
  <c r="F87" i="2" s="1"/>
  <c r="Q41" i="1"/>
  <c r="T41" i="1" s="1"/>
  <c r="E88" i="2" l="1"/>
  <c r="D88" i="2" s="1"/>
  <c r="F88" i="2" s="1"/>
  <c r="R41" i="1"/>
  <c r="U41" i="1" s="1"/>
  <c r="E89" i="2" l="1"/>
  <c r="D89" i="2" s="1"/>
  <c r="F89" i="2" s="1"/>
  <c r="P42" i="1"/>
  <c r="S42" i="1" s="1"/>
  <c r="E90" i="2" l="1"/>
  <c r="D90" i="2" s="1"/>
  <c r="F90" i="2" s="1"/>
  <c r="Q42" i="1"/>
  <c r="T42" i="1" s="1"/>
  <c r="E91" i="2" l="1"/>
  <c r="D91" i="2" s="1"/>
  <c r="F91" i="2" s="1"/>
  <c r="R42" i="1"/>
  <c r="U42" i="1" s="1"/>
  <c r="E92" i="2" l="1"/>
  <c r="D92" i="2" s="1"/>
  <c r="F92" i="2" s="1"/>
  <c r="P43" i="1"/>
  <c r="S43" i="1" s="1"/>
  <c r="E93" i="2" l="1"/>
  <c r="D93" i="2" s="1"/>
  <c r="F93" i="2" s="1"/>
  <c r="Q43" i="1"/>
  <c r="T43" i="1" s="1"/>
  <c r="E94" i="2" l="1"/>
  <c r="D94" i="2" s="1"/>
  <c r="F94" i="2" s="1"/>
  <c r="R43" i="1"/>
  <c r="U43" i="1" s="1"/>
  <c r="E95" i="2" l="1"/>
  <c r="D95" i="2" s="1"/>
  <c r="F95" i="2" s="1"/>
  <c r="P44" i="1"/>
  <c r="S44" i="1" s="1"/>
  <c r="E96" i="2" l="1"/>
  <c r="D96" i="2" s="1"/>
  <c r="F96" i="2" s="1"/>
  <c r="Q44" i="1"/>
  <c r="T44" i="1" s="1"/>
  <c r="E97" i="2" l="1"/>
  <c r="D97" i="2" s="1"/>
  <c r="F97" i="2" s="1"/>
  <c r="R44" i="1"/>
  <c r="U44" i="1" s="1"/>
  <c r="E98" i="2" l="1"/>
  <c r="D98" i="2" s="1"/>
  <c r="F98" i="2" s="1"/>
  <c r="P45" i="1"/>
  <c r="S45" i="1" s="1"/>
  <c r="E99" i="2" l="1"/>
  <c r="D99" i="2" s="1"/>
  <c r="F99" i="2" s="1"/>
  <c r="Q45" i="1"/>
  <c r="T45" i="1" s="1"/>
  <c r="E100" i="2" l="1"/>
  <c r="D100" i="2" s="1"/>
  <c r="F100" i="2" s="1"/>
  <c r="R45" i="1"/>
  <c r="U45" i="1" s="1"/>
  <c r="E101" i="2" l="1"/>
  <c r="D101" i="2" s="1"/>
  <c r="F101" i="2" s="1"/>
  <c r="P46" i="1"/>
  <c r="S46" i="1" s="1"/>
  <c r="E102" i="2" l="1"/>
  <c r="D102" i="2" s="1"/>
  <c r="F102" i="2" s="1"/>
  <c r="Q46" i="1"/>
  <c r="T46" i="1" s="1"/>
  <c r="E103" i="2" l="1"/>
  <c r="D103" i="2" s="1"/>
  <c r="F103" i="2" s="1"/>
  <c r="R46" i="1"/>
  <c r="U46" i="1" s="1"/>
  <c r="E104" i="2" l="1"/>
  <c r="D104" i="2" s="1"/>
  <c r="F104" i="2" s="1"/>
  <c r="P47" i="1"/>
  <c r="S47" i="1" s="1"/>
  <c r="E105" i="2" l="1"/>
  <c r="D105" i="2" s="1"/>
  <c r="F105" i="2" s="1"/>
  <c r="Q47" i="1"/>
  <c r="T47" i="1" s="1"/>
  <c r="E106" i="2" l="1"/>
  <c r="D106" i="2" s="1"/>
  <c r="F106" i="2" s="1"/>
  <c r="R47" i="1"/>
  <c r="U47" i="1" s="1"/>
  <c r="E107" i="2" l="1"/>
  <c r="D107" i="2" s="1"/>
  <c r="F107" i="2" s="1"/>
  <c r="Q48" i="1"/>
  <c r="T48" i="1" s="1"/>
  <c r="E108" i="2" l="1"/>
  <c r="D108" i="2" s="1"/>
  <c r="F108" i="2" s="1"/>
  <c r="P48" i="1"/>
  <c r="S48" i="1" s="1"/>
  <c r="E109" i="2" l="1"/>
  <c r="D109" i="2" s="1"/>
  <c r="F109" i="2" s="1"/>
  <c r="R48" i="1"/>
  <c r="U48" i="1" s="1"/>
  <c r="E110" i="2" l="1"/>
  <c r="D110" i="2" s="1"/>
  <c r="F110" i="2" s="1"/>
  <c r="Q49" i="1"/>
  <c r="T49" i="1" s="1"/>
  <c r="E111" i="2" l="1"/>
  <c r="D111" i="2" s="1"/>
  <c r="F111" i="2" s="1"/>
  <c r="P49" i="1"/>
  <c r="S49" i="1" s="1"/>
  <c r="R49" i="1" l="1"/>
  <c r="U49" i="1" s="1"/>
  <c r="E112" i="2"/>
  <c r="D112" i="2" s="1"/>
  <c r="F112" i="2" s="1"/>
  <c r="Q50" i="1" l="1"/>
  <c r="T50" i="1" s="1"/>
  <c r="E113" i="2"/>
  <c r="D113" i="2" s="1"/>
  <c r="F113" i="2" s="1"/>
  <c r="P50" i="1" l="1"/>
  <c r="S50" i="1" s="1"/>
  <c r="E114" i="2"/>
  <c r="D114" i="2" s="1"/>
  <c r="F114" i="2" s="1"/>
  <c r="R50" i="1" l="1"/>
  <c r="U50" i="1" s="1"/>
  <c r="E115" i="2"/>
  <c r="D115" i="2" s="1"/>
  <c r="F115" i="2" s="1"/>
  <c r="P51" i="1" l="1"/>
  <c r="S51" i="1" s="1"/>
  <c r="E116" i="2"/>
  <c r="D116" i="2" s="1"/>
  <c r="F116" i="2" s="1"/>
  <c r="Q51" i="1" l="1"/>
  <c r="T51" i="1" s="1"/>
  <c r="E117" i="2"/>
  <c r="D117" i="2" s="1"/>
  <c r="F117" i="2" s="1"/>
  <c r="R51" i="1" l="1"/>
  <c r="E118" i="2"/>
  <c r="D118" i="2" s="1"/>
  <c r="F118" i="2" s="1"/>
  <c r="U51" i="1" l="1"/>
  <c r="P52" i="1" s="1"/>
  <c r="S52" i="1" s="1"/>
  <c r="E119" i="2"/>
  <c r="D119" i="2" s="1"/>
  <c r="F119" i="2" s="1"/>
  <c r="Q52" i="1" l="1"/>
  <c r="T52" i="1" s="1"/>
  <c r="E120" i="2"/>
  <c r="D120" i="2" s="1"/>
  <c r="F120" i="2" s="1"/>
  <c r="R52" i="1" l="1"/>
  <c r="U52" i="1" s="1"/>
  <c r="P53" i="1" s="1"/>
  <c r="S53" i="1" s="1"/>
  <c r="E121" i="2"/>
  <c r="D121" i="2" s="1"/>
  <c r="F121" i="2" s="1"/>
  <c r="E122" i="2" l="1"/>
  <c r="D122" i="2" s="1"/>
  <c r="F122" i="2" s="1"/>
  <c r="Q53" i="1"/>
  <c r="T53" i="1" s="1"/>
  <c r="E123" i="2" l="1"/>
  <c r="D123" i="2" s="1"/>
  <c r="F123" i="2" s="1"/>
  <c r="R53" i="1"/>
  <c r="U53" i="1" s="1"/>
  <c r="E124" i="2" l="1"/>
  <c r="D124" i="2" s="1"/>
  <c r="F124" i="2" s="1"/>
  <c r="P54" i="1"/>
  <c r="S54" i="1" s="1"/>
  <c r="E125" i="2" l="1"/>
  <c r="D125" i="2" s="1"/>
  <c r="F125" i="2" s="1"/>
  <c r="Q54" i="1"/>
  <c r="T54" i="1" s="1"/>
  <c r="E126" i="2" l="1"/>
  <c r="D126" i="2" s="1"/>
  <c r="F126" i="2" s="1"/>
  <c r="R54" i="1"/>
  <c r="U54" i="1" s="1"/>
  <c r="E127" i="2" l="1"/>
  <c r="D127" i="2" s="1"/>
  <c r="F127" i="2" s="1"/>
  <c r="P55" i="1"/>
  <c r="S55" i="1" s="1"/>
  <c r="E128" i="2" l="1"/>
  <c r="D128" i="2" s="1"/>
  <c r="F128" i="2" s="1"/>
  <c r="Q55" i="1"/>
  <c r="T55" i="1" s="1"/>
  <c r="E129" i="2" l="1"/>
  <c r="D129" i="2" s="1"/>
  <c r="F129" i="2" s="1"/>
  <c r="R55" i="1"/>
  <c r="U55" i="1" s="1"/>
  <c r="E130" i="2" l="1"/>
  <c r="D130" i="2" s="1"/>
  <c r="F130" i="2" s="1"/>
  <c r="P56" i="1"/>
  <c r="S56" i="1" s="1"/>
  <c r="E131" i="2" l="1"/>
  <c r="D131" i="2" s="1"/>
  <c r="F131" i="2" s="1"/>
  <c r="Q56" i="1"/>
  <c r="T56" i="1" s="1"/>
  <c r="E132" i="2" l="1"/>
  <c r="D132" i="2" s="1"/>
  <c r="F132" i="2" s="1"/>
  <c r="R56" i="1"/>
  <c r="U56" i="1" s="1"/>
  <c r="E133" i="2" l="1"/>
  <c r="D133" i="2" s="1"/>
  <c r="F133" i="2" s="1"/>
  <c r="P57" i="1"/>
  <c r="S57" i="1" s="1"/>
  <c r="E134" i="2" l="1"/>
  <c r="D134" i="2" s="1"/>
  <c r="F134" i="2" s="1"/>
  <c r="Q57" i="1"/>
  <c r="T57" i="1" s="1"/>
  <c r="E135" i="2" l="1"/>
  <c r="D135" i="2" s="1"/>
  <c r="F135" i="2" s="1"/>
  <c r="R57" i="1"/>
  <c r="U57" i="1" s="1"/>
  <c r="E136" i="2" l="1"/>
  <c r="D136" i="2" s="1"/>
  <c r="F136" i="2" s="1"/>
  <c r="P58" i="1"/>
  <c r="S58" i="1" s="1"/>
  <c r="E137" i="2" l="1"/>
  <c r="D137" i="2" s="1"/>
  <c r="F137" i="2" s="1"/>
  <c r="Q58" i="1"/>
  <c r="T58" i="1" s="1"/>
  <c r="E138" i="2" l="1"/>
  <c r="D138" i="2" s="1"/>
  <c r="F138" i="2" s="1"/>
  <c r="R58" i="1"/>
  <c r="U58" i="1" s="1"/>
  <c r="E139" i="2" l="1"/>
  <c r="D139" i="2" s="1"/>
  <c r="F139" i="2" s="1"/>
  <c r="P59" i="1"/>
  <c r="S59" i="1" s="1"/>
  <c r="E140" i="2" l="1"/>
  <c r="D140" i="2" s="1"/>
  <c r="F140" i="2" s="1"/>
  <c r="Q59" i="1"/>
  <c r="T59" i="1" s="1"/>
  <c r="E141" i="2" l="1"/>
  <c r="D141" i="2" s="1"/>
  <c r="F141" i="2" s="1"/>
  <c r="R59" i="1"/>
  <c r="U59" i="1" s="1"/>
  <c r="E142" i="2" l="1"/>
  <c r="D142" i="2" s="1"/>
  <c r="F142" i="2" s="1"/>
  <c r="P60" i="1"/>
  <c r="S60" i="1" s="1"/>
  <c r="E143" i="2" l="1"/>
  <c r="D143" i="2" s="1"/>
  <c r="F143" i="2" s="1"/>
  <c r="Q60" i="1"/>
  <c r="T60" i="1" s="1"/>
  <c r="E144" i="2" l="1"/>
  <c r="D144" i="2" s="1"/>
  <c r="F144" i="2" s="1"/>
  <c r="R60" i="1"/>
  <c r="U60" i="1" s="1"/>
  <c r="E145" i="2" l="1"/>
  <c r="D145" i="2" s="1"/>
  <c r="F145" i="2" s="1"/>
  <c r="P61" i="1"/>
  <c r="S61" i="1" s="1"/>
  <c r="E146" i="2" l="1"/>
  <c r="D146" i="2" s="1"/>
  <c r="F146" i="2" s="1"/>
  <c r="Q61" i="1"/>
  <c r="T61" i="1" s="1"/>
  <c r="E147" i="2" l="1"/>
  <c r="D147" i="2" s="1"/>
  <c r="F147" i="2" s="1"/>
  <c r="R61" i="1"/>
  <c r="U61" i="1" s="1"/>
  <c r="E148" i="2" l="1"/>
  <c r="D148" i="2" s="1"/>
  <c r="F148" i="2" s="1"/>
  <c r="P62" i="1"/>
  <c r="S62" i="1" s="1"/>
  <c r="E149" i="2" l="1"/>
  <c r="D149" i="2" s="1"/>
  <c r="F149" i="2" s="1"/>
  <c r="Q62" i="1"/>
  <c r="T62" i="1" s="1"/>
  <c r="E150" i="2" l="1"/>
  <c r="D150" i="2" s="1"/>
  <c r="F150" i="2" s="1"/>
  <c r="R62" i="1"/>
  <c r="U62" i="1" s="1"/>
  <c r="E151" i="2" l="1"/>
  <c r="D151" i="2" s="1"/>
  <c r="F151" i="2" s="1"/>
  <c r="P63" i="1"/>
  <c r="S63" i="1" s="1"/>
  <c r="E152" i="2" l="1"/>
  <c r="D152" i="2" s="1"/>
  <c r="F152" i="2" s="1"/>
  <c r="Q63" i="1"/>
  <c r="T63" i="1" s="1"/>
  <c r="E153" i="2" l="1"/>
  <c r="D153" i="2" s="1"/>
  <c r="F153" i="2" s="1"/>
  <c r="R63" i="1"/>
  <c r="U63" i="1" s="1"/>
  <c r="E154" i="2" l="1"/>
  <c r="D154" i="2" s="1"/>
  <c r="F154" i="2" s="1"/>
  <c r="P64" i="1"/>
  <c r="S64" i="1" s="1"/>
  <c r="E155" i="2" l="1"/>
  <c r="D155" i="2" s="1"/>
  <c r="F155" i="2" s="1"/>
  <c r="Q64" i="1"/>
  <c r="T64" i="1" s="1"/>
  <c r="E156" i="2" l="1"/>
  <c r="D156" i="2" s="1"/>
  <c r="F156" i="2" s="1"/>
  <c r="R64" i="1"/>
  <c r="U64" i="1" s="1"/>
  <c r="E157" i="2" l="1"/>
  <c r="D157" i="2" s="1"/>
  <c r="F157" i="2" s="1"/>
  <c r="P65" i="1"/>
  <c r="S65" i="1" s="1"/>
  <c r="E158" i="2" l="1"/>
  <c r="D158" i="2" s="1"/>
  <c r="F158" i="2" s="1"/>
  <c r="Q65" i="1"/>
  <c r="T65" i="1" s="1"/>
  <c r="E159" i="2" l="1"/>
  <c r="D159" i="2" s="1"/>
  <c r="F159" i="2" s="1"/>
  <c r="R65" i="1"/>
  <c r="U65" i="1" s="1"/>
  <c r="E160" i="2" l="1"/>
  <c r="D160" i="2" s="1"/>
  <c r="F160" i="2" s="1"/>
  <c r="P66" i="1"/>
  <c r="S66" i="1" s="1"/>
  <c r="E161" i="2" l="1"/>
  <c r="D161" i="2" s="1"/>
  <c r="F161" i="2" s="1"/>
  <c r="Q66" i="1"/>
  <c r="T66" i="1" s="1"/>
  <c r="E162" i="2" l="1"/>
  <c r="D162" i="2" s="1"/>
  <c r="F162" i="2" s="1"/>
  <c r="R66" i="1"/>
  <c r="U66" i="1" s="1"/>
  <c r="E163" i="2" l="1"/>
  <c r="D163" i="2" s="1"/>
  <c r="F163" i="2" s="1"/>
  <c r="P67" i="1"/>
  <c r="S67" i="1" s="1"/>
  <c r="E164" i="2" l="1"/>
  <c r="D164" i="2" s="1"/>
  <c r="F164" i="2" s="1"/>
  <c r="Q67" i="1"/>
  <c r="T67" i="1" s="1"/>
  <c r="E165" i="2" l="1"/>
  <c r="D165" i="2" s="1"/>
  <c r="F165" i="2" s="1"/>
  <c r="R67" i="1"/>
  <c r="U67" i="1" s="1"/>
  <c r="E166" i="2" l="1"/>
  <c r="D166" i="2" s="1"/>
  <c r="F166" i="2" s="1"/>
  <c r="P68" i="1"/>
  <c r="S68" i="1" s="1"/>
  <c r="E167" i="2" l="1"/>
  <c r="D167" i="2" s="1"/>
  <c r="F167" i="2" s="1"/>
  <c r="Q68" i="1"/>
  <c r="T68" i="1" s="1"/>
  <c r="E168" i="2" l="1"/>
  <c r="D168" i="2" s="1"/>
  <c r="F168" i="2" s="1"/>
  <c r="R68" i="1"/>
  <c r="U68" i="1" s="1"/>
  <c r="E169" i="2" l="1"/>
  <c r="D169" i="2" s="1"/>
  <c r="F169" i="2" s="1"/>
  <c r="P69" i="1"/>
  <c r="S69" i="1" s="1"/>
  <c r="E170" i="2" l="1"/>
  <c r="D170" i="2" s="1"/>
  <c r="F170" i="2" s="1"/>
  <c r="Q69" i="1"/>
  <c r="T69" i="1" s="1"/>
  <c r="E171" i="2" l="1"/>
  <c r="D171" i="2" s="1"/>
  <c r="F171" i="2" s="1"/>
  <c r="R69" i="1"/>
  <c r="U69" i="1" s="1"/>
  <c r="E172" i="2" l="1"/>
  <c r="D172" i="2" s="1"/>
  <c r="F172" i="2" s="1"/>
  <c r="P70" i="1"/>
  <c r="S70" i="1" s="1"/>
  <c r="E173" i="2" l="1"/>
  <c r="D173" i="2" s="1"/>
  <c r="F173" i="2" s="1"/>
  <c r="Q70" i="1"/>
  <c r="T70" i="1" s="1"/>
  <c r="E174" i="2" l="1"/>
  <c r="D174" i="2" s="1"/>
  <c r="F174" i="2" s="1"/>
  <c r="R70" i="1"/>
  <c r="U70" i="1" s="1"/>
  <c r="E175" i="2" l="1"/>
  <c r="D175" i="2" s="1"/>
  <c r="F175" i="2" s="1"/>
  <c r="P71" i="1"/>
  <c r="S71" i="1" s="1"/>
  <c r="E176" i="2" l="1"/>
  <c r="D176" i="2" s="1"/>
  <c r="F176" i="2" s="1"/>
  <c r="Q71" i="1"/>
  <c r="T71" i="1" s="1"/>
  <c r="E177" i="2" l="1"/>
  <c r="D177" i="2" s="1"/>
  <c r="F177" i="2" s="1"/>
  <c r="R71" i="1"/>
  <c r="U71" i="1" s="1"/>
  <c r="E178" i="2" l="1"/>
  <c r="D178" i="2" s="1"/>
  <c r="F178" i="2" s="1"/>
  <c r="P72" i="1"/>
  <c r="S72" i="1" s="1"/>
  <c r="E179" i="2" l="1"/>
  <c r="D179" i="2" s="1"/>
  <c r="F179" i="2" s="1"/>
  <c r="Q72" i="1"/>
  <c r="T72" i="1" s="1"/>
  <c r="E180" i="2" l="1"/>
  <c r="D180" i="2" s="1"/>
  <c r="F180" i="2" s="1"/>
  <c r="R72" i="1"/>
  <c r="U72" i="1" s="1"/>
  <c r="E181" i="2" l="1"/>
  <c r="D181" i="2" s="1"/>
  <c r="F181" i="2" s="1"/>
  <c r="P73" i="1"/>
  <c r="S73" i="1" s="1"/>
  <c r="E182" i="2" l="1"/>
  <c r="D182" i="2" s="1"/>
  <c r="F182" i="2" s="1"/>
  <c r="Q73" i="1"/>
  <c r="T73" i="1" s="1"/>
  <c r="E183" i="2" l="1"/>
  <c r="D183" i="2" s="1"/>
  <c r="F183" i="2" s="1"/>
  <c r="R73" i="1"/>
  <c r="U73" i="1" s="1"/>
  <c r="E184" i="2" l="1"/>
  <c r="D184" i="2" s="1"/>
  <c r="F184" i="2" s="1"/>
  <c r="P74" i="1"/>
  <c r="S74" i="1" s="1"/>
  <c r="E185" i="2" l="1"/>
  <c r="D185" i="2" s="1"/>
  <c r="F185" i="2" s="1"/>
  <c r="Q74" i="1"/>
  <c r="T74" i="1" s="1"/>
  <c r="E186" i="2" l="1"/>
  <c r="D186" i="2" s="1"/>
  <c r="F186" i="2" s="1"/>
  <c r="R74" i="1"/>
  <c r="U74" i="1" s="1"/>
  <c r="E187" i="2" l="1"/>
  <c r="D187" i="2" s="1"/>
  <c r="F187" i="2" s="1"/>
  <c r="P75" i="1"/>
  <c r="S75" i="1" s="1"/>
  <c r="E188" i="2" l="1"/>
  <c r="D188" i="2" s="1"/>
  <c r="F188" i="2" s="1"/>
  <c r="Q75" i="1"/>
  <c r="T75" i="1" s="1"/>
  <c r="E189" i="2" l="1"/>
  <c r="D189" i="2" s="1"/>
  <c r="F189" i="2" s="1"/>
  <c r="R75" i="1"/>
  <c r="U75" i="1" s="1"/>
  <c r="E190" i="2" l="1"/>
  <c r="D190" i="2" s="1"/>
  <c r="F190" i="2" s="1"/>
  <c r="P76" i="1"/>
  <c r="S76" i="1" s="1"/>
  <c r="E191" i="2" l="1"/>
  <c r="D191" i="2" s="1"/>
  <c r="F191" i="2" s="1"/>
  <c r="Q76" i="1"/>
  <c r="T76" i="1" s="1"/>
  <c r="E192" i="2" l="1"/>
  <c r="D192" i="2" s="1"/>
  <c r="F192" i="2" s="1"/>
  <c r="R76" i="1"/>
  <c r="U76" i="1" s="1"/>
  <c r="E193" i="2" l="1"/>
  <c r="D193" i="2" s="1"/>
  <c r="F193" i="2" s="1"/>
  <c r="P77" i="1"/>
  <c r="S77" i="1" s="1"/>
  <c r="E194" i="2" l="1"/>
  <c r="D194" i="2" s="1"/>
  <c r="F194" i="2" s="1"/>
  <c r="Q77" i="1"/>
  <c r="T77" i="1" s="1"/>
  <c r="E195" i="2" l="1"/>
  <c r="D195" i="2" s="1"/>
  <c r="F195" i="2" s="1"/>
  <c r="R77" i="1"/>
  <c r="U77" i="1" s="1"/>
  <c r="E196" i="2" l="1"/>
  <c r="D196" i="2" s="1"/>
  <c r="F196" i="2" s="1"/>
  <c r="P78" i="1"/>
  <c r="S78" i="1" s="1"/>
  <c r="E197" i="2" l="1"/>
  <c r="D197" i="2" s="1"/>
  <c r="F197" i="2" s="1"/>
  <c r="Q78" i="1"/>
  <c r="T78" i="1" s="1"/>
  <c r="E198" i="2" l="1"/>
  <c r="D198" i="2" s="1"/>
  <c r="F198" i="2" s="1"/>
  <c r="R78" i="1"/>
  <c r="U78" i="1" s="1"/>
  <c r="E199" i="2" l="1"/>
  <c r="D199" i="2" s="1"/>
  <c r="F199" i="2" s="1"/>
  <c r="P79" i="1"/>
  <c r="S79" i="1" s="1"/>
  <c r="E200" i="2" l="1"/>
  <c r="D200" i="2" s="1"/>
  <c r="F200" i="2" s="1"/>
  <c r="Q79" i="1"/>
  <c r="T79" i="1" s="1"/>
  <c r="E201" i="2" l="1"/>
  <c r="D201" i="2" s="1"/>
  <c r="F201" i="2" s="1"/>
  <c r="R79" i="1"/>
  <c r="U79" i="1" s="1"/>
  <c r="E202" i="2" l="1"/>
  <c r="D202" i="2" s="1"/>
  <c r="F202" i="2" s="1"/>
  <c r="P80" i="1"/>
  <c r="S80" i="1" s="1"/>
  <c r="E203" i="2" l="1"/>
  <c r="D203" i="2" s="1"/>
  <c r="F203" i="2" s="1"/>
  <c r="Q80" i="1"/>
  <c r="T80" i="1" s="1"/>
  <c r="E204" i="2" l="1"/>
  <c r="D204" i="2" s="1"/>
  <c r="F204" i="2" s="1"/>
  <c r="R80" i="1"/>
  <c r="U80" i="1" s="1"/>
  <c r="E205" i="2" l="1"/>
  <c r="D205" i="2" s="1"/>
  <c r="F205" i="2" s="1"/>
  <c r="P81" i="1"/>
  <c r="S81" i="1" s="1"/>
  <c r="E206" i="2" l="1"/>
  <c r="D206" i="2" s="1"/>
  <c r="F206" i="2" s="1"/>
  <c r="Q81" i="1"/>
  <c r="T81" i="1" s="1"/>
  <c r="E207" i="2" l="1"/>
  <c r="D207" i="2" s="1"/>
  <c r="F207" i="2" s="1"/>
  <c r="R81" i="1"/>
  <c r="U81" i="1" s="1"/>
  <c r="E208" i="2" l="1"/>
  <c r="D208" i="2" s="1"/>
  <c r="F208" i="2" s="1"/>
  <c r="P82" i="1"/>
  <c r="S82" i="1" s="1"/>
  <c r="E209" i="2" l="1"/>
  <c r="D209" i="2" s="1"/>
  <c r="F209" i="2" s="1"/>
  <c r="Q82" i="1"/>
  <c r="T82" i="1" s="1"/>
  <c r="E210" i="2" l="1"/>
  <c r="D210" i="2" s="1"/>
  <c r="F210" i="2" s="1"/>
  <c r="R82" i="1"/>
  <c r="U82" i="1" s="1"/>
  <c r="E211" i="2" l="1"/>
  <c r="D211" i="2" s="1"/>
  <c r="F211" i="2" s="1"/>
  <c r="P83" i="1"/>
  <c r="S83" i="1" s="1"/>
  <c r="E212" i="2" l="1"/>
  <c r="D212" i="2" s="1"/>
  <c r="F212" i="2" s="1"/>
  <c r="Q83" i="1"/>
  <c r="T83" i="1" s="1"/>
  <c r="E213" i="2" l="1"/>
  <c r="D213" i="2" s="1"/>
  <c r="F213" i="2" s="1"/>
  <c r="R83" i="1"/>
  <c r="U83" i="1" s="1"/>
  <c r="E214" i="2" l="1"/>
  <c r="D214" i="2" s="1"/>
  <c r="F214" i="2" s="1"/>
  <c r="P84" i="1"/>
  <c r="S84" i="1" s="1"/>
  <c r="E215" i="2" l="1"/>
  <c r="D215" i="2" s="1"/>
  <c r="F215" i="2" s="1"/>
  <c r="Q84" i="1"/>
  <c r="T84" i="1" s="1"/>
  <c r="E216" i="2" l="1"/>
  <c r="D216" i="2" s="1"/>
  <c r="F216" i="2" s="1"/>
  <c r="R84" i="1"/>
  <c r="U84" i="1" s="1"/>
  <c r="E217" i="2" l="1"/>
  <c r="D217" i="2" s="1"/>
  <c r="F217" i="2" s="1"/>
  <c r="P85" i="1"/>
  <c r="S85" i="1" s="1"/>
  <c r="E218" i="2" l="1"/>
  <c r="D218" i="2" s="1"/>
  <c r="F218" i="2" s="1"/>
  <c r="Q85" i="1"/>
  <c r="T85" i="1" s="1"/>
  <c r="E219" i="2" l="1"/>
  <c r="D219" i="2" s="1"/>
  <c r="F219" i="2" s="1"/>
  <c r="R85" i="1"/>
  <c r="U85" i="1" s="1"/>
  <c r="E220" i="2" l="1"/>
  <c r="D220" i="2" s="1"/>
  <c r="F220" i="2" s="1"/>
  <c r="P86" i="1"/>
  <c r="S86" i="1" s="1"/>
  <c r="E221" i="2" l="1"/>
  <c r="D221" i="2" s="1"/>
  <c r="F221" i="2" s="1"/>
  <c r="Q86" i="1"/>
  <c r="T86" i="1" s="1"/>
  <c r="E222" i="2" l="1"/>
  <c r="D222" i="2" s="1"/>
  <c r="F222" i="2" s="1"/>
  <c r="R86" i="1"/>
  <c r="U86" i="1" s="1"/>
  <c r="E223" i="2" l="1"/>
  <c r="D223" i="2" s="1"/>
  <c r="F223" i="2" s="1"/>
  <c r="P87" i="1"/>
  <c r="S87" i="1" s="1"/>
  <c r="E224" i="2" l="1"/>
  <c r="D224" i="2" s="1"/>
  <c r="F224" i="2" s="1"/>
  <c r="Q87" i="1"/>
  <c r="T87" i="1" s="1"/>
  <c r="E225" i="2" l="1"/>
  <c r="D225" i="2" s="1"/>
  <c r="F225" i="2" s="1"/>
  <c r="R87" i="1"/>
  <c r="U87" i="1" s="1"/>
  <c r="E226" i="2" l="1"/>
  <c r="D226" i="2" s="1"/>
  <c r="F226" i="2" s="1"/>
  <c r="P88" i="1"/>
  <c r="S88" i="1" s="1"/>
  <c r="E227" i="2" l="1"/>
  <c r="D227" i="2" s="1"/>
  <c r="F227" i="2" s="1"/>
  <c r="Q88" i="1"/>
  <c r="T88" i="1" s="1"/>
  <c r="E228" i="2" l="1"/>
  <c r="D228" i="2" s="1"/>
  <c r="F228" i="2" s="1"/>
  <c r="R88" i="1"/>
  <c r="U88" i="1" s="1"/>
  <c r="E229" i="2" l="1"/>
  <c r="D229" i="2" s="1"/>
  <c r="F229" i="2" s="1"/>
  <c r="P89" i="1"/>
  <c r="S89" i="1" s="1"/>
  <c r="E230" i="2" l="1"/>
  <c r="D230" i="2" s="1"/>
  <c r="F230" i="2" s="1"/>
  <c r="Q89" i="1"/>
  <c r="T89" i="1" s="1"/>
  <c r="E231" i="2" l="1"/>
  <c r="D231" i="2" s="1"/>
  <c r="F231" i="2" s="1"/>
  <c r="R89" i="1"/>
  <c r="U89" i="1" s="1"/>
  <c r="E232" i="2" l="1"/>
  <c r="D232" i="2" s="1"/>
  <c r="F232" i="2" s="1"/>
  <c r="P90" i="1"/>
  <c r="S90" i="1" s="1"/>
  <c r="E233" i="2" l="1"/>
  <c r="D233" i="2" s="1"/>
  <c r="F233" i="2" s="1"/>
  <c r="Q90" i="1"/>
  <c r="T90" i="1" s="1"/>
  <c r="E234" i="2" l="1"/>
  <c r="D234" i="2" s="1"/>
  <c r="F234" i="2" s="1"/>
  <c r="R90" i="1"/>
  <c r="U90" i="1" s="1"/>
  <c r="E235" i="2" l="1"/>
  <c r="D235" i="2" s="1"/>
  <c r="F235" i="2" s="1"/>
  <c r="P91" i="1"/>
  <c r="S91" i="1" s="1"/>
  <c r="E236" i="2" l="1"/>
  <c r="D236" i="2" s="1"/>
  <c r="F236" i="2" s="1"/>
  <c r="Q91" i="1"/>
  <c r="T91" i="1" s="1"/>
  <c r="E237" i="2" l="1"/>
  <c r="D237" i="2" s="1"/>
  <c r="F237" i="2" s="1"/>
  <c r="R91" i="1"/>
  <c r="U91" i="1" s="1"/>
  <c r="E238" i="2" l="1"/>
  <c r="D238" i="2" s="1"/>
  <c r="F238" i="2" s="1"/>
  <c r="P92" i="1"/>
  <c r="S92" i="1" s="1"/>
  <c r="E239" i="2" l="1"/>
  <c r="D239" i="2" s="1"/>
  <c r="F239" i="2" s="1"/>
  <c r="Q92" i="1"/>
  <c r="T92" i="1" s="1"/>
  <c r="E240" i="2" l="1"/>
  <c r="D240" i="2" s="1"/>
  <c r="F240" i="2" s="1"/>
  <c r="R92" i="1"/>
  <c r="U92" i="1" s="1"/>
  <c r="E241" i="2" l="1"/>
  <c r="D241" i="2" s="1"/>
  <c r="F241" i="2" s="1"/>
  <c r="P93" i="1"/>
  <c r="S93" i="1" s="1"/>
  <c r="E242" i="2" l="1"/>
  <c r="D242" i="2" s="1"/>
  <c r="F242" i="2" s="1"/>
  <c r="Q93" i="1"/>
  <c r="T93" i="1" s="1"/>
  <c r="E243" i="2" l="1"/>
  <c r="D243" i="2" s="1"/>
  <c r="F243" i="2" s="1"/>
  <c r="R93" i="1"/>
  <c r="U93" i="1" s="1"/>
  <c r="E244" i="2" l="1"/>
  <c r="D244" i="2" s="1"/>
  <c r="F244" i="2" s="1"/>
  <c r="P94" i="1"/>
  <c r="S94" i="1" s="1"/>
  <c r="E245" i="2" l="1"/>
  <c r="D245" i="2" s="1"/>
  <c r="F245" i="2" s="1"/>
  <c r="Q94" i="1"/>
  <c r="T94" i="1" s="1"/>
  <c r="E246" i="2" l="1"/>
  <c r="D246" i="2" s="1"/>
  <c r="F246" i="2" s="1"/>
  <c r="R94" i="1"/>
  <c r="U94" i="1" s="1"/>
  <c r="E247" i="2" l="1"/>
  <c r="D247" i="2" s="1"/>
  <c r="F247" i="2" s="1"/>
  <c r="P95" i="1"/>
  <c r="S95" i="1" s="1"/>
  <c r="E248" i="2" l="1"/>
  <c r="D248" i="2" s="1"/>
  <c r="F248" i="2" s="1"/>
  <c r="Q95" i="1"/>
  <c r="T95" i="1" s="1"/>
  <c r="E249" i="2" l="1"/>
  <c r="D249" i="2" s="1"/>
  <c r="F249" i="2" s="1"/>
  <c r="R95" i="1"/>
  <c r="U95" i="1" s="1"/>
  <c r="E250" i="2" l="1"/>
  <c r="D250" i="2" s="1"/>
  <c r="F250" i="2" s="1"/>
  <c r="P96" i="1"/>
  <c r="S96" i="1" s="1"/>
  <c r="E251" i="2" l="1"/>
  <c r="D251" i="2" s="1"/>
  <c r="F251" i="2" s="1"/>
  <c r="Q96" i="1"/>
  <c r="T96" i="1" s="1"/>
  <c r="E252" i="2" l="1"/>
  <c r="D252" i="2" s="1"/>
  <c r="F252" i="2" s="1"/>
  <c r="R96" i="1"/>
  <c r="U96" i="1" s="1"/>
  <c r="E253" i="2" l="1"/>
  <c r="D253" i="2" s="1"/>
  <c r="F253" i="2" s="1"/>
  <c r="P97" i="1"/>
  <c r="S97" i="1" s="1"/>
  <c r="E254" i="2" l="1"/>
  <c r="D254" i="2" s="1"/>
  <c r="F254" i="2" s="1"/>
  <c r="Q97" i="1"/>
  <c r="T97" i="1" s="1"/>
  <c r="E255" i="2" l="1"/>
  <c r="D255" i="2" s="1"/>
  <c r="F255" i="2" s="1"/>
  <c r="R97" i="1"/>
  <c r="U97" i="1" s="1"/>
  <c r="E256" i="2" l="1"/>
  <c r="D256" i="2" s="1"/>
  <c r="F256" i="2" s="1"/>
  <c r="P98" i="1"/>
  <c r="S98" i="1" s="1"/>
  <c r="E257" i="2" l="1"/>
  <c r="D257" i="2" s="1"/>
  <c r="F257" i="2" s="1"/>
  <c r="Q98" i="1"/>
  <c r="T98" i="1" s="1"/>
  <c r="E258" i="2" l="1"/>
  <c r="D258" i="2" s="1"/>
  <c r="F258" i="2" s="1"/>
  <c r="R98" i="1"/>
  <c r="U98" i="1" s="1"/>
  <c r="E259" i="2" l="1"/>
  <c r="D259" i="2" s="1"/>
  <c r="F259" i="2" s="1"/>
  <c r="P99" i="1"/>
  <c r="S99" i="1" s="1"/>
  <c r="E260" i="2" l="1"/>
  <c r="D260" i="2" s="1"/>
  <c r="F260" i="2" s="1"/>
  <c r="Q99" i="1"/>
  <c r="T99" i="1" s="1"/>
  <c r="E261" i="2" l="1"/>
  <c r="D261" i="2" s="1"/>
  <c r="F261" i="2" s="1"/>
  <c r="R99" i="1"/>
  <c r="U99" i="1" s="1"/>
  <c r="E262" i="2" l="1"/>
  <c r="D262" i="2" s="1"/>
  <c r="F262" i="2" s="1"/>
  <c r="P100" i="1"/>
  <c r="S100" i="1" s="1"/>
  <c r="E263" i="2" l="1"/>
  <c r="D263" i="2" s="1"/>
  <c r="F263" i="2" s="1"/>
  <c r="Q100" i="1"/>
  <c r="T100" i="1" s="1"/>
  <c r="E264" i="2" l="1"/>
  <c r="D264" i="2" s="1"/>
  <c r="F264" i="2" s="1"/>
  <c r="R100" i="1"/>
  <c r="U100" i="1" s="1"/>
  <c r="E265" i="2" l="1"/>
  <c r="D265" i="2" s="1"/>
  <c r="F265" i="2" s="1"/>
  <c r="P101" i="1"/>
  <c r="S101" i="1" s="1"/>
  <c r="E266" i="2" l="1"/>
  <c r="D266" i="2" s="1"/>
  <c r="F266" i="2" s="1"/>
  <c r="Q101" i="1"/>
  <c r="T101" i="1" s="1"/>
  <c r="E267" i="2" l="1"/>
  <c r="D267" i="2" s="1"/>
  <c r="F267" i="2" s="1"/>
  <c r="R101" i="1"/>
  <c r="U101" i="1" s="1"/>
  <c r="E268" i="2" l="1"/>
  <c r="D268" i="2" s="1"/>
  <c r="F268" i="2" s="1"/>
  <c r="P102" i="1"/>
  <c r="S102" i="1" s="1"/>
  <c r="E269" i="2" l="1"/>
  <c r="D269" i="2" s="1"/>
  <c r="F269" i="2" s="1"/>
  <c r="Q102" i="1"/>
  <c r="T102" i="1" s="1"/>
  <c r="E270" i="2" l="1"/>
  <c r="D270" i="2" s="1"/>
  <c r="F270" i="2" s="1"/>
  <c r="R102" i="1"/>
  <c r="U102" i="1" s="1"/>
  <c r="E271" i="2" l="1"/>
  <c r="D271" i="2" s="1"/>
  <c r="F271" i="2" s="1"/>
  <c r="P103" i="1"/>
  <c r="S103" i="1" s="1"/>
  <c r="E272" i="2" l="1"/>
  <c r="D272" i="2" s="1"/>
  <c r="F272" i="2" s="1"/>
  <c r="Q103" i="1"/>
  <c r="T103" i="1" s="1"/>
  <c r="E273" i="2" l="1"/>
  <c r="D273" i="2" s="1"/>
  <c r="F273" i="2" s="1"/>
  <c r="R103" i="1"/>
  <c r="U103" i="1" s="1"/>
  <c r="E274" i="2" l="1"/>
  <c r="D274" i="2" s="1"/>
  <c r="F274" i="2" s="1"/>
  <c r="P104" i="1"/>
  <c r="S104" i="1" s="1"/>
  <c r="E275" i="2" l="1"/>
  <c r="D275" i="2" s="1"/>
  <c r="F275" i="2" s="1"/>
  <c r="Q104" i="1"/>
  <c r="T104" i="1" s="1"/>
  <c r="E276" i="2" l="1"/>
  <c r="D276" i="2" s="1"/>
  <c r="F276" i="2" s="1"/>
  <c r="R104" i="1"/>
  <c r="E25" i="1" l="1"/>
  <c r="U104" i="1"/>
  <c r="E277" i="2"/>
  <c r="D277" i="2" s="1"/>
  <c r="F277" i="2" s="1"/>
  <c r="E278" i="2" l="1"/>
  <c r="D278" i="2" s="1"/>
  <c r="F278" i="2" s="1"/>
  <c r="E279" i="2" l="1"/>
  <c r="D279" i="2" s="1"/>
  <c r="F279" i="2" s="1"/>
  <c r="E280" i="2" l="1"/>
  <c r="D280" i="2" s="1"/>
  <c r="F280" i="2" s="1"/>
  <c r="E281" i="2" l="1"/>
  <c r="D281" i="2" s="1"/>
  <c r="F281" i="2" s="1"/>
  <c r="E282" i="2" l="1"/>
  <c r="D282" i="2" s="1"/>
  <c r="F282" i="2" s="1"/>
  <c r="E283" i="2" l="1"/>
  <c r="D283" i="2" s="1"/>
  <c r="F283" i="2" s="1"/>
  <c r="E284" i="2" l="1"/>
  <c r="D284" i="2" s="1"/>
  <c r="F284" i="2" s="1"/>
  <c r="E285" i="2" l="1"/>
  <c r="D285" i="2" s="1"/>
  <c r="F285" i="2" s="1"/>
  <c r="E286" i="2" l="1"/>
  <c r="D286" i="2" s="1"/>
  <c r="F286" i="2" s="1"/>
  <c r="E287" i="2" l="1"/>
  <c r="D287" i="2" s="1"/>
  <c r="F287" i="2" s="1"/>
  <c r="E288" i="2" l="1"/>
  <c r="D288" i="2" s="1"/>
  <c r="F288" i="2" s="1"/>
  <c r="E289" i="2" l="1"/>
  <c r="D289" i="2" s="1"/>
  <c r="F289" i="2" s="1"/>
  <c r="E290" i="2" l="1"/>
  <c r="D290" i="2" s="1"/>
  <c r="F290" i="2" s="1"/>
  <c r="E291" i="2" l="1"/>
  <c r="D291" i="2" s="1"/>
  <c r="F291" i="2" s="1"/>
  <c r="E292" i="2" l="1"/>
  <c r="D292" i="2" s="1"/>
  <c r="F292" i="2" s="1"/>
  <c r="E293" i="2" l="1"/>
  <c r="D293" i="2" s="1"/>
  <c r="F293" i="2" s="1"/>
  <c r="E294" i="2" l="1"/>
  <c r="D294" i="2" s="1"/>
  <c r="F294" i="2" s="1"/>
  <c r="E295" i="2" l="1"/>
  <c r="D295" i="2" s="1"/>
  <c r="F295" i="2" s="1"/>
  <c r="E296" i="2" l="1"/>
  <c r="D296" i="2" s="1"/>
  <c r="F296" i="2" s="1"/>
  <c r="E297" i="2" l="1"/>
  <c r="D297" i="2" s="1"/>
  <c r="F297" i="2" s="1"/>
  <c r="E298" i="2" l="1"/>
  <c r="D298" i="2" s="1"/>
  <c r="F298" i="2" s="1"/>
  <c r="E299" i="2" l="1"/>
  <c r="D299" i="2" s="1"/>
  <c r="F299" i="2" s="1"/>
  <c r="E300" i="2" l="1"/>
  <c r="D300" i="2" s="1"/>
  <c r="F300" i="2" s="1"/>
  <c r="E301" i="2" l="1"/>
  <c r="D301" i="2" s="1"/>
  <c r="F301" i="2" s="1"/>
  <c r="E302" i="2" l="1"/>
  <c r="D302" i="2" s="1"/>
  <c r="F302" i="2" s="1"/>
  <c r="E303" i="2" l="1"/>
  <c r="D303" i="2" s="1"/>
  <c r="F303" i="2" s="1"/>
  <c r="E304" i="2" l="1"/>
  <c r="D304" i="2" s="1"/>
  <c r="F304" i="2" s="1"/>
  <c r="E305" i="2" l="1"/>
  <c r="D305" i="2" s="1"/>
  <c r="F305" i="2" s="1"/>
  <c r="E306" i="2" l="1"/>
  <c r="D306" i="2" s="1"/>
  <c r="F306" i="2" s="1"/>
  <c r="E307" i="2" l="1"/>
  <c r="D307" i="2" s="1"/>
  <c r="F307" i="2" s="1"/>
  <c r="E308" i="2" l="1"/>
  <c r="D308" i="2" s="1"/>
  <c r="F308" i="2" s="1"/>
  <c r="E309" i="2" l="1"/>
  <c r="D309" i="2" s="1"/>
  <c r="F309" i="2" s="1"/>
  <c r="E310" i="2" l="1"/>
  <c r="D310" i="2" s="1"/>
  <c r="F310" i="2" s="1"/>
  <c r="E311" i="2" l="1"/>
  <c r="D311" i="2" s="1"/>
  <c r="F311" i="2" s="1"/>
  <c r="E312" i="2" l="1"/>
  <c r="D312" i="2" s="1"/>
  <c r="F312" i="2" s="1"/>
  <c r="E313" i="2" l="1"/>
  <c r="D313" i="2" s="1"/>
  <c r="F313" i="2" s="1"/>
  <c r="E314" i="2" l="1"/>
  <c r="D314" i="2" s="1"/>
  <c r="F314" i="2" s="1"/>
  <c r="E315" i="2" l="1"/>
  <c r="D315" i="2" s="1"/>
  <c r="F315" i="2" s="1"/>
  <c r="E316" i="2" l="1"/>
  <c r="D316" i="2" s="1"/>
  <c r="F316" i="2" s="1"/>
  <c r="E317" i="2" l="1"/>
  <c r="D317" i="2" s="1"/>
  <c r="F317" i="2" s="1"/>
  <c r="E318" i="2" l="1"/>
  <c r="D318" i="2" s="1"/>
  <c r="F318" i="2" s="1"/>
  <c r="E319" i="2" l="1"/>
  <c r="D319" i="2" s="1"/>
  <c r="F319" i="2" s="1"/>
  <c r="E320" i="2" l="1"/>
  <c r="D320" i="2" s="1"/>
  <c r="F320" i="2" s="1"/>
  <c r="E321" i="2" l="1"/>
  <c r="D321" i="2" s="1"/>
  <c r="F321" i="2" s="1"/>
  <c r="E322" i="2" l="1"/>
  <c r="D322" i="2" s="1"/>
  <c r="F322" i="2" s="1"/>
  <c r="E323" i="2" l="1"/>
  <c r="D323" i="2" s="1"/>
  <c r="F323" i="2" s="1"/>
  <c r="E324" i="2" l="1"/>
  <c r="D324" i="2" s="1"/>
  <c r="F324" i="2" s="1"/>
  <c r="E325" i="2" l="1"/>
  <c r="D325" i="2" s="1"/>
  <c r="F325" i="2" s="1"/>
  <c r="E326" i="2" l="1"/>
  <c r="D326" i="2" s="1"/>
  <c r="F326" i="2" s="1"/>
  <c r="E327" i="2" l="1"/>
  <c r="D327" i="2" s="1"/>
  <c r="F327" i="2" s="1"/>
  <c r="E328" i="2" l="1"/>
  <c r="D328" i="2" s="1"/>
  <c r="F328" i="2" s="1"/>
  <c r="E329" i="2" l="1"/>
  <c r="D329" i="2" s="1"/>
  <c r="F329" i="2" s="1"/>
  <c r="E330" i="2" l="1"/>
  <c r="D330" i="2" s="1"/>
  <c r="F330" i="2" s="1"/>
  <c r="E331" i="2" l="1"/>
  <c r="D331" i="2" s="1"/>
  <c r="F331" i="2" s="1"/>
  <c r="E332" i="2" l="1"/>
  <c r="D332" i="2" s="1"/>
  <c r="F332" i="2" s="1"/>
  <c r="E333" i="2" l="1"/>
  <c r="D333" i="2" s="1"/>
  <c r="F333" i="2" s="1"/>
  <c r="E334" i="2" l="1"/>
  <c r="D334" i="2" s="1"/>
  <c r="F334" i="2" s="1"/>
  <c r="E335" i="2" l="1"/>
  <c r="D335" i="2" s="1"/>
  <c r="F335" i="2" s="1"/>
  <c r="E336" i="2" l="1"/>
  <c r="D336" i="2" s="1"/>
  <c r="F336" i="2" s="1"/>
  <c r="E337" i="2" l="1"/>
  <c r="D337" i="2" s="1"/>
  <c r="F337" i="2" s="1"/>
  <c r="E338" i="2" l="1"/>
  <c r="D338" i="2" s="1"/>
  <c r="F338" i="2" s="1"/>
  <c r="E339" i="2" l="1"/>
  <c r="D339" i="2" s="1"/>
  <c r="F339" i="2" s="1"/>
  <c r="E340" i="2" l="1"/>
  <c r="D340" i="2" s="1"/>
  <c r="F340" i="2" s="1"/>
  <c r="E341" i="2" l="1"/>
  <c r="D341" i="2" s="1"/>
  <c r="F341" i="2" s="1"/>
  <c r="E342" i="2" l="1"/>
  <c r="D342" i="2" s="1"/>
  <c r="F342" i="2" s="1"/>
  <c r="E343" i="2" l="1"/>
  <c r="D343" i="2" s="1"/>
  <c r="F343" i="2" s="1"/>
  <c r="E344" i="2" l="1"/>
  <c r="D344" i="2" s="1"/>
  <c r="F344" i="2" s="1"/>
  <c r="E345" i="2" l="1"/>
  <c r="D345" i="2" s="1"/>
  <c r="F345" i="2" s="1"/>
  <c r="E346" i="2" l="1"/>
  <c r="D346" i="2" s="1"/>
  <c r="F346" i="2" s="1"/>
  <c r="E347" i="2" l="1"/>
  <c r="D347" i="2" s="1"/>
  <c r="F347" i="2" s="1"/>
  <c r="E348" i="2" l="1"/>
  <c r="D348" i="2" s="1"/>
  <c r="F348" i="2" s="1"/>
  <c r="E349" i="2" l="1"/>
  <c r="D349" i="2" s="1"/>
  <c r="F349" i="2" s="1"/>
  <c r="E350" i="2" l="1"/>
  <c r="D350" i="2" s="1"/>
  <c r="F350" i="2" s="1"/>
  <c r="E351" i="2" l="1"/>
  <c r="D351" i="2" s="1"/>
  <c r="F351" i="2" s="1"/>
  <c r="E352" i="2" l="1"/>
  <c r="D352" i="2" s="1"/>
  <c r="F352" i="2" s="1"/>
  <c r="E353" i="2" l="1"/>
  <c r="D353" i="2" s="1"/>
  <c r="F353" i="2" s="1"/>
  <c r="E354" i="2" l="1"/>
  <c r="D354" i="2" s="1"/>
  <c r="F354" i="2" s="1"/>
  <c r="E355" i="2" l="1"/>
  <c r="D355" i="2" s="1"/>
  <c r="F355" i="2" s="1"/>
  <c r="E356" i="2" l="1"/>
  <c r="D356" i="2" s="1"/>
  <c r="F356" i="2" s="1"/>
  <c r="E357" i="2" l="1"/>
  <c r="D357" i="2" s="1"/>
  <c r="F357" i="2" s="1"/>
  <c r="E358" i="2" l="1"/>
  <c r="D358" i="2" s="1"/>
  <c r="F358" i="2" s="1"/>
  <c r="E359" i="2" l="1"/>
  <c r="D359" i="2" s="1"/>
  <c r="F359" i="2" s="1"/>
  <c r="E360" i="2" l="1"/>
  <c r="D360" i="2" s="1"/>
  <c r="F360" i="2" s="1"/>
  <c r="E361" i="2" l="1"/>
  <c r="D361" i="2" s="1"/>
  <c r="F361" i="2" s="1"/>
  <c r="E362" i="2" l="1"/>
  <c r="D362" i="2" s="1"/>
  <c r="F362" i="2" s="1"/>
  <c r="E363" i="2" l="1"/>
  <c r="D363" i="2" s="1"/>
  <c r="F363" i="2" s="1"/>
</calcChain>
</file>

<file path=xl/sharedStrings.xml><?xml version="1.0" encoding="utf-8"?>
<sst xmlns="http://schemas.openxmlformats.org/spreadsheetml/2006/main" count="49" uniqueCount="36">
  <si>
    <t>i/p</t>
  </si>
  <si>
    <t xml:space="preserve">A </t>
  </si>
  <si>
    <t>B</t>
  </si>
  <si>
    <t>půlka</t>
  </si>
  <si>
    <t>f(A)</t>
  </si>
  <si>
    <t>f(B)</t>
  </si>
  <si>
    <t>f(půlka)</t>
  </si>
  <si>
    <t>%</t>
  </si>
  <si>
    <t>Metoda půlení intervalů</t>
  </si>
  <si>
    <t>počet všech period</t>
  </si>
  <si>
    <t>p.a.</t>
  </si>
  <si>
    <t>Loan amount</t>
  </si>
  <si>
    <t>Number of payments</t>
  </si>
  <si>
    <t xml:space="preserve">Annual interest rate </t>
  </si>
  <si>
    <t>BASIC INFORMATION</t>
  </si>
  <si>
    <t>Payment frequency</t>
  </si>
  <si>
    <t>currency</t>
  </si>
  <si>
    <t>ONE TIME FEES</t>
  </si>
  <si>
    <t>termination fee</t>
  </si>
  <si>
    <t>signing fee</t>
  </si>
  <si>
    <t>fee during the loan term</t>
  </si>
  <si>
    <t>SPECIAL FEE</t>
  </si>
  <si>
    <t>RECURRING FEES</t>
  </si>
  <si>
    <t>weekly</t>
  </si>
  <si>
    <t>monthly</t>
  </si>
  <si>
    <t>quarterly</t>
  </si>
  <si>
    <t>semiannual</t>
  </si>
  <si>
    <t>annual</t>
  </si>
  <si>
    <t>paid at the time</t>
  </si>
  <si>
    <t>fee-free payment</t>
  </si>
  <si>
    <t>APR</t>
  </si>
  <si>
    <t>Period</t>
  </si>
  <si>
    <t>Payment</t>
  </si>
  <si>
    <t>Principal</t>
  </si>
  <si>
    <t>Interest</t>
  </si>
  <si>
    <t>Remaining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</si>
</sst>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K_č_-;\-* #,##0.00\ _K_č_-;_-* &quot;-&quot;??\ _K_č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2" borderId="0" xfId="0" applyFill="1"/>
    <xf numFmtId="0" fontId="2" fillId="2" borderId="0" xfId="0" applyFont="1" applyFill="1"/>
    <xf numFmtId="0" fontId="0" fillId="2" borderId="0" xfId="0" applyFill="1" applyBorder="1"/>
    <xf numFmtId="0" fontId="0" fillId="2" borderId="4" xfId="0" applyFill="1" applyBorder="1"/>
    <xf numFmtId="43" fontId="0" fillId="2" borderId="0" xfId="1" applyFont="1" applyFill="1" applyBorder="1"/>
    <xf numFmtId="0" fontId="0" fillId="2" borderId="0" xfId="0" quotePrefix="1" applyFill="1"/>
    <xf numFmtId="165" fontId="0" fillId="0" borderId="1" xfId="1" applyNumberFormat="1" applyFon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3" xfId="0" applyFill="1" applyBorder="1"/>
    <xf numFmtId="0" fontId="2" fillId="3" borderId="1" xfId="0" applyFont="1" applyFill="1" applyBorder="1"/>
    <xf numFmtId="164" fontId="0" fillId="0" borderId="1" xfId="0" applyNumberFormat="1" applyFill="1" applyBorder="1" applyAlignment="1"/>
    <xf numFmtId="2" fontId="0" fillId="3" borderId="1" xfId="0" applyNumberFormat="1" applyFill="1" applyBorder="1" applyAlignment="1"/>
    <xf numFmtId="0" fontId="3" fillId="0" borderId="0" xfId="0" applyFont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Font="1"/>
    <xf numFmtId="43" fontId="0" fillId="0" borderId="5" xfId="1" applyNumberFormat="1" applyFont="1" applyBorder="1" applyAlignment="1">
      <alignment horizontal="center" vertical="center"/>
    </xf>
    <xf numFmtId="43" fontId="0" fillId="0" borderId="0" xfId="1" applyNumberFormat="1" applyFont="1" applyAlignment="1">
      <alignment horizontal="center" vertical="center"/>
    </xf>
    <xf numFmtId="165" fontId="0" fillId="0" borderId="1" xfId="1" applyNumberFormat="1" applyFont="1" applyFill="1" applyBorder="1"/>
    <xf numFmtId="0" fontId="5" fillId="0" borderId="0" xfId="0" applyFont="1"/>
    <xf numFmtId="164" fontId="5" fillId="0" borderId="0" xfId="0" applyNumberFormat="1" applyFont="1"/>
  </cellXfs>
  <cellStyles count="2">
    <cellStyle name="Čárka" xfId="1" builtinId="3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>
                <a:solidFill>
                  <a:schemeClr val="tx1"/>
                </a:solidFill>
              </a:rPr>
              <a:t>Remaining debt over</a:t>
            </a:r>
            <a:r>
              <a:rPr lang="cs-CZ" baseline="0">
                <a:solidFill>
                  <a:schemeClr val="tx1"/>
                </a:solidFill>
              </a:rPr>
              <a:t> time</a:t>
            </a:r>
            <a:endParaRPr lang="cs-CZ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3021401636342789"/>
          <c:y val="7.9855005907375265E-2"/>
          <c:w val="0.84694459496447316"/>
          <c:h val="0.868195318978156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'Remaining debt'!$F$2</c:f>
              <c:strCache>
                <c:ptCount val="1"/>
                <c:pt idx="0">
                  <c:v> Remaining debt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'Remaining debt'!$B$3:$B$501</c:f>
              <c:strCach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strCache>
            </c:strRef>
          </c:xVal>
          <c:yVal>
            <c:numRef>
              <c:f>'Remaining debt'!$F$3:$F$551</c:f>
              <c:numCache>
                <c:formatCode>_(* #,##0.00_);_(* \(#,##0.00\);_(* "-"??_);_(@_)</c:formatCode>
                <c:ptCount val="549"/>
                <c:pt idx="0">
                  <c:v>4000000</c:v>
                </c:pt>
                <c:pt idx="1">
                  <c:v>3995538.7683252152</c:v>
                </c:pt>
                <c:pt idx="2">
                  <c:v>3991057.4611078938</c:v>
                </c:pt>
                <c:pt idx="3">
                  <c:v>3986555.9880080945</c:v>
                </c:pt>
                <c:pt idx="4">
                  <c:v>3982034.2582793459</c:v>
                </c:pt>
                <c:pt idx="5">
                  <c:v>3977492.1807668181</c:v>
                </c:pt>
                <c:pt idx="6">
                  <c:v>3972929.6639054841</c:v>
                </c:pt>
                <c:pt idx="7">
                  <c:v>3968346.6157182739</c:v>
                </c:pt>
                <c:pt idx="8">
                  <c:v>3963742.9438142213</c:v>
                </c:pt>
                <c:pt idx="9">
                  <c:v>3959118.5553866006</c:v>
                </c:pt>
                <c:pt idx="10">
                  <c:v>3954473.3572110552</c:v>
                </c:pt>
                <c:pt idx="11">
                  <c:v>3949807.2556437203</c:v>
                </c:pt>
                <c:pt idx="12">
                  <c:v>3945120.1566193323</c:v>
                </c:pt>
                <c:pt idx="13">
                  <c:v>3940411.9656493342</c:v>
                </c:pt>
                <c:pt idx="14">
                  <c:v>3935682.5878199716</c:v>
                </c:pt>
                <c:pt idx="15">
                  <c:v>3930931.9277903768</c:v>
                </c:pt>
                <c:pt idx="16">
                  <c:v>3926159.8897906486</c:v>
                </c:pt>
                <c:pt idx="17">
                  <c:v>3921366.3776199217</c:v>
                </c:pt>
                <c:pt idx="18">
                  <c:v>3916551.2946444266</c:v>
                </c:pt>
                <c:pt idx="19">
                  <c:v>3911714.5437955419</c:v>
                </c:pt>
                <c:pt idx="20">
                  <c:v>3906856.0275678369</c:v>
                </c:pt>
                <c:pt idx="21">
                  <c:v>3901975.6480171075</c:v>
                </c:pt>
                <c:pt idx="22">
                  <c:v>3897073.3067583996</c:v>
                </c:pt>
                <c:pt idx="23">
                  <c:v>3892148.9049640275</c:v>
                </c:pt>
                <c:pt idx="24">
                  <c:v>3887202.3433615807</c:v>
                </c:pt>
                <c:pt idx="25">
                  <c:v>3882233.522231923</c:v>
                </c:pt>
                <c:pt idx="26">
                  <c:v>3877242.3414071817</c:v>
                </c:pt>
                <c:pt idx="27">
                  <c:v>3872228.7002687291</c:v>
                </c:pt>
                <c:pt idx="28">
                  <c:v>3867192.4977451535</c:v>
                </c:pt>
                <c:pt idx="29">
                  <c:v>3862133.6323102219</c:v>
                </c:pt>
                <c:pt idx="30">
                  <c:v>3857052.0019808332</c:v>
                </c:pt>
                <c:pt idx="31">
                  <c:v>3851947.5043149623</c:v>
                </c:pt>
                <c:pt idx="32">
                  <c:v>3846820.036409595</c:v>
                </c:pt>
                <c:pt idx="33">
                  <c:v>3841669.4948986536</c:v>
                </c:pt>
                <c:pt idx="34">
                  <c:v>3836495.7759509129</c:v>
                </c:pt>
                <c:pt idx="35">
                  <c:v>3831298.775267907</c:v>
                </c:pt>
                <c:pt idx="36">
                  <c:v>3826078.3880818277</c:v>
                </c:pt>
                <c:pt idx="37">
                  <c:v>3820834.5091534113</c:v>
                </c:pt>
                <c:pt idx="38">
                  <c:v>3815567.0327698169</c:v>
                </c:pt>
                <c:pt idx="39">
                  <c:v>3810275.8527424964</c:v>
                </c:pt>
                <c:pt idx="40">
                  <c:v>3804960.8624050529</c:v>
                </c:pt>
                <c:pt idx="41">
                  <c:v>3799621.9546110909</c:v>
                </c:pt>
                <c:pt idx="42">
                  <c:v>3794259.021732056</c:v>
                </c:pt>
                <c:pt idx="43">
                  <c:v>3788871.9556550654</c:v>
                </c:pt>
                <c:pt idx="44">
                  <c:v>3783460.6477807285</c:v>
                </c:pt>
                <c:pt idx="45">
                  <c:v>3778024.9890209571</c:v>
                </c:pt>
                <c:pt idx="46">
                  <c:v>3772564.8697967664</c:v>
                </c:pt>
                <c:pt idx="47">
                  <c:v>3767080.180036067</c:v>
                </c:pt>
                <c:pt idx="48">
                  <c:v>3761570.8091714447</c:v>
                </c:pt>
                <c:pt idx="49">
                  <c:v>3756036.6461379314</c:v>
                </c:pt>
                <c:pt idx="50">
                  <c:v>3750477.5793707673</c:v>
                </c:pt>
                <c:pt idx="51">
                  <c:v>3744893.496803151</c:v>
                </c:pt>
                <c:pt idx="52">
                  <c:v>3739284.2858639802</c:v>
                </c:pt>
                <c:pt idx="53">
                  <c:v>3733649.8334755832</c:v>
                </c:pt>
                <c:pt idx="54">
                  <c:v>3727990.0260514384</c:v>
                </c:pt>
                <c:pt idx="55">
                  <c:v>3722304.7494938849</c:v>
                </c:pt>
                <c:pt idx="56">
                  <c:v>3716593.8891918226</c:v>
                </c:pt>
                <c:pt idx="57">
                  <c:v>3710857.3300184011</c:v>
                </c:pt>
                <c:pt idx="58">
                  <c:v>3705094.9563286994</c:v>
                </c:pt>
                <c:pt idx="59">
                  <c:v>3699306.6519573936</c:v>
                </c:pt>
                <c:pt idx="60">
                  <c:v>3693492.3002164173</c:v>
                </c:pt>
                <c:pt idx="61">
                  <c:v>3687651.7838926064</c:v>
                </c:pt>
                <c:pt idx="62">
                  <c:v>3681784.9852453382</c:v>
                </c:pt>
                <c:pt idx="63">
                  <c:v>3675891.7860041573</c:v>
                </c:pt>
                <c:pt idx="64">
                  <c:v>3669972.067366391</c:v>
                </c:pt>
                <c:pt idx="65">
                  <c:v>3664025.7099947548</c:v>
                </c:pt>
                <c:pt idx="66">
                  <c:v>3658052.5940149464</c:v>
                </c:pt>
                <c:pt idx="67">
                  <c:v>3652052.5990132289</c:v>
                </c:pt>
                <c:pt idx="68">
                  <c:v>3646025.6040340038</c:v>
                </c:pt>
                <c:pt idx="69">
                  <c:v>3639971.4875773722</c:v>
                </c:pt>
                <c:pt idx="70">
                  <c:v>3633890.1275966857</c:v>
                </c:pt>
                <c:pt idx="71">
                  <c:v>3627781.4014960858</c:v>
                </c:pt>
                <c:pt idx="72">
                  <c:v>3621645.1861280333</c:v>
                </c:pt>
                <c:pt idx="73">
                  <c:v>3615481.3577908245</c:v>
                </c:pt>
                <c:pt idx="74">
                  <c:v>3609289.7922260985</c:v>
                </c:pt>
                <c:pt idx="75">
                  <c:v>3603070.3646163312</c:v>
                </c:pt>
                <c:pt idx="76">
                  <c:v>3596822.9495823197</c:v>
                </c:pt>
                <c:pt idx="77">
                  <c:v>3590547.4211806552</c:v>
                </c:pt>
                <c:pt idx="78">
                  <c:v>3584243.6529011833</c:v>
                </c:pt>
                <c:pt idx="79">
                  <c:v>3577911.5176644539</c:v>
                </c:pt>
                <c:pt idx="80">
                  <c:v>3571550.8878191593</c:v>
                </c:pt>
                <c:pt idx="81">
                  <c:v>3565161.6351395608</c:v>
                </c:pt>
                <c:pt idx="82">
                  <c:v>3558743.6308229039</c:v>
                </c:pt>
                <c:pt idx="83">
                  <c:v>3552296.745486822</c:v>
                </c:pt>
                <c:pt idx="84">
                  <c:v>3545820.8491667281</c:v>
                </c:pt>
                <c:pt idx="85">
                  <c:v>3539315.8113131938</c:v>
                </c:pt>
                <c:pt idx="86">
                  <c:v>3532781.5007893182</c:v>
                </c:pt>
                <c:pt idx="87">
                  <c:v>3526217.7858680855</c:v>
                </c:pt>
                <c:pt idx="88">
                  <c:v>3519624.534229707</c:v>
                </c:pt>
                <c:pt idx="89">
                  <c:v>3513001.612958956</c:v>
                </c:pt>
                <c:pt idx="90">
                  <c:v>3506348.8885424864</c:v>
                </c:pt>
                <c:pt idx="91">
                  <c:v>3499666.2268661428</c:v>
                </c:pt>
                <c:pt idx="92">
                  <c:v>3492953.4932122556</c:v>
                </c:pt>
                <c:pt idx="93">
                  <c:v>3486210.552256926</c:v>
                </c:pt>
                <c:pt idx="94">
                  <c:v>3479437.2680672975</c:v>
                </c:pt>
                <c:pt idx="95">
                  <c:v>3472633.5040988154</c:v>
                </c:pt>
                <c:pt idx="96">
                  <c:v>3465799.1231924752</c:v>
                </c:pt>
                <c:pt idx="97">
                  <c:v>3458933.9875720567</c:v>
                </c:pt>
                <c:pt idx="98">
                  <c:v>3452037.9588413462</c:v>
                </c:pt>
                <c:pt idx="99">
                  <c:v>3445110.8979813475</c:v>
                </c:pt>
                <c:pt idx="100">
                  <c:v>3438152.6653474788</c:v>
                </c:pt>
                <c:pt idx="101">
                  <c:v>3431163.1206667577</c:v>
                </c:pt>
                <c:pt idx="102">
                  <c:v>3424142.1230349732</c:v>
                </c:pt>
                <c:pt idx="103">
                  <c:v>3417089.5309138456</c:v>
                </c:pt>
                <c:pt idx="104">
                  <c:v>3410005.2021281733</c:v>
                </c:pt>
                <c:pt idx="105">
                  <c:v>3402888.9938629651</c:v>
                </c:pt>
                <c:pt idx="106">
                  <c:v>3395740.7626605635</c:v>
                </c:pt>
                <c:pt idx="107">
                  <c:v>3388560.3644177513</c:v>
                </c:pt>
                <c:pt idx="108">
                  <c:v>3381347.6543828463</c:v>
                </c:pt>
                <c:pt idx="109">
                  <c:v>3374102.4871527841</c:v>
                </c:pt>
                <c:pt idx="110">
                  <c:v>3366824.7166701867</c:v>
                </c:pt>
                <c:pt idx="111">
                  <c:v>3359514.196220418</c:v>
                </c:pt>
                <c:pt idx="112">
                  <c:v>3352170.7784286248</c:v>
                </c:pt>
                <c:pt idx="113">
                  <c:v>3344794.3152567688</c:v>
                </c:pt>
                <c:pt idx="114">
                  <c:v>3337384.6580006396</c:v>
                </c:pt>
                <c:pt idx="115">
                  <c:v>3329941.6572868577</c:v>
                </c:pt>
                <c:pt idx="116">
                  <c:v>3322465.1630698638</c:v>
                </c:pt>
                <c:pt idx="117">
                  <c:v>3314955.0246288935</c:v>
                </c:pt>
                <c:pt idx="118">
                  <c:v>3307411.0905649387</c:v>
                </c:pt>
                <c:pt idx="119">
                  <c:v>3299833.208797696</c:v>
                </c:pt>
                <c:pt idx="120">
                  <c:v>3292221.2265625009</c:v>
                </c:pt>
                <c:pt idx="121">
                  <c:v>3284574.9904072476</c:v>
                </c:pt>
                <c:pt idx="122">
                  <c:v>3276894.3461892954</c:v>
                </c:pt>
                <c:pt idx="123">
                  <c:v>3269179.1390723623</c:v>
                </c:pt>
                <c:pt idx="124">
                  <c:v>3261429.2135234033</c:v>
                </c:pt>
                <c:pt idx="125">
                  <c:v>3253644.413309474</c:v>
                </c:pt>
                <c:pt idx="126">
                  <c:v>3245824.5814945819</c:v>
                </c:pt>
                <c:pt idx="127">
                  <c:v>3237969.5604365226</c:v>
                </c:pt>
                <c:pt idx="128">
                  <c:v>3230079.191783702</c:v>
                </c:pt>
                <c:pt idx="129">
                  <c:v>3222153.3164719436</c:v>
                </c:pt>
                <c:pt idx="130">
                  <c:v>3214191.7747212825</c:v>
                </c:pt>
                <c:pt idx="131">
                  <c:v>3206194.4060327434</c:v>
                </c:pt>
                <c:pt idx="132">
                  <c:v>3198161.0491851061</c:v>
                </c:pt>
                <c:pt idx="133">
                  <c:v>3190091.5422316543</c:v>
                </c:pt>
                <c:pt idx="134">
                  <c:v>3181985.7224969119</c:v>
                </c:pt>
                <c:pt idx="135">
                  <c:v>3173843.4265733631</c:v>
                </c:pt>
                <c:pt idx="136">
                  <c:v>3165664.4903181586</c:v>
                </c:pt>
                <c:pt idx="137">
                  <c:v>3157448.7488498054</c:v>
                </c:pt>
                <c:pt idx="138">
                  <c:v>3149196.036544845</c:v>
                </c:pt>
                <c:pt idx="139">
                  <c:v>3140906.1870345119</c:v>
                </c:pt>
                <c:pt idx="140">
                  <c:v>3132579.0332013825</c:v>
                </c:pt>
                <c:pt idx="141">
                  <c:v>3124214.4071760038</c:v>
                </c:pt>
                <c:pt idx="142">
                  <c:v>3115812.1403335109</c:v>
                </c:pt>
                <c:pt idx="143">
                  <c:v>3107372.0632902267</c:v>
                </c:pt>
                <c:pt idx="144">
                  <c:v>3098894.005900248</c:v>
                </c:pt>
                <c:pt idx="145">
                  <c:v>3090377.7972520143</c:v>
                </c:pt>
                <c:pt idx="146">
                  <c:v>3081823.2656648634</c:v>
                </c:pt>
                <c:pt idx="147">
                  <c:v>3073230.2386855707</c:v>
                </c:pt>
                <c:pt idx="148">
                  <c:v>3064598.543084871</c:v>
                </c:pt>
                <c:pt idx="149">
                  <c:v>3055928.004853968</c:v>
                </c:pt>
                <c:pt idx="150">
                  <c:v>3047218.449201026</c:v>
                </c:pt>
                <c:pt idx="151">
                  <c:v>3038469.7005476458</c:v>
                </c:pt>
                <c:pt idx="152">
                  <c:v>3029681.5825253255</c:v>
                </c:pt>
                <c:pt idx="153">
                  <c:v>3020853.9179719049</c:v>
                </c:pt>
                <c:pt idx="154">
                  <c:v>3011986.5289279935</c:v>
                </c:pt>
                <c:pt idx="155">
                  <c:v>3003079.2366333846</c:v>
                </c:pt>
                <c:pt idx="156">
                  <c:v>2994131.8615234499</c:v>
                </c:pt>
                <c:pt idx="157">
                  <c:v>2985144.2232255205</c:v>
                </c:pt>
                <c:pt idx="158">
                  <c:v>2976116.1405552505</c:v>
                </c:pt>
                <c:pt idx="159">
                  <c:v>2967047.4315129644</c:v>
                </c:pt>
                <c:pt idx="160">
                  <c:v>2957937.9132799879</c:v>
                </c:pt>
                <c:pt idx="161">
                  <c:v>2948787.402214963</c:v>
                </c:pt>
                <c:pt idx="162">
                  <c:v>2939595.7138501457</c:v>
                </c:pt>
                <c:pt idx="163">
                  <c:v>2930362.6628876864</c:v>
                </c:pt>
                <c:pt idx="164">
                  <c:v>2921088.0631958963</c:v>
                </c:pt>
                <c:pt idx="165">
                  <c:v>2911771.7278054929</c:v>
                </c:pt>
                <c:pt idx="166">
                  <c:v>2902413.4689058326</c:v>
                </c:pt>
                <c:pt idx="167">
                  <c:v>2893013.0978411241</c:v>
                </c:pt>
                <c:pt idx="168">
                  <c:v>2883570.4251066241</c:v>
                </c:pt>
                <c:pt idx="169">
                  <c:v>2874085.2603448192</c:v>
                </c:pt>
                <c:pt idx="170">
                  <c:v>2864557.4123415858</c:v>
                </c:pt>
                <c:pt idx="171">
                  <c:v>2854986.689022338</c:v>
                </c:pt>
                <c:pt idx="172">
                  <c:v>2845372.8974481537</c:v>
                </c:pt>
                <c:pt idx="173">
                  <c:v>2835715.8438118855</c:v>
                </c:pt>
                <c:pt idx="174">
                  <c:v>2826015.3334342539</c:v>
                </c:pt>
                <c:pt idx="175">
                  <c:v>2816271.1707599233</c:v>
                </c:pt>
                <c:pt idx="176">
                  <c:v>2806483.159353558</c:v>
                </c:pt>
                <c:pt idx="177">
                  <c:v>2796651.1018958641</c:v>
                </c:pt>
                <c:pt idx="178">
                  <c:v>2786774.8001796105</c:v>
                </c:pt>
                <c:pt idx="179">
                  <c:v>2776854.055105634</c:v>
                </c:pt>
                <c:pt idx="180">
                  <c:v>2766888.6666788245</c:v>
                </c:pt>
                <c:pt idx="181">
                  <c:v>2756878.4340040945</c:v>
                </c:pt>
                <c:pt idx="182">
                  <c:v>2746823.1552823279</c:v>
                </c:pt>
                <c:pt idx="183">
                  <c:v>2736722.6278063138</c:v>
                </c:pt>
                <c:pt idx="184">
                  <c:v>2726576.6479566572</c:v>
                </c:pt>
                <c:pt idx="185">
                  <c:v>2716385.0111976773</c:v>
                </c:pt>
                <c:pt idx="186">
                  <c:v>2706147.5120732822</c:v>
                </c:pt>
                <c:pt idx="187">
                  <c:v>2695863.9442028273</c:v>
                </c:pt>
                <c:pt idx="188">
                  <c:v>2685534.1002769554</c:v>
                </c:pt>
                <c:pt idx="189">
                  <c:v>2675157.7720534168</c:v>
                </c:pt>
                <c:pt idx="190">
                  <c:v>2664734.7503528725</c:v>
                </c:pt>
                <c:pt idx="191">
                  <c:v>2654264.8250546758</c:v>
                </c:pt>
                <c:pt idx="192">
                  <c:v>2643747.7850926369</c:v>
                </c:pt>
                <c:pt idx="193">
                  <c:v>2633183.418450769</c:v>
                </c:pt>
                <c:pt idx="194">
                  <c:v>2622571.5121590127</c:v>
                </c:pt>
                <c:pt idx="195">
                  <c:v>2611911.8522889432</c:v>
                </c:pt>
                <c:pt idx="196">
                  <c:v>2601204.2239494589</c:v>
                </c:pt>
                <c:pt idx="197">
                  <c:v>2590448.4112824467</c:v>
                </c:pt>
                <c:pt idx="198">
                  <c:v>2579644.197458433</c:v>
                </c:pt>
                <c:pt idx="199">
                  <c:v>2568791.364672211</c:v>
                </c:pt>
                <c:pt idx="200">
                  <c:v>2557889.694138451</c:v>
                </c:pt>
                <c:pt idx="201">
                  <c:v>2546938.9660872892</c:v>
                </c:pt>
                <c:pt idx="202">
                  <c:v>2535938.9597598971</c:v>
                </c:pt>
                <c:pt idx="203">
                  <c:v>2524889.4534040317</c:v>
                </c:pt>
                <c:pt idx="204">
                  <c:v>2513790.2242695652</c:v>
                </c:pt>
                <c:pt idx="205">
                  <c:v>2502641.0486039934</c:v>
                </c:pt>
                <c:pt idx="206">
                  <c:v>2491441.7016479266</c:v>
                </c:pt>
                <c:pt idx="207">
                  <c:v>2480191.9576305575</c:v>
                </c:pt>
                <c:pt idx="208">
                  <c:v>2468891.5897651101</c:v>
                </c:pt>
                <c:pt idx="209">
                  <c:v>2457540.3702442683</c:v>
                </c:pt>
                <c:pt idx="210">
                  <c:v>2446138.0702355825</c:v>
                </c:pt>
                <c:pt idx="211">
                  <c:v>2434684.4598768577</c:v>
                </c:pt>
                <c:pt idx="212">
                  <c:v>2423179.3082715189</c:v>
                </c:pt>
                <c:pt idx="213">
                  <c:v>2411622.3834839561</c:v>
                </c:pt>
                <c:pt idx="214">
                  <c:v>2400013.4525348493</c:v>
                </c:pt>
                <c:pt idx="215">
                  <c:v>2388352.2813964714</c:v>
                </c:pt>
                <c:pt idx="216">
                  <c:v>2376638.6349879708</c:v>
                </c:pt>
                <c:pt idx="217">
                  <c:v>2364872.277170632</c:v>
                </c:pt>
                <c:pt idx="218">
                  <c:v>2353052.9707431151</c:v>
                </c:pt>
                <c:pt idx="219">
                  <c:v>2341180.4774366743</c:v>
                </c:pt>
                <c:pt idx="220">
                  <c:v>2329254.5579103543</c:v>
                </c:pt>
                <c:pt idx="221">
                  <c:v>2317274.9717461662</c:v>
                </c:pt>
                <c:pt idx="222">
                  <c:v>2305241.477444239</c:v>
                </c:pt>
                <c:pt idx="223">
                  <c:v>2293153.8324179533</c:v>
                </c:pt>
                <c:pt idx="224">
                  <c:v>2281011.7929890491</c:v>
                </c:pt>
                <c:pt idx="225">
                  <c:v>2268815.114382715</c:v>
                </c:pt>
                <c:pt idx="226">
                  <c:v>2256563.5507226526</c:v>
                </c:pt>
                <c:pt idx="227">
                  <c:v>2244256.8550261199</c:v>
                </c:pt>
                <c:pt idx="228">
                  <c:v>2231894.7791989525</c:v>
                </c:pt>
                <c:pt idx="229">
                  <c:v>2219477.0740305628</c:v>
                </c:pt>
                <c:pt idx="230">
                  <c:v>2207003.4891889156</c:v>
                </c:pt>
                <c:pt idx="231">
                  <c:v>2194473.7732154811</c:v>
                </c:pt>
                <c:pt idx="232">
                  <c:v>2181887.673520166</c:v>
                </c:pt>
                <c:pt idx="233">
                  <c:v>2169244.9363762219</c:v>
                </c:pt>
                <c:pt idx="234">
                  <c:v>2156545.30691513</c:v>
                </c:pt>
                <c:pt idx="235">
                  <c:v>2143788.5291214632</c:v>
                </c:pt>
                <c:pt idx="236">
                  <c:v>2130974.3458277248</c:v>
                </c:pt>
                <c:pt idx="237">
                  <c:v>2118102.4987091646</c:v>
                </c:pt>
                <c:pt idx="238">
                  <c:v>2105172.7282785708</c:v>
                </c:pt>
                <c:pt idx="239">
                  <c:v>2092184.7738810396</c:v>
                </c:pt>
                <c:pt idx="240">
                  <c:v>2079138.3736887195</c:v>
                </c:pt>
                <c:pt idx="241">
                  <c:v>2066033.264695534</c:v>
                </c:pt>
                <c:pt idx="242">
                  <c:v>2052869.182711879</c:v>
                </c:pt>
                <c:pt idx="243">
                  <c:v>2039645.8623592977</c:v>
                </c:pt>
                <c:pt idx="244">
                  <c:v>2026363.0370651297</c:v>
                </c:pt>
                <c:pt idx="245">
                  <c:v>2013020.439057138</c:v>
                </c:pt>
                <c:pt idx="246">
                  <c:v>1999617.7993581104</c:v>
                </c:pt>
                <c:pt idx="247">
                  <c:v>1986154.8477804372</c:v>
                </c:pt>
                <c:pt idx="248">
                  <c:v>1972631.3129206644</c:v>
                </c:pt>
                <c:pt idx="249">
                  <c:v>1959046.9221540226</c:v>
                </c:pt>
                <c:pt idx="250">
                  <c:v>1945401.4016289308</c:v>
                </c:pt>
                <c:pt idx="251">
                  <c:v>1931694.4762614763</c:v>
                </c:pt>
                <c:pt idx="252">
                  <c:v>1917925.8697298681</c:v>
                </c:pt>
                <c:pt idx="253">
                  <c:v>1904095.3044688678</c:v>
                </c:pt>
                <c:pt idx="254">
                  <c:v>1890202.5016641929</c:v>
                </c:pt>
                <c:pt idx="255">
                  <c:v>1876247.181246897</c:v>
                </c:pt>
                <c:pt idx="256">
                  <c:v>1862229.0618877232</c:v>
                </c:pt>
                <c:pt idx="257">
                  <c:v>1848147.860991433</c:v>
                </c:pt>
                <c:pt idx="258">
                  <c:v>1834003.2946911096</c:v>
                </c:pt>
                <c:pt idx="259">
                  <c:v>1819795.0778424349</c:v>
                </c:pt>
                <c:pt idx="260">
                  <c:v>1805522.9240179411</c:v>
                </c:pt>
                <c:pt idx="261">
                  <c:v>1791186.545501237</c:v>
                </c:pt>
                <c:pt idx="262">
                  <c:v>1776785.6532812079</c:v>
                </c:pt>
                <c:pt idx="263">
                  <c:v>1762319.9570461884</c:v>
                </c:pt>
                <c:pt idx="264">
                  <c:v>1747789.1651781115</c:v>
                </c:pt>
                <c:pt idx="265">
                  <c:v>1733192.9847466282</c:v>
                </c:pt>
                <c:pt idx="266">
                  <c:v>1718531.1215032032</c:v>
                </c:pt>
                <c:pt idx="267">
                  <c:v>1703803.2798751828</c:v>
                </c:pt>
                <c:pt idx="268">
                  <c:v>1689009.1629598362</c:v>
                </c:pt>
                <c:pt idx="269">
                  <c:v>1674148.4725183707</c:v>
                </c:pt>
                <c:pt idx="270">
                  <c:v>1659220.9089699185</c:v>
                </c:pt>
                <c:pt idx="271">
                  <c:v>1644226.1713854983</c:v>
                </c:pt>
                <c:pt idx="272">
                  <c:v>1629163.9574819482</c:v>
                </c:pt>
                <c:pt idx="273">
                  <c:v>1614033.9636158322</c:v>
                </c:pt>
                <c:pt idx="274">
                  <c:v>1598835.8847773187</c:v>
                </c:pt>
                <c:pt idx="275">
                  <c:v>1583569.4145840318</c:v>
                </c:pt>
                <c:pt idx="276">
                  <c:v>1568234.2452748751</c:v>
                </c:pt>
                <c:pt idx="277">
                  <c:v>1552830.0677038273</c:v>
                </c:pt>
                <c:pt idx="278">
                  <c:v>1537356.5713337096</c:v>
                </c:pt>
                <c:pt idx="279">
                  <c:v>1521813.4442299264</c:v>
                </c:pt>
                <c:pt idx="280">
                  <c:v>1506200.3730541763</c:v>
                </c:pt>
                <c:pt idx="281">
                  <c:v>1490517.0430581353</c:v>
                </c:pt>
                <c:pt idx="282">
                  <c:v>1474763.1380771121</c:v>
                </c:pt>
                <c:pt idx="283">
                  <c:v>1458938.3405236744</c:v>
                </c:pt>
                <c:pt idx="284">
                  <c:v>1443042.3313812462</c:v>
                </c:pt>
                <c:pt idx="285">
                  <c:v>1427074.790197677</c:v>
                </c:pt>
                <c:pt idx="286">
                  <c:v>1411035.3950787818</c:v>
                </c:pt>
                <c:pt idx="287">
                  <c:v>1394923.8226818515</c:v>
                </c:pt>
                <c:pt idx="288">
                  <c:v>1378739.7482091349</c:v>
                </c:pt>
                <c:pt idx="289">
                  <c:v>1362482.8454012913</c:v>
                </c:pt>
                <c:pt idx="290">
                  <c:v>1346152.7865308123</c:v>
                </c:pt>
                <c:pt idx="291">
                  <c:v>1329749.2423954161</c:v>
                </c:pt>
                <c:pt idx="292">
                  <c:v>1313271.8823114107</c:v>
                </c:pt>
                <c:pt idx="293">
                  <c:v>1296720.3741070272</c:v>
                </c:pt>
                <c:pt idx="294">
                  <c:v>1280094.3841157239</c:v>
                </c:pt>
                <c:pt idx="295">
                  <c:v>1263393.5771694598</c:v>
                </c:pt>
                <c:pt idx="296">
                  <c:v>1246617.6165919376</c:v>
                </c:pt>
                <c:pt idx="297">
                  <c:v>1229766.1641918165</c:v>
                </c:pt>
                <c:pt idx="298">
                  <c:v>1212838.8802558947</c:v>
                </c:pt>
                <c:pt idx="299">
                  <c:v>1195835.4235422614</c:v>
                </c:pt>
                <c:pt idx="300">
                  <c:v>1178755.4512734166</c:v>
                </c:pt>
                <c:pt idx="301">
                  <c:v>1161598.6191293623</c:v>
                </c:pt>
                <c:pt idx="302">
                  <c:v>1144364.5812406596</c:v>
                </c:pt>
                <c:pt idx="303">
                  <c:v>1127052.9901814577</c:v>
                </c:pt>
                <c:pt idx="304">
                  <c:v>1109663.4969624896</c:v>
                </c:pt>
                <c:pt idx="305">
                  <c:v>1092195.751024036</c:v>
                </c:pt>
                <c:pt idx="306">
                  <c:v>1074649.4002288594</c:v>
                </c:pt>
                <c:pt idx="307">
                  <c:v>1057024.0908551044</c:v>
                </c:pt>
                <c:pt idx="308">
                  <c:v>1039319.4675891675</c:v>
                </c:pt>
                <c:pt idx="309">
                  <c:v>1021535.1735185339</c:v>
                </c:pt>
                <c:pt idx="310">
                  <c:v>1003670.8501245825</c:v>
                </c:pt>
                <c:pt idx="311">
                  <c:v>985726.13727535831</c:v>
                </c:pt>
                <c:pt idx="312">
                  <c:v>967700.67321831267</c:v>
                </c:pt>
                <c:pt idx="313">
                  <c:v>949594.09457301022</c:v>
                </c:pt>
                <c:pt idx="314">
                  <c:v>931406.03632380394</c:v>
                </c:pt>
                <c:pt idx="315">
                  <c:v>913136.1318124762</c:v>
                </c:pt>
                <c:pt idx="316">
                  <c:v>894784.01273084758</c:v>
                </c:pt>
                <c:pt idx="317">
                  <c:v>876349.30911335163</c:v>
                </c:pt>
                <c:pt idx="318">
                  <c:v>857831.64932957687</c:v>
                </c:pt>
                <c:pt idx="319">
                  <c:v>839230.66007677512</c:v>
                </c:pt>
                <c:pt idx="320">
                  <c:v>820545.9663723358</c:v>
                </c:pt>
                <c:pt idx="321">
                  <c:v>801777.1915462265</c:v>
                </c:pt>
                <c:pt idx="322">
                  <c:v>782923.95723339973</c:v>
                </c:pt>
                <c:pt idx="323">
                  <c:v>763985.88336616522</c:v>
                </c:pt>
                <c:pt idx="324">
                  <c:v>744962.58816652815</c:v>
                </c:pt>
                <c:pt idx="325">
                  <c:v>725853.68813849275</c:v>
                </c:pt>
                <c:pt idx="326">
                  <c:v>706658.79806033114</c:v>
                </c:pt>
                <c:pt idx="327">
                  <c:v>687377.53097681783</c:v>
                </c:pt>
                <c:pt idx="328">
                  <c:v>668009.49819142872</c:v>
                </c:pt>
                <c:pt idx="329">
                  <c:v>648554.30925850535</c:v>
                </c:pt>
                <c:pt idx="330">
                  <c:v>629011.57197538379</c:v>
                </c:pt>
                <c:pt idx="331">
                  <c:v>609380.89237448818</c:v>
                </c:pt>
                <c:pt idx="332">
                  <c:v>589661.87471538852</c:v>
                </c:pt>
                <c:pt idx="333">
                  <c:v>569854.121476823</c:v>
                </c:pt>
                <c:pt idx="334">
                  <c:v>549957.23334868392</c:v>
                </c:pt>
                <c:pt idx="335">
                  <c:v>529970.80922396819</c:v>
                </c:pt>
                <c:pt idx="336">
                  <c:v>509894.44619069126</c:v>
                </c:pt>
                <c:pt idx="337">
                  <c:v>489727.73952376458</c:v>
                </c:pt>
                <c:pt idx="338">
                  <c:v>469470.28267683671</c:v>
                </c:pt>
                <c:pt idx="339">
                  <c:v>449121.66727409768</c:v>
                </c:pt>
                <c:pt idx="340">
                  <c:v>428681.4831020463</c:v>
                </c:pt>
                <c:pt idx="341">
                  <c:v>408149.31810122071</c:v>
                </c:pt>
                <c:pt idx="342">
                  <c:v>387524.75835789141</c:v>
                </c:pt>
                <c:pt idx="343">
                  <c:v>366807.38809571712</c:v>
                </c:pt>
                <c:pt idx="344">
                  <c:v>345996.78966736305</c:v>
                </c:pt>
                <c:pt idx="345">
                  <c:v>325092.5435460814</c:v>
                </c:pt>
                <c:pt idx="346">
                  <c:v>304094.22831725399</c:v>
                </c:pt>
                <c:pt idx="347">
                  <c:v>283001.42066989682</c:v>
                </c:pt>
                <c:pt idx="348">
                  <c:v>261813.69538812654</c:v>
                </c:pt>
                <c:pt idx="349">
                  <c:v>240530.62534258829</c:v>
                </c:pt>
                <c:pt idx="350">
                  <c:v>219151.78148184513</c:v>
                </c:pt>
                <c:pt idx="351">
                  <c:v>197676.73282372864</c:v>
                </c:pt>
                <c:pt idx="352">
                  <c:v>176105.04644665061</c:v>
                </c:pt>
                <c:pt idx="353">
                  <c:v>154436.28748087573</c:v>
                </c:pt>
                <c:pt idx="354">
                  <c:v>132670.01909975486</c:v>
                </c:pt>
                <c:pt idx="355">
                  <c:v>110805.80251091896</c:v>
                </c:pt>
                <c:pt idx="356">
                  <c:v>88843.196947433287</c:v>
                </c:pt>
                <c:pt idx="357">
                  <c:v>66781.759658911935</c:v>
                </c:pt>
                <c:pt idx="358">
                  <c:v>44621.045902592232</c:v>
                </c:pt>
                <c:pt idx="359">
                  <c:v>22360.608934369091</c:v>
                </c:pt>
                <c:pt idx="360">
                  <c:v>-2.1105370251461864E-7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0-41BB-8E76-9607149C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438832"/>
        <c:axId val="747439160"/>
      </c:scatterChart>
      <c:valAx>
        <c:axId val="74743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400" b="1">
                    <a:solidFill>
                      <a:schemeClr val="tx1"/>
                    </a:solidFill>
                  </a:rPr>
                  <a:t>Period</a:t>
                </a:r>
                <a:r>
                  <a:rPr lang="cs-CZ" sz="1400" b="1" baseline="0">
                    <a:solidFill>
                      <a:schemeClr val="tx1"/>
                    </a:solidFill>
                  </a:rPr>
                  <a:t> t</a:t>
                </a:r>
                <a:endParaRPr lang="cs-CZ" sz="11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0628585510376944"/>
              <c:y val="0.94024916907128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47439160"/>
        <c:crosses val="autoZero"/>
        <c:crossBetween val="midCat"/>
      </c:valAx>
      <c:valAx>
        <c:axId val="74743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400" b="1" baseline="0">
                    <a:solidFill>
                      <a:schemeClr val="tx1"/>
                    </a:solidFill>
                  </a:rPr>
                  <a:t>Remaining debt  [currency]</a:t>
                </a:r>
                <a:endParaRPr lang="cs-CZ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4743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Payment breakdown</a:t>
            </a:r>
            <a:r>
              <a:rPr lang="cs-CZ" baseline="0"/>
              <a:t>:  principal vs. interest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1334470075043436"/>
          <c:y val="7.4419160907638823E-2"/>
          <c:w val="0.76180058261948025"/>
          <c:h val="0.84019167328854538"/>
        </c:manualLayout>
      </c:layout>
      <c:scatterChart>
        <c:scatterStyle val="lineMarker"/>
        <c:varyColors val="0"/>
        <c:ser>
          <c:idx val="1"/>
          <c:order val="0"/>
          <c:tx>
            <c:strRef>
              <c:f>'Remaining debt'!$D$2</c:f>
              <c:strCache>
                <c:ptCount val="1"/>
                <c:pt idx="0">
                  <c:v> Principal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'Remaining debt'!$B$4:$B$501</c:f>
              <c:strCach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strCache>
            </c:strRef>
          </c:xVal>
          <c:yVal>
            <c:numRef>
              <c:f>'Remaining debt'!$D$4:$D$501</c:f>
              <c:numCache>
                <c:formatCode>_(* #,##0.00_);_(* \(#,##0.00\);_(* "-"??_);_(@_)</c:formatCode>
                <c:ptCount val="498"/>
                <c:pt idx="0">
                  <c:v>4461.2316747848054</c:v>
                </c:pt>
                <c:pt idx="1">
                  <c:v>4481.3072173213368</c:v>
                </c:pt>
                <c:pt idx="2">
                  <c:v>4501.473099799281</c:v>
                </c:pt>
                <c:pt idx="3">
                  <c:v>4521.7297287483816</c:v>
                </c:pt>
                <c:pt idx="4">
                  <c:v>4542.0775125277505</c:v>
                </c:pt>
                <c:pt idx="5">
                  <c:v>4562.516861334123</c:v>
                </c:pt>
                <c:pt idx="6">
                  <c:v>4583.0481872101263</c:v>
                </c:pt>
                <c:pt idx="7">
                  <c:v>4603.6719040525713</c:v>
                </c:pt>
                <c:pt idx="8">
                  <c:v>4624.3884276208119</c:v>
                </c:pt>
                <c:pt idx="9">
                  <c:v>4645.1981755451052</c:v>
                </c:pt>
                <c:pt idx="10">
                  <c:v>4666.1015673350557</c:v>
                </c:pt>
                <c:pt idx="11">
                  <c:v>4687.099024388066</c:v>
                </c:pt>
                <c:pt idx="12">
                  <c:v>4708.1909699978096</c:v>
                </c:pt>
                <c:pt idx="13">
                  <c:v>4729.377829362802</c:v>
                </c:pt>
                <c:pt idx="14">
                  <c:v>4750.660029594932</c:v>
                </c:pt>
                <c:pt idx="15">
                  <c:v>4772.0379997281088</c:v>
                </c:pt>
                <c:pt idx="16">
                  <c:v>4793.5121707268845</c:v>
                </c:pt>
                <c:pt idx="17">
                  <c:v>4815.0829754951556</c:v>
                </c:pt>
                <c:pt idx="18">
                  <c:v>4836.7508488848871</c:v>
                </c:pt>
                <c:pt idx="19">
                  <c:v>4858.5162277048657</c:v>
                </c:pt>
                <c:pt idx="20">
                  <c:v>4880.3795507295399</c:v>
                </c:pt>
                <c:pt idx="21">
                  <c:v>4902.3412587078201</c:v>
                </c:pt>
                <c:pt idx="22">
                  <c:v>4924.4017943720064</c:v>
                </c:pt>
                <c:pt idx="23">
                  <c:v>4946.5616024466799</c:v>
                </c:pt>
                <c:pt idx="24">
                  <c:v>4968.8211296576919</c:v>
                </c:pt>
                <c:pt idx="25">
                  <c:v>4991.1808247411536</c:v>
                </c:pt>
                <c:pt idx="26">
                  <c:v>5013.6411384524872</c:v>
                </c:pt>
                <c:pt idx="27">
                  <c:v>5036.2025235755245</c:v>
                </c:pt>
                <c:pt idx="28">
                  <c:v>5058.865434931613</c:v>
                </c:pt>
                <c:pt idx="29">
                  <c:v>5081.630329388805</c:v>
                </c:pt>
                <c:pt idx="30">
                  <c:v>5104.4976658710548</c:v>
                </c:pt>
                <c:pt idx="31">
                  <c:v>5127.4679053674772</c:v>
                </c:pt>
                <c:pt idx="32">
                  <c:v>5150.5415109416281</c:v>
                </c:pt>
                <c:pt idx="33">
                  <c:v>5173.7189477408647</c:v>
                </c:pt>
                <c:pt idx="34">
                  <c:v>5197.0006830056955</c:v>
                </c:pt>
                <c:pt idx="35">
                  <c:v>5220.3871860792242</c:v>
                </c:pt>
                <c:pt idx="36">
                  <c:v>5243.8789284165832</c:v>
                </c:pt>
                <c:pt idx="37">
                  <c:v>5267.4763835944541</c:v>
                </c:pt>
                <c:pt idx="38">
                  <c:v>5291.1800273206318</c:v>
                </c:pt>
                <c:pt idx="39">
                  <c:v>5314.9903374435708</c:v>
                </c:pt>
                <c:pt idx="40">
                  <c:v>5338.9077939620693</c:v>
                </c:pt>
                <c:pt idx="41">
                  <c:v>5362.9328790348954</c:v>
                </c:pt>
                <c:pt idx="42">
                  <c:v>5387.0660769905517</c:v>
                </c:pt>
                <c:pt idx="43">
                  <c:v>5411.3078743370133</c:v>
                </c:pt>
                <c:pt idx="44">
                  <c:v>5435.6587597715261</c:v>
                </c:pt>
                <c:pt idx="45">
                  <c:v>5460.1192241904973</c:v>
                </c:pt>
                <c:pt idx="46">
                  <c:v>5484.6897606993589</c:v>
                </c:pt>
                <c:pt idx="47">
                  <c:v>5509.3708646225059</c:v>
                </c:pt>
                <c:pt idx="48">
                  <c:v>5534.163033513305</c:v>
                </c:pt>
                <c:pt idx="49">
                  <c:v>5559.0667671641131</c:v>
                </c:pt>
                <c:pt idx="50">
                  <c:v>5584.0825676163513</c:v>
                </c:pt>
                <c:pt idx="51">
                  <c:v>5609.2109391706254</c:v>
                </c:pt>
                <c:pt idx="52">
                  <c:v>5634.4523883968941</c:v>
                </c:pt>
                <c:pt idx="53">
                  <c:v>5659.8074241446811</c:v>
                </c:pt>
                <c:pt idx="54">
                  <c:v>5685.276557553334</c:v>
                </c:pt>
                <c:pt idx="55">
                  <c:v>5710.8603020623232</c:v>
                </c:pt>
                <c:pt idx="56">
                  <c:v>5736.5591734216032</c:v>
                </c:pt>
                <c:pt idx="57">
                  <c:v>5762.373689701999</c:v>
                </c:pt>
                <c:pt idx="58">
                  <c:v>5788.3043713056577</c:v>
                </c:pt>
                <c:pt idx="59">
                  <c:v>5814.3517409765336</c:v>
                </c:pt>
                <c:pt idx="60">
                  <c:v>5840.5163238109271</c:v>
                </c:pt>
                <c:pt idx="61">
                  <c:v>5866.7986472680786</c:v>
                </c:pt>
                <c:pt idx="62">
                  <c:v>5893.1992411807842</c:v>
                </c:pt>
                <c:pt idx="63">
                  <c:v>5919.7186377660983</c:v>
                </c:pt>
                <c:pt idx="64">
                  <c:v>5946.3573716360479</c:v>
                </c:pt>
                <c:pt idx="65">
                  <c:v>5973.1159798084082</c:v>
                </c:pt>
                <c:pt idx="66">
                  <c:v>5999.995001717547</c:v>
                </c:pt>
                <c:pt idx="67">
                  <c:v>6026.9949792252737</c:v>
                </c:pt>
                <c:pt idx="68">
                  <c:v>6054.1164566317893</c:v>
                </c:pt>
                <c:pt idx="69">
                  <c:v>6081.3599806866296</c:v>
                </c:pt>
                <c:pt idx="70">
                  <c:v>6108.7261005997188</c:v>
                </c:pt>
                <c:pt idx="71">
                  <c:v>6136.2153680524189</c:v>
                </c:pt>
                <c:pt idx="72">
                  <c:v>6163.8283372086553</c:v>
                </c:pt>
                <c:pt idx="73">
                  <c:v>6191.5655647260955</c:v>
                </c:pt>
                <c:pt idx="74">
                  <c:v>6219.4276097673628</c:v>
                </c:pt>
                <c:pt idx="75">
                  <c:v>6247.4150340113156</c:v>
                </c:pt>
                <c:pt idx="76">
                  <c:v>6275.5284016643673</c:v>
                </c:pt>
                <c:pt idx="77">
                  <c:v>6303.7682794718585</c:v>
                </c:pt>
                <c:pt idx="78">
                  <c:v>6332.1352367294803</c:v>
                </c:pt>
                <c:pt idx="79">
                  <c:v>6360.6298452947631</c:v>
                </c:pt>
                <c:pt idx="80">
                  <c:v>6389.2526795985887</c:v>
                </c:pt>
                <c:pt idx="81">
                  <c:v>6418.0043166567812</c:v>
                </c:pt>
                <c:pt idx="82">
                  <c:v>6446.8853360817393</c:v>
                </c:pt>
                <c:pt idx="83">
                  <c:v>6475.8963200941052</c:v>
                </c:pt>
                <c:pt idx="84">
                  <c:v>6505.037853534528</c:v>
                </c:pt>
                <c:pt idx="85">
                  <c:v>6534.3105238754342</c:v>
                </c:pt>
                <c:pt idx="86">
                  <c:v>6563.714921232875</c:v>
                </c:pt>
                <c:pt idx="87">
                  <c:v>6593.2516383784205</c:v>
                </c:pt>
                <c:pt idx="88">
                  <c:v>6622.9212707511233</c:v>
                </c:pt>
                <c:pt idx="89">
                  <c:v>6652.7244164695039</c:v>
                </c:pt>
                <c:pt idx="90">
                  <c:v>6682.6616763436159</c:v>
                </c:pt>
                <c:pt idx="91">
                  <c:v>6712.7336538871623</c:v>
                </c:pt>
                <c:pt idx="92">
                  <c:v>6742.9409553296555</c:v>
                </c:pt>
                <c:pt idx="93">
                  <c:v>6773.2841896286391</c:v>
                </c:pt>
                <c:pt idx="94">
                  <c:v>6803.7639684819678</c:v>
                </c:pt>
                <c:pt idx="95">
                  <c:v>6834.3809063401368</c:v>
                </c:pt>
                <c:pt idx="96">
                  <c:v>6865.1356204186686</c:v>
                </c:pt>
                <c:pt idx="97">
                  <c:v>6896.02873071055</c:v>
                </c:pt>
                <c:pt idx="98">
                  <c:v>6927.0608599987481</c:v>
                </c:pt>
                <c:pt idx="99">
                  <c:v>6958.2326338687435</c:v>
                </c:pt>
                <c:pt idx="100">
                  <c:v>6989.544680721152</c:v>
                </c:pt>
                <c:pt idx="101">
                  <c:v>7020.9976317843957</c:v>
                </c:pt>
                <c:pt idx="102">
                  <c:v>7052.5921211274272</c:v>
                </c:pt>
                <c:pt idx="103">
                  <c:v>7084.3287856725019</c:v>
                </c:pt>
                <c:pt idx="104">
                  <c:v>7116.2082652080262</c:v>
                </c:pt>
                <c:pt idx="105">
                  <c:v>7148.2312024014627</c:v>
                </c:pt>
                <c:pt idx="106">
                  <c:v>7180.3982428122708</c:v>
                </c:pt>
                <c:pt idx="107">
                  <c:v>7212.7100349049251</c:v>
                </c:pt>
                <c:pt idx="108">
                  <c:v>7245.1672300619957</c:v>
                </c:pt>
                <c:pt idx="109">
                  <c:v>7277.7704825972778</c:v>
                </c:pt>
                <c:pt idx="110">
                  <c:v>7310.5204497689647</c:v>
                </c:pt>
                <c:pt idx="111">
                  <c:v>7343.4177917929246</c:v>
                </c:pt>
                <c:pt idx="112">
                  <c:v>7376.463171855994</c:v>
                </c:pt>
                <c:pt idx="113">
                  <c:v>7409.6572561293469</c:v>
                </c:pt>
                <c:pt idx="114">
                  <c:v>7443.0007137819284</c:v>
                </c:pt>
                <c:pt idx="115">
                  <c:v>7476.4942169939441</c:v>
                </c:pt>
                <c:pt idx="116">
                  <c:v>7510.1384409704169</c:v>
                </c:pt>
                <c:pt idx="117">
                  <c:v>7543.9340639547845</c:v>
                </c:pt>
                <c:pt idx="118">
                  <c:v>7577.8817672425812</c:v>
                </c:pt>
                <c:pt idx="119">
                  <c:v>7611.9822351951716</c:v>
                </c:pt>
                <c:pt idx="120">
                  <c:v>7646.2361552535531</c:v>
                </c:pt>
                <c:pt idx="121">
                  <c:v>7680.6442179521928</c:v>
                </c:pt>
                <c:pt idx="122">
                  <c:v>7715.2071169329756</c:v>
                </c:pt>
                <c:pt idx="123">
                  <c:v>7749.925548959176</c:v>
                </c:pt>
                <c:pt idx="124">
                  <c:v>7784.8002139294895</c:v>
                </c:pt>
                <c:pt idx="125">
                  <c:v>7819.8318148921717</c:v>
                </c:pt>
                <c:pt idx="126">
                  <c:v>7855.0210580591865</c:v>
                </c:pt>
                <c:pt idx="127">
                  <c:v>7890.3686528204544</c:v>
                </c:pt>
                <c:pt idx="128">
                  <c:v>7925.8753117581473</c:v>
                </c:pt>
                <c:pt idx="129">
                  <c:v>7961.5417506610593</c:v>
                </c:pt>
                <c:pt idx="130">
                  <c:v>7997.3686885390325</c:v>
                </c:pt>
                <c:pt idx="131">
                  <c:v>8033.3568476374603</c:v>
                </c:pt>
                <c:pt idx="132">
                  <c:v>8069.5069534518279</c:v>
                </c:pt>
                <c:pt idx="133">
                  <c:v>8105.8197347423611</c:v>
                </c:pt>
                <c:pt idx="134">
                  <c:v>8142.2959235487015</c:v>
                </c:pt>
                <c:pt idx="135">
                  <c:v>8178.9362552046714</c:v>
                </c:pt>
                <c:pt idx="136">
                  <c:v>8215.7414683530915</c:v>
                </c:pt>
                <c:pt idx="137">
                  <c:v>8252.7123049606798</c:v>
                </c:pt>
                <c:pt idx="138">
                  <c:v>8289.8495103330024</c:v>
                </c:pt>
                <c:pt idx="139">
                  <c:v>8327.1538331295033</c:v>
                </c:pt>
                <c:pt idx="140">
                  <c:v>8364.626025378584</c:v>
                </c:pt>
                <c:pt idx="141">
                  <c:v>8402.2668424927888</c:v>
                </c:pt>
                <c:pt idx="142">
                  <c:v>8440.0770432840054</c:v>
                </c:pt>
                <c:pt idx="143">
                  <c:v>8478.0573899787869</c:v>
                </c:pt>
                <c:pt idx="144">
                  <c:v>8516.2086482336908</c:v>
                </c:pt>
                <c:pt idx="145">
                  <c:v>8554.5315871507428</c:v>
                </c:pt>
                <c:pt idx="146">
                  <c:v>8593.0269792929212</c:v>
                </c:pt>
                <c:pt idx="147">
                  <c:v>8631.695600699737</c:v>
                </c:pt>
                <c:pt idx="148">
                  <c:v>8670.5382309028846</c:v>
                </c:pt>
                <c:pt idx="149">
                  <c:v>8709.55565294195</c:v>
                </c:pt>
                <c:pt idx="150">
                  <c:v>8748.7486533801894</c:v>
                </c:pt>
                <c:pt idx="151">
                  <c:v>8788.118022320401</c:v>
                </c:pt>
                <c:pt idx="152">
                  <c:v>8827.6645534208401</c:v>
                </c:pt>
                <c:pt idx="153">
                  <c:v>8867.3890439112329</c:v>
                </c:pt>
                <c:pt idx="154">
                  <c:v>8907.2922946088347</c:v>
                </c:pt>
                <c:pt idx="155">
                  <c:v>8947.3751099345736</c:v>
                </c:pt>
                <c:pt idx="156">
                  <c:v>8987.6382979292812</c:v>
                </c:pt>
                <c:pt idx="157">
                  <c:v>9028.0826702699651</c:v>
                </c:pt>
                <c:pt idx="158">
                  <c:v>9068.7090422861784</c:v>
                </c:pt>
                <c:pt idx="159">
                  <c:v>9109.5182329764666</c:v>
                </c:pt>
                <c:pt idx="160">
                  <c:v>9150.5110650248589</c:v>
                </c:pt>
                <c:pt idx="161">
                  <c:v>9191.6883648174717</c:v>
                </c:pt>
                <c:pt idx="162">
                  <c:v>9233.0509624591486</c:v>
                </c:pt>
                <c:pt idx="163">
                  <c:v>9274.5996917902175</c:v>
                </c:pt>
                <c:pt idx="164">
                  <c:v>9316.335390403272</c:v>
                </c:pt>
                <c:pt idx="165">
                  <c:v>9358.2588996600862</c:v>
                </c:pt>
                <c:pt idx="166">
                  <c:v>9400.3710647085591</c:v>
                </c:pt>
                <c:pt idx="167">
                  <c:v>9442.6727344997471</c:v>
                </c:pt>
                <c:pt idx="168">
                  <c:v>9485.1647618049956</c:v>
                </c:pt>
                <c:pt idx="169">
                  <c:v>9527.848003233119</c:v>
                </c:pt>
                <c:pt idx="170">
                  <c:v>9570.7233192476688</c:v>
                </c:pt>
                <c:pt idx="171">
                  <c:v>9613.7915741842844</c:v>
                </c:pt>
                <c:pt idx="172">
                  <c:v>9657.0536362681141</c:v>
                </c:pt>
                <c:pt idx="173">
                  <c:v>9700.5103776313208</c:v>
                </c:pt>
                <c:pt idx="174">
                  <c:v>9744.1626743306642</c:v>
                </c:pt>
                <c:pt idx="175">
                  <c:v>9788.0114063651508</c:v>
                </c:pt>
                <c:pt idx="176">
                  <c:v>9832.0574576937961</c:v>
                </c:pt>
                <c:pt idx="177">
                  <c:v>9876.3017162534179</c:v>
                </c:pt>
                <c:pt idx="178">
                  <c:v>9920.7450739765591</c:v>
                </c:pt>
                <c:pt idx="179">
                  <c:v>9965.3884268094516</c:v>
                </c:pt>
                <c:pt idx="180">
                  <c:v>10010.232674730096</c:v>
                </c:pt>
                <c:pt idx="181">
                  <c:v>10055.278721766381</c:v>
                </c:pt>
                <c:pt idx="182">
                  <c:v>10100.527476014331</c:v>
                </c:pt>
                <c:pt idx="183">
                  <c:v>10145.979849656393</c:v>
                </c:pt>
                <c:pt idx="184">
                  <c:v>10191.636758979848</c:v>
                </c:pt>
                <c:pt idx="185">
                  <c:v>10237.499124395257</c:v>
                </c:pt>
                <c:pt idx="186">
                  <c:v>10283.567870455036</c:v>
                </c:pt>
                <c:pt idx="187">
                  <c:v>10329.843925872081</c:v>
                </c:pt>
                <c:pt idx="188">
                  <c:v>10376.328223538507</c:v>
                </c:pt>
                <c:pt idx="189">
                  <c:v>10423.02170054443</c:v>
                </c:pt>
                <c:pt idx="190">
                  <c:v>10469.925298196878</c:v>
                </c:pt>
                <c:pt idx="191">
                  <c:v>10517.039962038765</c:v>
                </c:pt>
                <c:pt idx="192">
                  <c:v>10564.366641867939</c:v>
                </c:pt>
                <c:pt idx="193">
                  <c:v>10611.906291756346</c:v>
                </c:pt>
                <c:pt idx="194">
                  <c:v>10659.659870069247</c:v>
                </c:pt>
                <c:pt idx="195">
                  <c:v>10707.628339484561</c:v>
                </c:pt>
                <c:pt idx="196">
                  <c:v>10755.81266701224</c:v>
                </c:pt>
                <c:pt idx="197">
                  <c:v>10804.213824013796</c:v>
                </c:pt>
                <c:pt idx="198">
                  <c:v>10852.832786221856</c:v>
                </c:pt>
                <c:pt idx="199">
                  <c:v>10901.670533759856</c:v>
                </c:pt>
                <c:pt idx="200">
                  <c:v>10950.728051161776</c:v>
                </c:pt>
                <c:pt idx="201">
                  <c:v>11000.006327392004</c:v>
                </c:pt>
                <c:pt idx="202">
                  <c:v>11049.506355865267</c:v>
                </c:pt>
                <c:pt idx="203">
                  <c:v>11099.229134466663</c:v>
                </c:pt>
                <c:pt idx="204">
                  <c:v>11149.175665571764</c:v>
                </c:pt>
                <c:pt idx="205">
                  <c:v>11199.346956066835</c:v>
                </c:pt>
                <c:pt idx="206">
                  <c:v>11249.744017369138</c:v>
                </c:pt>
                <c:pt idx="207">
                  <c:v>11300.367865447295</c:v>
                </c:pt>
                <c:pt idx="208">
                  <c:v>11351.219520841811</c:v>
                </c:pt>
                <c:pt idx="209">
                  <c:v>11402.300008685599</c:v>
                </c:pt>
                <c:pt idx="210">
                  <c:v>11453.610358724685</c:v>
                </c:pt>
                <c:pt idx="211">
                  <c:v>11505.151605338946</c:v>
                </c:pt>
                <c:pt idx="212">
                  <c:v>11556.92478756297</c:v>
                </c:pt>
                <c:pt idx="213">
                  <c:v>11608.930949107003</c:v>
                </c:pt>
                <c:pt idx="214">
                  <c:v>11661.171138377984</c:v>
                </c:pt>
                <c:pt idx="215">
                  <c:v>11713.646408500685</c:v>
                </c:pt>
                <c:pt idx="216">
                  <c:v>11766.357817338938</c:v>
                </c:pt>
                <c:pt idx="217">
                  <c:v>11819.306427516962</c:v>
                </c:pt>
                <c:pt idx="218">
                  <c:v>11872.493306440787</c:v>
                </c:pt>
                <c:pt idx="219">
                  <c:v>11925.919526319771</c:v>
                </c:pt>
                <c:pt idx="220">
                  <c:v>11979.586164188211</c:v>
                </c:pt>
                <c:pt idx="221">
                  <c:v>12033.494301927058</c:v>
                </c:pt>
                <c:pt idx="222">
                  <c:v>12087.645026285731</c:v>
                </c:pt>
                <c:pt idx="223">
                  <c:v>12142.039428904016</c:v>
                </c:pt>
                <c:pt idx="224">
                  <c:v>12196.678606334084</c:v>
                </c:pt>
                <c:pt idx="225">
                  <c:v>12251.563660062588</c:v>
                </c:pt>
                <c:pt idx="226">
                  <c:v>12306.69569653287</c:v>
                </c:pt>
                <c:pt idx="227">
                  <c:v>12362.075827167266</c:v>
                </c:pt>
                <c:pt idx="228">
                  <c:v>12417.705168389519</c:v>
                </c:pt>
                <c:pt idx="229">
                  <c:v>12473.584841647273</c:v>
                </c:pt>
                <c:pt idx="230">
                  <c:v>12529.715973434684</c:v>
                </c:pt>
                <c:pt idx="231">
                  <c:v>12586.099695315141</c:v>
                </c:pt>
                <c:pt idx="232">
                  <c:v>12642.737143944059</c:v>
                </c:pt>
                <c:pt idx="233">
                  <c:v>12699.629461091807</c:v>
                </c:pt>
                <c:pt idx="234">
                  <c:v>12756.777793666721</c:v>
                </c:pt>
                <c:pt idx="235">
                  <c:v>12814.183293738221</c:v>
                </c:pt>
                <c:pt idx="236">
                  <c:v>12871.847118560045</c:v>
                </c:pt>
                <c:pt idx="237">
                  <c:v>12929.770430593564</c:v>
                </c:pt>
                <c:pt idx="238">
                  <c:v>12987.954397531237</c:v>
                </c:pt>
                <c:pt idx="239">
                  <c:v>13046.400192320127</c:v>
                </c:pt>
                <c:pt idx="240">
                  <c:v>13105.108993185568</c:v>
                </c:pt>
                <c:pt idx="241">
                  <c:v>13164.081983654904</c:v>
                </c:pt>
                <c:pt idx="242">
                  <c:v>13223.32035258135</c:v>
                </c:pt>
                <c:pt idx="243">
                  <c:v>13282.825294167966</c:v>
                </c:pt>
                <c:pt idx="244">
                  <c:v>13342.598007991723</c:v>
                </c:pt>
                <c:pt idx="245">
                  <c:v>13402.639699027684</c:v>
                </c:pt>
                <c:pt idx="246">
                  <c:v>13462.951577673308</c:v>
                </c:pt>
                <c:pt idx="247">
                  <c:v>13523.534859772839</c:v>
                </c:pt>
                <c:pt idx="248">
                  <c:v>13584.390766641814</c:v>
                </c:pt>
                <c:pt idx="249">
                  <c:v>13645.520525091704</c:v>
                </c:pt>
                <c:pt idx="250">
                  <c:v>13706.925367454616</c:v>
                </c:pt>
                <c:pt idx="251">
                  <c:v>13768.606531608162</c:v>
                </c:pt>
                <c:pt idx="252">
                  <c:v>13830.565261000398</c:v>
                </c:pt>
                <c:pt idx="253">
                  <c:v>13892.8028046749</c:v>
                </c:pt>
                <c:pt idx="254">
                  <c:v>13955.320417295938</c:v>
                </c:pt>
                <c:pt idx="255">
                  <c:v>14018.11935917377</c:v>
                </c:pt>
                <c:pt idx="256">
                  <c:v>14081.200896290051</c:v>
                </c:pt>
                <c:pt idx="257">
                  <c:v>14144.566300323357</c:v>
                </c:pt>
                <c:pt idx="258">
                  <c:v>14208.216848674812</c:v>
                </c:pt>
                <c:pt idx="259">
                  <c:v>14272.153824493849</c:v>
                </c:pt>
                <c:pt idx="260">
                  <c:v>14336.37851670407</c:v>
                </c:pt>
                <c:pt idx="261">
                  <c:v>14400.89222002924</c:v>
                </c:pt>
                <c:pt idx="262">
                  <c:v>14465.696235019372</c:v>
                </c:pt>
                <c:pt idx="263">
                  <c:v>14530.791868076958</c:v>
                </c:pt>
                <c:pt idx="264">
                  <c:v>14596.180431483303</c:v>
                </c:pt>
                <c:pt idx="265">
                  <c:v>14661.863243424978</c:v>
                </c:pt>
                <c:pt idx="266">
                  <c:v>14727.841628020393</c:v>
                </c:pt>
                <c:pt idx="267">
                  <c:v>14794.116915346483</c:v>
                </c:pt>
                <c:pt idx="268">
                  <c:v>14860.690441465544</c:v>
                </c:pt>
                <c:pt idx="269">
                  <c:v>14927.563548452137</c:v>
                </c:pt>
                <c:pt idx="270">
                  <c:v>14994.737584420171</c:v>
                </c:pt>
                <c:pt idx="271">
                  <c:v>15062.213903550062</c:v>
                </c:pt>
                <c:pt idx="272">
                  <c:v>15129.993866116038</c:v>
                </c:pt>
                <c:pt idx="273">
                  <c:v>15198.07883851356</c:v>
                </c:pt>
                <c:pt idx="274">
                  <c:v>15266.47019328687</c:v>
                </c:pt>
                <c:pt idx="275">
                  <c:v>15335.169309156663</c:v>
                </c:pt>
                <c:pt idx="276">
                  <c:v>15404.177571047869</c:v>
                </c:pt>
                <c:pt idx="277">
                  <c:v>15473.496370117584</c:v>
                </c:pt>
                <c:pt idx="278">
                  <c:v>15543.127103783114</c:v>
                </c:pt>
                <c:pt idx="279">
                  <c:v>15613.071175750138</c:v>
                </c:pt>
                <c:pt idx="280">
                  <c:v>15683.329996041011</c:v>
                </c:pt>
                <c:pt idx="281">
                  <c:v>15753.904981023195</c:v>
                </c:pt>
                <c:pt idx="282">
                  <c:v>15824.797553437802</c:v>
                </c:pt>
                <c:pt idx="283">
                  <c:v>15896.009142428269</c:v>
                </c:pt>
                <c:pt idx="284">
                  <c:v>15967.541183569196</c:v>
                </c:pt>
                <c:pt idx="285">
                  <c:v>16039.39511889526</c:v>
                </c:pt>
                <c:pt idx="286">
                  <c:v>16111.572396930289</c:v>
                </c:pt>
                <c:pt idx="287">
                  <c:v>16184.074472716475</c:v>
                </c:pt>
                <c:pt idx="288">
                  <c:v>16256.902807843697</c:v>
                </c:pt>
                <c:pt idx="289">
                  <c:v>16330.058870478995</c:v>
                </c:pt>
                <c:pt idx="290">
                  <c:v>16403.544135396151</c:v>
                </c:pt>
                <c:pt idx="291">
                  <c:v>16477.360084005431</c:v>
                </c:pt>
                <c:pt idx="292">
                  <c:v>16551.508204383455</c:v>
                </c:pt>
                <c:pt idx="293">
                  <c:v>16625.989991303184</c:v>
                </c:pt>
                <c:pt idx="294">
                  <c:v>16700.806946264049</c:v>
                </c:pt>
                <c:pt idx="295">
                  <c:v>16775.960577522237</c:v>
                </c:pt>
                <c:pt idx="296">
                  <c:v>16851.452400121085</c:v>
                </c:pt>
                <c:pt idx="297">
                  <c:v>16927.28393592163</c:v>
                </c:pt>
                <c:pt idx="298">
                  <c:v>17003.456713633277</c:v>
                </c:pt>
                <c:pt idx="299">
                  <c:v>17079.972268844627</c:v>
                </c:pt>
                <c:pt idx="300">
                  <c:v>17156.832144054431</c:v>
                </c:pt>
                <c:pt idx="301">
                  <c:v>17234.037888702675</c:v>
                </c:pt>
                <c:pt idx="302">
                  <c:v>17311.591059201837</c:v>
                </c:pt>
                <c:pt idx="303">
                  <c:v>17389.493218968244</c:v>
                </c:pt>
                <c:pt idx="304">
                  <c:v>17467.745938453601</c:v>
                </c:pt>
                <c:pt idx="305">
                  <c:v>17546.350795176644</c:v>
                </c:pt>
                <c:pt idx="306">
                  <c:v>17625.309373754939</c:v>
                </c:pt>
                <c:pt idx="307">
                  <c:v>17704.623265936836</c:v>
                </c:pt>
                <c:pt idx="308">
                  <c:v>17784.29407063355</c:v>
                </c:pt>
                <c:pt idx="309">
                  <c:v>17864.323393951403</c:v>
                </c:pt>
                <c:pt idx="310">
                  <c:v>17944.712849224183</c:v>
                </c:pt>
                <c:pt idx="311">
                  <c:v>18025.464057045694</c:v>
                </c:pt>
                <c:pt idx="312">
                  <c:v>18106.578645302397</c:v>
                </c:pt>
                <c:pt idx="313">
                  <c:v>18188.05824920626</c:v>
                </c:pt>
                <c:pt idx="314">
                  <c:v>18269.904511327688</c:v>
                </c:pt>
                <c:pt idx="315">
                  <c:v>18352.119081628662</c:v>
                </c:pt>
                <c:pt idx="316">
                  <c:v>18434.70361749599</c:v>
                </c:pt>
                <c:pt idx="317">
                  <c:v>18517.659783774725</c:v>
                </c:pt>
                <c:pt idx="318">
                  <c:v>18600.989252801708</c:v>
                </c:pt>
                <c:pt idx="319">
                  <c:v>18684.693704439316</c:v>
                </c:pt>
                <c:pt idx="320">
                  <c:v>18768.774826109293</c:v>
                </c:pt>
                <c:pt idx="321">
                  <c:v>18853.234312826786</c:v>
                </c:pt>
                <c:pt idx="322">
                  <c:v>18938.073867234507</c:v>
                </c:pt>
                <c:pt idx="323">
                  <c:v>19023.295199637061</c:v>
                </c:pt>
                <c:pt idx="324">
                  <c:v>19108.90002803543</c:v>
                </c:pt>
                <c:pt idx="325">
                  <c:v>19194.890078161588</c:v>
                </c:pt>
                <c:pt idx="326">
                  <c:v>19281.267083513314</c:v>
                </c:pt>
                <c:pt idx="327">
                  <c:v>19368.032785389125</c:v>
                </c:pt>
                <c:pt idx="328">
                  <c:v>19455.188932923375</c:v>
                </c:pt>
                <c:pt idx="329">
                  <c:v>19542.737283121533</c:v>
                </c:pt>
                <c:pt idx="330">
                  <c:v>19630.679600895579</c:v>
                </c:pt>
                <c:pt idx="331">
                  <c:v>19719.017659099609</c:v>
                </c:pt>
                <c:pt idx="332">
                  <c:v>19807.753238565558</c:v>
                </c:pt>
                <c:pt idx="333">
                  <c:v>19896.8881281391</c:v>
                </c:pt>
                <c:pt idx="334">
                  <c:v>19986.424124715726</c:v>
                </c:pt>
                <c:pt idx="335">
                  <c:v>20076.36303327695</c:v>
                </c:pt>
                <c:pt idx="336">
                  <c:v>20166.706666926693</c:v>
                </c:pt>
                <c:pt idx="337">
                  <c:v>20257.456846927864</c:v>
                </c:pt>
                <c:pt idx="338">
                  <c:v>20348.61540273904</c:v>
                </c:pt>
                <c:pt idx="339">
                  <c:v>20440.184172051366</c:v>
                </c:pt>
                <c:pt idx="340">
                  <c:v>20532.165000825597</c:v>
                </c:pt>
                <c:pt idx="341">
                  <c:v>20624.559743329311</c:v>
                </c:pt>
                <c:pt idx="342">
                  <c:v>20717.370262174292</c:v>
                </c:pt>
                <c:pt idx="343">
                  <c:v>20810.598428354078</c:v>
                </c:pt>
                <c:pt idx="344">
                  <c:v>20904.246121281671</c:v>
                </c:pt>
                <c:pt idx="345">
                  <c:v>20998.31522882744</c:v>
                </c:pt>
                <c:pt idx="346">
                  <c:v>21092.807647357164</c:v>
                </c:pt>
                <c:pt idx="347">
                  <c:v>21187.725281770268</c:v>
                </c:pt>
                <c:pt idx="348">
                  <c:v>21283.070045538236</c:v>
                </c:pt>
                <c:pt idx="349">
                  <c:v>21378.84386074316</c:v>
                </c:pt>
                <c:pt idx="350">
                  <c:v>21475.048658116502</c:v>
                </c:pt>
                <c:pt idx="351">
                  <c:v>21571.686377078026</c:v>
                </c:pt>
                <c:pt idx="352">
                  <c:v>21668.758965774876</c:v>
                </c:pt>
                <c:pt idx="353">
                  <c:v>21766.268381120866</c:v>
                </c:pt>
                <c:pt idx="354">
                  <c:v>21864.216588835909</c:v>
                </c:pt>
                <c:pt idx="355">
                  <c:v>21962.605563485671</c:v>
                </c:pt>
                <c:pt idx="356">
                  <c:v>22061.437288521356</c:v>
                </c:pt>
                <c:pt idx="357">
                  <c:v>22160.713756319703</c:v>
                </c:pt>
                <c:pt idx="358">
                  <c:v>22260.436968223141</c:v>
                </c:pt>
                <c:pt idx="359">
                  <c:v>22360.608934580145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7-4412-BBAD-54F5FE6DF64A}"/>
            </c:ext>
          </c:extLst>
        </c:ser>
        <c:ser>
          <c:idx val="0"/>
          <c:order val="1"/>
          <c:tx>
            <c:strRef>
              <c:f>'Remaining debt'!$C$2</c:f>
              <c:strCache>
                <c:ptCount val="1"/>
                <c:pt idx="0">
                  <c:v> Payment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'Remaining debt'!$B$4:$B$501</c:f>
              <c:strCach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strCache>
            </c:strRef>
          </c:xVal>
          <c:yVal>
            <c:numRef>
              <c:f>'Remaining debt'!$C$4:$C$501</c:f>
              <c:numCache>
                <c:formatCode>_(* #,##0.00_);_(* \(#,##0.00\);_(* "-"??_);_(@_)</c:formatCode>
                <c:ptCount val="498"/>
                <c:pt idx="0">
                  <c:v>22461.231674784805</c:v>
                </c:pt>
                <c:pt idx="1">
                  <c:v>22461.231674784805</c:v>
                </c:pt>
                <c:pt idx="2">
                  <c:v>22461.231674784805</c:v>
                </c:pt>
                <c:pt idx="3">
                  <c:v>22461.231674784805</c:v>
                </c:pt>
                <c:pt idx="4">
                  <c:v>22461.231674784805</c:v>
                </c:pt>
                <c:pt idx="5">
                  <c:v>22461.231674784805</c:v>
                </c:pt>
                <c:pt idx="6">
                  <c:v>22461.231674784805</c:v>
                </c:pt>
                <c:pt idx="7">
                  <c:v>22461.231674784805</c:v>
                </c:pt>
                <c:pt idx="8">
                  <c:v>22461.231674784805</c:v>
                </c:pt>
                <c:pt idx="9">
                  <c:v>22461.231674784805</c:v>
                </c:pt>
                <c:pt idx="10">
                  <c:v>22461.231674784805</c:v>
                </c:pt>
                <c:pt idx="11">
                  <c:v>22461.231674784805</c:v>
                </c:pt>
                <c:pt idx="12">
                  <c:v>22461.231674784805</c:v>
                </c:pt>
                <c:pt idx="13">
                  <c:v>22461.231674784805</c:v>
                </c:pt>
                <c:pt idx="14">
                  <c:v>22461.231674784805</c:v>
                </c:pt>
                <c:pt idx="15">
                  <c:v>22461.231674784805</c:v>
                </c:pt>
                <c:pt idx="16">
                  <c:v>22461.231674784805</c:v>
                </c:pt>
                <c:pt idx="17">
                  <c:v>22461.231674784805</c:v>
                </c:pt>
                <c:pt idx="18">
                  <c:v>22461.231674784805</c:v>
                </c:pt>
                <c:pt idx="19">
                  <c:v>22461.231674784805</c:v>
                </c:pt>
                <c:pt idx="20">
                  <c:v>22461.231674784805</c:v>
                </c:pt>
                <c:pt idx="21">
                  <c:v>22461.231674784805</c:v>
                </c:pt>
                <c:pt idx="22">
                  <c:v>22461.231674784805</c:v>
                </c:pt>
                <c:pt idx="23">
                  <c:v>22461.231674784805</c:v>
                </c:pt>
                <c:pt idx="24">
                  <c:v>22461.231674784805</c:v>
                </c:pt>
                <c:pt idx="25">
                  <c:v>22461.231674784805</c:v>
                </c:pt>
                <c:pt idx="26">
                  <c:v>22461.231674784805</c:v>
                </c:pt>
                <c:pt idx="27">
                  <c:v>22461.231674784805</c:v>
                </c:pt>
                <c:pt idx="28">
                  <c:v>22461.231674784805</c:v>
                </c:pt>
                <c:pt idx="29">
                  <c:v>22461.231674784805</c:v>
                </c:pt>
                <c:pt idx="30">
                  <c:v>22461.231674784805</c:v>
                </c:pt>
                <c:pt idx="31">
                  <c:v>22461.231674784805</c:v>
                </c:pt>
                <c:pt idx="32">
                  <c:v>22461.231674784805</c:v>
                </c:pt>
                <c:pt idx="33">
                  <c:v>22461.231674784805</c:v>
                </c:pt>
                <c:pt idx="34">
                  <c:v>22461.231674784805</c:v>
                </c:pt>
                <c:pt idx="35">
                  <c:v>22461.231674784805</c:v>
                </c:pt>
                <c:pt idx="36">
                  <c:v>22461.231674784805</c:v>
                </c:pt>
                <c:pt idx="37">
                  <c:v>22461.231674784805</c:v>
                </c:pt>
                <c:pt idx="38">
                  <c:v>22461.231674784805</c:v>
                </c:pt>
                <c:pt idx="39">
                  <c:v>22461.231674784805</c:v>
                </c:pt>
                <c:pt idx="40">
                  <c:v>22461.231674784805</c:v>
                </c:pt>
                <c:pt idx="41">
                  <c:v>22461.231674784805</c:v>
                </c:pt>
                <c:pt idx="42">
                  <c:v>22461.231674784805</c:v>
                </c:pt>
                <c:pt idx="43">
                  <c:v>22461.231674784805</c:v>
                </c:pt>
                <c:pt idx="44">
                  <c:v>22461.231674784805</c:v>
                </c:pt>
                <c:pt idx="45">
                  <c:v>22461.231674784805</c:v>
                </c:pt>
                <c:pt idx="46">
                  <c:v>22461.231674784805</c:v>
                </c:pt>
                <c:pt idx="47">
                  <c:v>22461.231674784805</c:v>
                </c:pt>
                <c:pt idx="48">
                  <c:v>22461.231674784805</c:v>
                </c:pt>
                <c:pt idx="49">
                  <c:v>22461.231674784805</c:v>
                </c:pt>
                <c:pt idx="50">
                  <c:v>22461.231674784805</c:v>
                </c:pt>
                <c:pt idx="51">
                  <c:v>22461.231674784805</c:v>
                </c:pt>
                <c:pt idx="52">
                  <c:v>22461.231674784805</c:v>
                </c:pt>
                <c:pt idx="53">
                  <c:v>22461.231674784805</c:v>
                </c:pt>
                <c:pt idx="54">
                  <c:v>22461.231674784805</c:v>
                </c:pt>
                <c:pt idx="55">
                  <c:v>22461.231674784805</c:v>
                </c:pt>
                <c:pt idx="56">
                  <c:v>22461.231674784805</c:v>
                </c:pt>
                <c:pt idx="57">
                  <c:v>22461.231674784805</c:v>
                </c:pt>
                <c:pt idx="58">
                  <c:v>22461.231674784805</c:v>
                </c:pt>
                <c:pt idx="59">
                  <c:v>22461.231674784805</c:v>
                </c:pt>
                <c:pt idx="60">
                  <c:v>22461.231674784805</c:v>
                </c:pt>
                <c:pt idx="61">
                  <c:v>22461.231674784805</c:v>
                </c:pt>
                <c:pt idx="62">
                  <c:v>22461.231674784805</c:v>
                </c:pt>
                <c:pt idx="63">
                  <c:v>22461.231674784805</c:v>
                </c:pt>
                <c:pt idx="64">
                  <c:v>22461.231674784805</c:v>
                </c:pt>
                <c:pt idx="65">
                  <c:v>22461.231674784805</c:v>
                </c:pt>
                <c:pt idx="66">
                  <c:v>22461.231674784805</c:v>
                </c:pt>
                <c:pt idx="67">
                  <c:v>22461.231674784805</c:v>
                </c:pt>
                <c:pt idx="68">
                  <c:v>22461.231674784805</c:v>
                </c:pt>
                <c:pt idx="69">
                  <c:v>22461.231674784805</c:v>
                </c:pt>
                <c:pt idx="70">
                  <c:v>22461.231674784805</c:v>
                </c:pt>
                <c:pt idx="71">
                  <c:v>22461.231674784805</c:v>
                </c:pt>
                <c:pt idx="72">
                  <c:v>22461.231674784805</c:v>
                </c:pt>
                <c:pt idx="73">
                  <c:v>22461.231674784805</c:v>
                </c:pt>
                <c:pt idx="74">
                  <c:v>22461.231674784805</c:v>
                </c:pt>
                <c:pt idx="75">
                  <c:v>22461.231674784805</c:v>
                </c:pt>
                <c:pt idx="76">
                  <c:v>22461.231674784805</c:v>
                </c:pt>
                <c:pt idx="77">
                  <c:v>22461.231674784805</c:v>
                </c:pt>
                <c:pt idx="78">
                  <c:v>22461.231674784805</c:v>
                </c:pt>
                <c:pt idx="79">
                  <c:v>22461.231674784805</c:v>
                </c:pt>
                <c:pt idx="80">
                  <c:v>22461.231674784805</c:v>
                </c:pt>
                <c:pt idx="81">
                  <c:v>22461.231674784805</c:v>
                </c:pt>
                <c:pt idx="82">
                  <c:v>22461.231674784805</c:v>
                </c:pt>
                <c:pt idx="83">
                  <c:v>22461.231674784805</c:v>
                </c:pt>
                <c:pt idx="84">
                  <c:v>22461.231674784805</c:v>
                </c:pt>
                <c:pt idx="85">
                  <c:v>22461.231674784805</c:v>
                </c:pt>
                <c:pt idx="86">
                  <c:v>22461.231674784805</c:v>
                </c:pt>
                <c:pt idx="87">
                  <c:v>22461.231674784805</c:v>
                </c:pt>
                <c:pt idx="88">
                  <c:v>22461.231674784805</c:v>
                </c:pt>
                <c:pt idx="89">
                  <c:v>22461.231674784805</c:v>
                </c:pt>
                <c:pt idx="90">
                  <c:v>22461.231674784805</c:v>
                </c:pt>
                <c:pt idx="91">
                  <c:v>22461.231674784805</c:v>
                </c:pt>
                <c:pt idx="92">
                  <c:v>22461.231674784805</c:v>
                </c:pt>
                <c:pt idx="93">
                  <c:v>22461.231674784805</c:v>
                </c:pt>
                <c:pt idx="94">
                  <c:v>22461.231674784805</c:v>
                </c:pt>
                <c:pt idx="95">
                  <c:v>22461.231674784805</c:v>
                </c:pt>
                <c:pt idx="96">
                  <c:v>22461.231674784805</c:v>
                </c:pt>
                <c:pt idx="97">
                  <c:v>22461.231674784805</c:v>
                </c:pt>
                <c:pt idx="98">
                  <c:v>22461.231674784805</c:v>
                </c:pt>
                <c:pt idx="99">
                  <c:v>22461.231674784805</c:v>
                </c:pt>
                <c:pt idx="100">
                  <c:v>22461.231674784805</c:v>
                </c:pt>
                <c:pt idx="101">
                  <c:v>22461.231674784805</c:v>
                </c:pt>
                <c:pt idx="102">
                  <c:v>22461.231674784805</c:v>
                </c:pt>
                <c:pt idx="103">
                  <c:v>22461.231674784805</c:v>
                </c:pt>
                <c:pt idx="104">
                  <c:v>22461.231674784805</c:v>
                </c:pt>
                <c:pt idx="105">
                  <c:v>22461.231674784805</c:v>
                </c:pt>
                <c:pt idx="106">
                  <c:v>22461.231674784805</c:v>
                </c:pt>
                <c:pt idx="107">
                  <c:v>22461.231674784805</c:v>
                </c:pt>
                <c:pt idx="108">
                  <c:v>22461.231674784805</c:v>
                </c:pt>
                <c:pt idx="109">
                  <c:v>22461.231674784805</c:v>
                </c:pt>
                <c:pt idx="110">
                  <c:v>22461.231674784805</c:v>
                </c:pt>
                <c:pt idx="111">
                  <c:v>22461.231674784805</c:v>
                </c:pt>
                <c:pt idx="112">
                  <c:v>22461.231674784805</c:v>
                </c:pt>
                <c:pt idx="113">
                  <c:v>22461.231674784805</c:v>
                </c:pt>
                <c:pt idx="114">
                  <c:v>22461.231674784805</c:v>
                </c:pt>
                <c:pt idx="115">
                  <c:v>22461.231674784805</c:v>
                </c:pt>
                <c:pt idx="116">
                  <c:v>22461.231674784805</c:v>
                </c:pt>
                <c:pt idx="117">
                  <c:v>22461.231674784805</c:v>
                </c:pt>
                <c:pt idx="118">
                  <c:v>22461.231674784805</c:v>
                </c:pt>
                <c:pt idx="119">
                  <c:v>22461.231674784805</c:v>
                </c:pt>
                <c:pt idx="120">
                  <c:v>22461.231674784805</c:v>
                </c:pt>
                <c:pt idx="121">
                  <c:v>22461.231674784805</c:v>
                </c:pt>
                <c:pt idx="122">
                  <c:v>22461.231674784805</c:v>
                </c:pt>
                <c:pt idx="123">
                  <c:v>22461.231674784805</c:v>
                </c:pt>
                <c:pt idx="124">
                  <c:v>22461.231674784805</c:v>
                </c:pt>
                <c:pt idx="125">
                  <c:v>22461.231674784805</c:v>
                </c:pt>
                <c:pt idx="126">
                  <c:v>22461.231674784805</c:v>
                </c:pt>
                <c:pt idx="127">
                  <c:v>22461.231674784805</c:v>
                </c:pt>
                <c:pt idx="128">
                  <c:v>22461.231674784805</c:v>
                </c:pt>
                <c:pt idx="129">
                  <c:v>22461.231674784805</c:v>
                </c:pt>
                <c:pt idx="130">
                  <c:v>22461.231674784805</c:v>
                </c:pt>
                <c:pt idx="131">
                  <c:v>22461.231674784805</c:v>
                </c:pt>
                <c:pt idx="132">
                  <c:v>22461.231674784805</c:v>
                </c:pt>
                <c:pt idx="133">
                  <c:v>22461.231674784805</c:v>
                </c:pt>
                <c:pt idx="134">
                  <c:v>22461.231674784805</c:v>
                </c:pt>
                <c:pt idx="135">
                  <c:v>22461.231674784805</c:v>
                </c:pt>
                <c:pt idx="136">
                  <c:v>22461.231674784805</c:v>
                </c:pt>
                <c:pt idx="137">
                  <c:v>22461.231674784805</c:v>
                </c:pt>
                <c:pt idx="138">
                  <c:v>22461.231674784805</c:v>
                </c:pt>
                <c:pt idx="139">
                  <c:v>22461.231674784805</c:v>
                </c:pt>
                <c:pt idx="140">
                  <c:v>22461.231674784805</c:v>
                </c:pt>
                <c:pt idx="141">
                  <c:v>22461.231674784805</c:v>
                </c:pt>
                <c:pt idx="142">
                  <c:v>22461.231674784805</c:v>
                </c:pt>
                <c:pt idx="143">
                  <c:v>22461.231674784805</c:v>
                </c:pt>
                <c:pt idx="144">
                  <c:v>22461.231674784805</c:v>
                </c:pt>
                <c:pt idx="145">
                  <c:v>22461.231674784805</c:v>
                </c:pt>
                <c:pt idx="146">
                  <c:v>22461.231674784805</c:v>
                </c:pt>
                <c:pt idx="147">
                  <c:v>22461.231674784805</c:v>
                </c:pt>
                <c:pt idx="148">
                  <c:v>22461.231674784805</c:v>
                </c:pt>
                <c:pt idx="149">
                  <c:v>22461.231674784805</c:v>
                </c:pt>
                <c:pt idx="150">
                  <c:v>22461.231674784805</c:v>
                </c:pt>
                <c:pt idx="151">
                  <c:v>22461.231674784805</c:v>
                </c:pt>
                <c:pt idx="152">
                  <c:v>22461.231674784805</c:v>
                </c:pt>
                <c:pt idx="153">
                  <c:v>22461.231674784805</c:v>
                </c:pt>
                <c:pt idx="154">
                  <c:v>22461.231674784805</c:v>
                </c:pt>
                <c:pt idx="155">
                  <c:v>22461.231674784805</c:v>
                </c:pt>
                <c:pt idx="156">
                  <c:v>22461.231674784805</c:v>
                </c:pt>
                <c:pt idx="157">
                  <c:v>22461.231674784805</c:v>
                </c:pt>
                <c:pt idx="158">
                  <c:v>22461.231674784805</c:v>
                </c:pt>
                <c:pt idx="159">
                  <c:v>22461.231674784805</c:v>
                </c:pt>
                <c:pt idx="160">
                  <c:v>22461.231674784805</c:v>
                </c:pt>
                <c:pt idx="161">
                  <c:v>22461.231674784805</c:v>
                </c:pt>
                <c:pt idx="162">
                  <c:v>22461.231674784805</c:v>
                </c:pt>
                <c:pt idx="163">
                  <c:v>22461.231674784805</c:v>
                </c:pt>
                <c:pt idx="164">
                  <c:v>22461.231674784805</c:v>
                </c:pt>
                <c:pt idx="165">
                  <c:v>22461.231674784805</c:v>
                </c:pt>
                <c:pt idx="166">
                  <c:v>22461.231674784805</c:v>
                </c:pt>
                <c:pt idx="167">
                  <c:v>22461.231674784805</c:v>
                </c:pt>
                <c:pt idx="168">
                  <c:v>22461.231674784805</c:v>
                </c:pt>
                <c:pt idx="169">
                  <c:v>22461.231674784805</c:v>
                </c:pt>
                <c:pt idx="170">
                  <c:v>22461.231674784805</c:v>
                </c:pt>
                <c:pt idx="171">
                  <c:v>22461.231674784805</c:v>
                </c:pt>
                <c:pt idx="172">
                  <c:v>22461.231674784805</c:v>
                </c:pt>
                <c:pt idx="173">
                  <c:v>22461.231674784805</c:v>
                </c:pt>
                <c:pt idx="174">
                  <c:v>22461.231674784805</c:v>
                </c:pt>
                <c:pt idx="175">
                  <c:v>22461.231674784805</c:v>
                </c:pt>
                <c:pt idx="176">
                  <c:v>22461.231674784805</c:v>
                </c:pt>
                <c:pt idx="177">
                  <c:v>22461.231674784805</c:v>
                </c:pt>
                <c:pt idx="178">
                  <c:v>22461.231674784805</c:v>
                </c:pt>
                <c:pt idx="179">
                  <c:v>22461.231674784805</c:v>
                </c:pt>
                <c:pt idx="180">
                  <c:v>22461.231674784805</c:v>
                </c:pt>
                <c:pt idx="181">
                  <c:v>22461.231674784805</c:v>
                </c:pt>
                <c:pt idx="182">
                  <c:v>22461.231674784805</c:v>
                </c:pt>
                <c:pt idx="183">
                  <c:v>22461.231674784805</c:v>
                </c:pt>
                <c:pt idx="184">
                  <c:v>22461.231674784805</c:v>
                </c:pt>
                <c:pt idx="185">
                  <c:v>22461.231674784805</c:v>
                </c:pt>
                <c:pt idx="186">
                  <c:v>22461.231674784805</c:v>
                </c:pt>
                <c:pt idx="187">
                  <c:v>22461.231674784805</c:v>
                </c:pt>
                <c:pt idx="188">
                  <c:v>22461.231674784805</c:v>
                </c:pt>
                <c:pt idx="189">
                  <c:v>22461.231674784805</c:v>
                </c:pt>
                <c:pt idx="190">
                  <c:v>22461.231674784805</c:v>
                </c:pt>
                <c:pt idx="191">
                  <c:v>22461.231674784805</c:v>
                </c:pt>
                <c:pt idx="192">
                  <c:v>22461.231674784805</c:v>
                </c:pt>
                <c:pt idx="193">
                  <c:v>22461.231674784805</c:v>
                </c:pt>
                <c:pt idx="194">
                  <c:v>22461.231674784805</c:v>
                </c:pt>
                <c:pt idx="195">
                  <c:v>22461.231674784805</c:v>
                </c:pt>
                <c:pt idx="196">
                  <c:v>22461.231674784805</c:v>
                </c:pt>
                <c:pt idx="197">
                  <c:v>22461.231674784805</c:v>
                </c:pt>
                <c:pt idx="198">
                  <c:v>22461.231674784805</c:v>
                </c:pt>
                <c:pt idx="199">
                  <c:v>22461.231674784805</c:v>
                </c:pt>
                <c:pt idx="200">
                  <c:v>22461.231674784805</c:v>
                </c:pt>
                <c:pt idx="201">
                  <c:v>22461.231674784805</c:v>
                </c:pt>
                <c:pt idx="202">
                  <c:v>22461.231674784805</c:v>
                </c:pt>
                <c:pt idx="203">
                  <c:v>22461.231674784805</c:v>
                </c:pt>
                <c:pt idx="204">
                  <c:v>22461.231674784805</c:v>
                </c:pt>
                <c:pt idx="205">
                  <c:v>22461.231674784805</c:v>
                </c:pt>
                <c:pt idx="206">
                  <c:v>22461.231674784805</c:v>
                </c:pt>
                <c:pt idx="207">
                  <c:v>22461.231674784805</c:v>
                </c:pt>
                <c:pt idx="208">
                  <c:v>22461.231674784805</c:v>
                </c:pt>
                <c:pt idx="209">
                  <c:v>22461.231674784805</c:v>
                </c:pt>
                <c:pt idx="210">
                  <c:v>22461.231674784805</c:v>
                </c:pt>
                <c:pt idx="211">
                  <c:v>22461.231674784805</c:v>
                </c:pt>
                <c:pt idx="212">
                  <c:v>22461.231674784805</c:v>
                </c:pt>
                <c:pt idx="213">
                  <c:v>22461.231674784805</c:v>
                </c:pt>
                <c:pt idx="214">
                  <c:v>22461.231674784805</c:v>
                </c:pt>
                <c:pt idx="215">
                  <c:v>22461.231674784805</c:v>
                </c:pt>
                <c:pt idx="216">
                  <c:v>22461.231674784805</c:v>
                </c:pt>
                <c:pt idx="217">
                  <c:v>22461.231674784805</c:v>
                </c:pt>
                <c:pt idx="218">
                  <c:v>22461.231674784805</c:v>
                </c:pt>
                <c:pt idx="219">
                  <c:v>22461.231674784805</c:v>
                </c:pt>
                <c:pt idx="220">
                  <c:v>22461.231674784805</c:v>
                </c:pt>
                <c:pt idx="221">
                  <c:v>22461.231674784805</c:v>
                </c:pt>
                <c:pt idx="222">
                  <c:v>22461.231674784805</c:v>
                </c:pt>
                <c:pt idx="223">
                  <c:v>22461.231674784805</c:v>
                </c:pt>
                <c:pt idx="224">
                  <c:v>22461.231674784805</c:v>
                </c:pt>
                <c:pt idx="225">
                  <c:v>22461.231674784805</c:v>
                </c:pt>
                <c:pt idx="226">
                  <c:v>22461.231674784805</c:v>
                </c:pt>
                <c:pt idx="227">
                  <c:v>22461.231674784805</c:v>
                </c:pt>
                <c:pt idx="228">
                  <c:v>22461.231674784805</c:v>
                </c:pt>
                <c:pt idx="229">
                  <c:v>22461.231674784805</c:v>
                </c:pt>
                <c:pt idx="230">
                  <c:v>22461.231674784805</c:v>
                </c:pt>
                <c:pt idx="231">
                  <c:v>22461.231674784805</c:v>
                </c:pt>
                <c:pt idx="232">
                  <c:v>22461.231674784805</c:v>
                </c:pt>
                <c:pt idx="233">
                  <c:v>22461.231674784805</c:v>
                </c:pt>
                <c:pt idx="234">
                  <c:v>22461.231674784805</c:v>
                </c:pt>
                <c:pt idx="235">
                  <c:v>22461.231674784805</c:v>
                </c:pt>
                <c:pt idx="236">
                  <c:v>22461.231674784805</c:v>
                </c:pt>
                <c:pt idx="237">
                  <c:v>22461.231674784805</c:v>
                </c:pt>
                <c:pt idx="238">
                  <c:v>22461.231674784805</c:v>
                </c:pt>
                <c:pt idx="239">
                  <c:v>22461.231674784805</c:v>
                </c:pt>
                <c:pt idx="240">
                  <c:v>22461.231674784805</c:v>
                </c:pt>
                <c:pt idx="241">
                  <c:v>22461.231674784805</c:v>
                </c:pt>
                <c:pt idx="242">
                  <c:v>22461.231674784805</c:v>
                </c:pt>
                <c:pt idx="243">
                  <c:v>22461.231674784805</c:v>
                </c:pt>
                <c:pt idx="244">
                  <c:v>22461.231674784805</c:v>
                </c:pt>
                <c:pt idx="245">
                  <c:v>22461.231674784805</c:v>
                </c:pt>
                <c:pt idx="246">
                  <c:v>22461.231674784805</c:v>
                </c:pt>
                <c:pt idx="247">
                  <c:v>22461.231674784805</c:v>
                </c:pt>
                <c:pt idx="248">
                  <c:v>22461.231674784805</c:v>
                </c:pt>
                <c:pt idx="249">
                  <c:v>22461.231674784805</c:v>
                </c:pt>
                <c:pt idx="250">
                  <c:v>22461.231674784805</c:v>
                </c:pt>
                <c:pt idx="251">
                  <c:v>22461.231674784805</c:v>
                </c:pt>
                <c:pt idx="252">
                  <c:v>22461.231674784805</c:v>
                </c:pt>
                <c:pt idx="253">
                  <c:v>22461.231674784805</c:v>
                </c:pt>
                <c:pt idx="254">
                  <c:v>22461.231674784805</c:v>
                </c:pt>
                <c:pt idx="255">
                  <c:v>22461.231674784805</c:v>
                </c:pt>
                <c:pt idx="256">
                  <c:v>22461.231674784805</c:v>
                </c:pt>
                <c:pt idx="257">
                  <c:v>22461.231674784805</c:v>
                </c:pt>
                <c:pt idx="258">
                  <c:v>22461.231674784805</c:v>
                </c:pt>
                <c:pt idx="259">
                  <c:v>22461.231674784805</c:v>
                </c:pt>
                <c:pt idx="260">
                  <c:v>22461.231674784805</c:v>
                </c:pt>
                <c:pt idx="261">
                  <c:v>22461.231674784805</c:v>
                </c:pt>
                <c:pt idx="262">
                  <c:v>22461.231674784805</c:v>
                </c:pt>
                <c:pt idx="263">
                  <c:v>22461.231674784805</c:v>
                </c:pt>
                <c:pt idx="264">
                  <c:v>22461.231674784805</c:v>
                </c:pt>
                <c:pt idx="265">
                  <c:v>22461.231674784805</c:v>
                </c:pt>
                <c:pt idx="266">
                  <c:v>22461.231674784805</c:v>
                </c:pt>
                <c:pt idx="267">
                  <c:v>22461.231674784805</c:v>
                </c:pt>
                <c:pt idx="268">
                  <c:v>22461.231674784805</c:v>
                </c:pt>
                <c:pt idx="269">
                  <c:v>22461.231674784805</c:v>
                </c:pt>
                <c:pt idx="270">
                  <c:v>22461.231674784805</c:v>
                </c:pt>
                <c:pt idx="271">
                  <c:v>22461.231674784805</c:v>
                </c:pt>
                <c:pt idx="272">
                  <c:v>22461.231674784805</c:v>
                </c:pt>
                <c:pt idx="273">
                  <c:v>22461.231674784805</c:v>
                </c:pt>
                <c:pt idx="274">
                  <c:v>22461.231674784805</c:v>
                </c:pt>
                <c:pt idx="275">
                  <c:v>22461.231674784805</c:v>
                </c:pt>
                <c:pt idx="276">
                  <c:v>22461.231674784805</c:v>
                </c:pt>
                <c:pt idx="277">
                  <c:v>22461.231674784805</c:v>
                </c:pt>
                <c:pt idx="278">
                  <c:v>22461.231674784805</c:v>
                </c:pt>
                <c:pt idx="279">
                  <c:v>22461.231674784805</c:v>
                </c:pt>
                <c:pt idx="280">
                  <c:v>22461.231674784805</c:v>
                </c:pt>
                <c:pt idx="281">
                  <c:v>22461.231674784805</c:v>
                </c:pt>
                <c:pt idx="282">
                  <c:v>22461.231674784805</c:v>
                </c:pt>
                <c:pt idx="283">
                  <c:v>22461.231674784805</c:v>
                </c:pt>
                <c:pt idx="284">
                  <c:v>22461.231674784805</c:v>
                </c:pt>
                <c:pt idx="285">
                  <c:v>22461.231674784805</c:v>
                </c:pt>
                <c:pt idx="286">
                  <c:v>22461.231674784805</c:v>
                </c:pt>
                <c:pt idx="287">
                  <c:v>22461.231674784805</c:v>
                </c:pt>
                <c:pt idx="288">
                  <c:v>22461.231674784805</c:v>
                </c:pt>
                <c:pt idx="289">
                  <c:v>22461.231674784805</c:v>
                </c:pt>
                <c:pt idx="290">
                  <c:v>22461.231674784805</c:v>
                </c:pt>
                <c:pt idx="291">
                  <c:v>22461.231674784805</c:v>
                </c:pt>
                <c:pt idx="292">
                  <c:v>22461.231674784805</c:v>
                </c:pt>
                <c:pt idx="293">
                  <c:v>22461.231674784805</c:v>
                </c:pt>
                <c:pt idx="294">
                  <c:v>22461.231674784805</c:v>
                </c:pt>
                <c:pt idx="295">
                  <c:v>22461.231674784805</c:v>
                </c:pt>
                <c:pt idx="296">
                  <c:v>22461.231674784805</c:v>
                </c:pt>
                <c:pt idx="297">
                  <c:v>22461.231674784805</c:v>
                </c:pt>
                <c:pt idx="298">
                  <c:v>22461.231674784805</c:v>
                </c:pt>
                <c:pt idx="299">
                  <c:v>22461.231674784805</c:v>
                </c:pt>
                <c:pt idx="300">
                  <c:v>22461.231674784805</c:v>
                </c:pt>
                <c:pt idx="301">
                  <c:v>22461.231674784805</c:v>
                </c:pt>
                <c:pt idx="302">
                  <c:v>22461.231674784805</c:v>
                </c:pt>
                <c:pt idx="303">
                  <c:v>22461.231674784805</c:v>
                </c:pt>
                <c:pt idx="304">
                  <c:v>22461.231674784805</c:v>
                </c:pt>
                <c:pt idx="305">
                  <c:v>22461.231674784805</c:v>
                </c:pt>
                <c:pt idx="306">
                  <c:v>22461.231674784805</c:v>
                </c:pt>
                <c:pt idx="307">
                  <c:v>22461.231674784805</c:v>
                </c:pt>
                <c:pt idx="308">
                  <c:v>22461.231674784805</c:v>
                </c:pt>
                <c:pt idx="309">
                  <c:v>22461.231674784805</c:v>
                </c:pt>
                <c:pt idx="310">
                  <c:v>22461.231674784805</c:v>
                </c:pt>
                <c:pt idx="311">
                  <c:v>22461.231674784805</c:v>
                </c:pt>
                <c:pt idx="312">
                  <c:v>22461.231674784805</c:v>
                </c:pt>
                <c:pt idx="313">
                  <c:v>22461.231674784805</c:v>
                </c:pt>
                <c:pt idx="314">
                  <c:v>22461.231674784805</c:v>
                </c:pt>
                <c:pt idx="315">
                  <c:v>22461.231674784805</c:v>
                </c:pt>
                <c:pt idx="316">
                  <c:v>22461.231674784805</c:v>
                </c:pt>
                <c:pt idx="317">
                  <c:v>22461.231674784805</c:v>
                </c:pt>
                <c:pt idx="318">
                  <c:v>22461.231674784805</c:v>
                </c:pt>
                <c:pt idx="319">
                  <c:v>22461.231674784805</c:v>
                </c:pt>
                <c:pt idx="320">
                  <c:v>22461.231674784805</c:v>
                </c:pt>
                <c:pt idx="321">
                  <c:v>22461.231674784805</c:v>
                </c:pt>
                <c:pt idx="322">
                  <c:v>22461.231674784805</c:v>
                </c:pt>
                <c:pt idx="323">
                  <c:v>22461.231674784805</c:v>
                </c:pt>
                <c:pt idx="324">
                  <c:v>22461.231674784805</c:v>
                </c:pt>
                <c:pt idx="325">
                  <c:v>22461.231674784805</c:v>
                </c:pt>
                <c:pt idx="326">
                  <c:v>22461.231674784805</c:v>
                </c:pt>
                <c:pt idx="327">
                  <c:v>22461.231674784805</c:v>
                </c:pt>
                <c:pt idx="328">
                  <c:v>22461.231674784805</c:v>
                </c:pt>
                <c:pt idx="329">
                  <c:v>22461.231674784805</c:v>
                </c:pt>
                <c:pt idx="330">
                  <c:v>22461.231674784805</c:v>
                </c:pt>
                <c:pt idx="331">
                  <c:v>22461.231674784805</c:v>
                </c:pt>
                <c:pt idx="332">
                  <c:v>22461.231674784805</c:v>
                </c:pt>
                <c:pt idx="333">
                  <c:v>22461.231674784805</c:v>
                </c:pt>
                <c:pt idx="334">
                  <c:v>22461.231674784805</c:v>
                </c:pt>
                <c:pt idx="335">
                  <c:v>22461.231674784805</c:v>
                </c:pt>
                <c:pt idx="336">
                  <c:v>22461.231674784805</c:v>
                </c:pt>
                <c:pt idx="337">
                  <c:v>22461.231674784805</c:v>
                </c:pt>
                <c:pt idx="338">
                  <c:v>22461.231674784805</c:v>
                </c:pt>
                <c:pt idx="339">
                  <c:v>22461.231674784805</c:v>
                </c:pt>
                <c:pt idx="340">
                  <c:v>22461.231674784805</c:v>
                </c:pt>
                <c:pt idx="341">
                  <c:v>22461.231674784805</c:v>
                </c:pt>
                <c:pt idx="342">
                  <c:v>22461.231674784805</c:v>
                </c:pt>
                <c:pt idx="343">
                  <c:v>22461.231674784805</c:v>
                </c:pt>
                <c:pt idx="344">
                  <c:v>22461.231674784805</c:v>
                </c:pt>
                <c:pt idx="345">
                  <c:v>22461.231674784805</c:v>
                </c:pt>
                <c:pt idx="346">
                  <c:v>22461.231674784805</c:v>
                </c:pt>
                <c:pt idx="347">
                  <c:v>22461.231674784805</c:v>
                </c:pt>
                <c:pt idx="348">
                  <c:v>22461.231674784805</c:v>
                </c:pt>
                <c:pt idx="349">
                  <c:v>22461.231674784805</c:v>
                </c:pt>
                <c:pt idx="350">
                  <c:v>22461.231674784805</c:v>
                </c:pt>
                <c:pt idx="351">
                  <c:v>22461.231674784805</c:v>
                </c:pt>
                <c:pt idx="352">
                  <c:v>22461.231674784805</c:v>
                </c:pt>
                <c:pt idx="353">
                  <c:v>22461.231674784805</c:v>
                </c:pt>
                <c:pt idx="354">
                  <c:v>22461.231674784805</c:v>
                </c:pt>
                <c:pt idx="355">
                  <c:v>22461.231674784805</c:v>
                </c:pt>
                <c:pt idx="356">
                  <c:v>22461.231674784805</c:v>
                </c:pt>
                <c:pt idx="357">
                  <c:v>22461.231674784805</c:v>
                </c:pt>
                <c:pt idx="358">
                  <c:v>22461.231674784805</c:v>
                </c:pt>
                <c:pt idx="359">
                  <c:v>22461.231674784805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17-4412-BBAD-54F5FE6DF64A}"/>
            </c:ext>
          </c:extLst>
        </c:ser>
        <c:ser>
          <c:idx val="2"/>
          <c:order val="2"/>
          <c:tx>
            <c:strRef>
              <c:f>'Remaining debt'!$E$2</c:f>
              <c:strCache>
                <c:ptCount val="1"/>
                <c:pt idx="0">
                  <c:v> Interest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'Remaining debt'!$B$4:$B$501</c:f>
              <c:strCach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strCache>
            </c:strRef>
          </c:xVal>
          <c:yVal>
            <c:numRef>
              <c:f>'Remaining debt'!$E$4:$E$501</c:f>
              <c:numCache>
                <c:formatCode>_(* #,##0.00_);_(* \(#,##0.00\);_(* "-"??_);_(@_)</c:formatCode>
                <c:ptCount val="498"/>
                <c:pt idx="0">
                  <c:v>18000</c:v>
                </c:pt>
                <c:pt idx="1">
                  <c:v>17979.924457463469</c:v>
                </c:pt>
                <c:pt idx="2">
                  <c:v>17959.758574985524</c:v>
                </c:pt>
                <c:pt idx="3">
                  <c:v>17939.501946036424</c:v>
                </c:pt>
                <c:pt idx="4">
                  <c:v>17919.154162257055</c:v>
                </c:pt>
                <c:pt idx="5">
                  <c:v>17898.714813450682</c:v>
                </c:pt>
                <c:pt idx="6">
                  <c:v>17878.183487574679</c:v>
                </c:pt>
                <c:pt idx="7">
                  <c:v>17857.559770732234</c:v>
                </c:pt>
                <c:pt idx="8">
                  <c:v>17836.843247163994</c:v>
                </c:pt>
                <c:pt idx="9">
                  <c:v>17816.0334992397</c:v>
                </c:pt>
                <c:pt idx="10">
                  <c:v>17795.13010744975</c:v>
                </c:pt>
                <c:pt idx="11">
                  <c:v>17774.132650396739</c:v>
                </c:pt>
                <c:pt idx="12">
                  <c:v>17753.040704786996</c:v>
                </c:pt>
                <c:pt idx="13">
                  <c:v>17731.853845422003</c:v>
                </c:pt>
                <c:pt idx="14">
                  <c:v>17710.571645189873</c:v>
                </c:pt>
                <c:pt idx="15">
                  <c:v>17689.193675056697</c:v>
                </c:pt>
                <c:pt idx="16">
                  <c:v>17667.719504057921</c:v>
                </c:pt>
                <c:pt idx="17">
                  <c:v>17646.14869928965</c:v>
                </c:pt>
                <c:pt idx="18">
                  <c:v>17624.480825899918</c:v>
                </c:pt>
                <c:pt idx="19">
                  <c:v>17602.71544707994</c:v>
                </c:pt>
                <c:pt idx="20">
                  <c:v>17580.852124055265</c:v>
                </c:pt>
                <c:pt idx="21">
                  <c:v>17558.890416076985</c:v>
                </c:pt>
                <c:pt idx="22">
                  <c:v>17536.829880412799</c:v>
                </c:pt>
                <c:pt idx="23">
                  <c:v>17514.670072338125</c:v>
                </c:pt>
                <c:pt idx="24">
                  <c:v>17492.410545127113</c:v>
                </c:pt>
                <c:pt idx="25">
                  <c:v>17470.050850043652</c:v>
                </c:pt>
                <c:pt idx="26">
                  <c:v>17447.590536332318</c:v>
                </c:pt>
                <c:pt idx="27">
                  <c:v>17425.029151209281</c:v>
                </c:pt>
                <c:pt idx="28">
                  <c:v>17402.366239853192</c:v>
                </c:pt>
                <c:pt idx="29">
                  <c:v>17379.601345396</c:v>
                </c:pt>
                <c:pt idx="30">
                  <c:v>17356.734008913751</c:v>
                </c:pt>
                <c:pt idx="31">
                  <c:v>17333.763769417328</c:v>
                </c:pt>
                <c:pt idx="32">
                  <c:v>17310.690163843177</c:v>
                </c:pt>
                <c:pt idx="33">
                  <c:v>17287.512727043941</c:v>
                </c:pt>
                <c:pt idx="34">
                  <c:v>17264.23099177911</c:v>
                </c:pt>
                <c:pt idx="35">
                  <c:v>17240.844488705581</c:v>
                </c:pt>
                <c:pt idx="36">
                  <c:v>17217.352746368222</c:v>
                </c:pt>
                <c:pt idx="37">
                  <c:v>17193.755291190351</c:v>
                </c:pt>
                <c:pt idx="38">
                  <c:v>17170.051647464174</c:v>
                </c:pt>
                <c:pt idx="39">
                  <c:v>17146.241337341235</c:v>
                </c:pt>
                <c:pt idx="40">
                  <c:v>17122.323880822736</c:v>
                </c:pt>
                <c:pt idx="41">
                  <c:v>17098.29879574991</c:v>
                </c:pt>
                <c:pt idx="42">
                  <c:v>17074.165597794254</c:v>
                </c:pt>
                <c:pt idx="43">
                  <c:v>17049.923800447792</c:v>
                </c:pt>
                <c:pt idx="44">
                  <c:v>17025.572915013279</c:v>
                </c:pt>
                <c:pt idx="45">
                  <c:v>17001.112450594308</c:v>
                </c:pt>
                <c:pt idx="46">
                  <c:v>16976.541914085446</c:v>
                </c:pt>
                <c:pt idx="47">
                  <c:v>16951.860810162299</c:v>
                </c:pt>
                <c:pt idx="48">
                  <c:v>16927.0686412715</c:v>
                </c:pt>
                <c:pt idx="49">
                  <c:v>16902.164907620692</c:v>
                </c:pt>
                <c:pt idx="50">
                  <c:v>16877.149107168454</c:v>
                </c:pt>
                <c:pt idx="51">
                  <c:v>16852.02073561418</c:v>
                </c:pt>
                <c:pt idx="52">
                  <c:v>16826.779286387911</c:v>
                </c:pt>
                <c:pt idx="53">
                  <c:v>16801.424250640124</c:v>
                </c:pt>
                <c:pt idx="54">
                  <c:v>16775.955117231471</c:v>
                </c:pt>
                <c:pt idx="55">
                  <c:v>16750.371372722482</c:v>
                </c:pt>
                <c:pt idx="56">
                  <c:v>16724.672501363202</c:v>
                </c:pt>
                <c:pt idx="57">
                  <c:v>16698.857985082806</c:v>
                </c:pt>
                <c:pt idx="58">
                  <c:v>16672.927303479148</c:v>
                </c:pt>
                <c:pt idx="59">
                  <c:v>16646.879933808272</c:v>
                </c:pt>
                <c:pt idx="60">
                  <c:v>16620.715350973878</c:v>
                </c:pt>
                <c:pt idx="61">
                  <c:v>16594.433027516727</c:v>
                </c:pt>
                <c:pt idx="62">
                  <c:v>16568.032433604021</c:v>
                </c:pt>
                <c:pt idx="63">
                  <c:v>16541.513037018707</c:v>
                </c:pt>
                <c:pt idx="64">
                  <c:v>16514.874303148757</c:v>
                </c:pt>
                <c:pt idx="65">
                  <c:v>16488.115694976397</c:v>
                </c:pt>
                <c:pt idx="66">
                  <c:v>16461.236673067258</c:v>
                </c:pt>
                <c:pt idx="67">
                  <c:v>16434.236695559532</c:v>
                </c:pt>
                <c:pt idx="68">
                  <c:v>16407.115218153016</c:v>
                </c:pt>
                <c:pt idx="69">
                  <c:v>16379.871694098176</c:v>
                </c:pt>
                <c:pt idx="70">
                  <c:v>16352.505574185087</c:v>
                </c:pt>
                <c:pt idx="71">
                  <c:v>16325.016306732387</c:v>
                </c:pt>
                <c:pt idx="72">
                  <c:v>16297.40333757615</c:v>
                </c:pt>
                <c:pt idx="73">
                  <c:v>16269.66611005871</c:v>
                </c:pt>
                <c:pt idx="74">
                  <c:v>16241.804065017443</c:v>
                </c:pt>
                <c:pt idx="75">
                  <c:v>16213.81664077349</c:v>
                </c:pt>
                <c:pt idx="76">
                  <c:v>16185.703273120438</c:v>
                </c:pt>
                <c:pt idx="77">
                  <c:v>16157.463395312947</c:v>
                </c:pt>
                <c:pt idx="78">
                  <c:v>16129.096438055325</c:v>
                </c:pt>
                <c:pt idx="79">
                  <c:v>16100.601829490042</c:v>
                </c:pt>
                <c:pt idx="80">
                  <c:v>16071.978995186217</c:v>
                </c:pt>
                <c:pt idx="81">
                  <c:v>16043.227358128024</c:v>
                </c:pt>
                <c:pt idx="82">
                  <c:v>16014.346338703066</c:v>
                </c:pt>
                <c:pt idx="83">
                  <c:v>15985.3353546907</c:v>
                </c:pt>
                <c:pt idx="84">
                  <c:v>15956.193821250277</c:v>
                </c:pt>
                <c:pt idx="85">
                  <c:v>15926.921150909371</c:v>
                </c:pt>
                <c:pt idx="86">
                  <c:v>15897.51675355193</c:v>
                </c:pt>
                <c:pt idx="87">
                  <c:v>15867.980036406385</c:v>
                </c:pt>
                <c:pt idx="88">
                  <c:v>15838.310404033682</c:v>
                </c:pt>
                <c:pt idx="89">
                  <c:v>15808.507258315301</c:v>
                </c:pt>
                <c:pt idx="90">
                  <c:v>15778.569998441189</c:v>
                </c:pt>
                <c:pt idx="91">
                  <c:v>15748.498020897643</c:v>
                </c:pt>
                <c:pt idx="92">
                  <c:v>15718.29071945515</c:v>
                </c:pt>
                <c:pt idx="93">
                  <c:v>15687.947485156166</c:v>
                </c:pt>
                <c:pt idx="94">
                  <c:v>15657.467706302838</c:v>
                </c:pt>
                <c:pt idx="95">
                  <c:v>15626.850768444669</c:v>
                </c:pt>
                <c:pt idx="96">
                  <c:v>15596.096054366137</c:v>
                </c:pt>
                <c:pt idx="97">
                  <c:v>15565.202944074255</c:v>
                </c:pt>
                <c:pt idx="98">
                  <c:v>15534.170814786057</c:v>
                </c:pt>
                <c:pt idx="99">
                  <c:v>15502.999040916062</c:v>
                </c:pt>
                <c:pt idx="100">
                  <c:v>15471.686994063653</c:v>
                </c:pt>
                <c:pt idx="101">
                  <c:v>15440.23404300041</c:v>
                </c:pt>
                <c:pt idx="102">
                  <c:v>15408.639553657378</c:v>
                </c:pt>
                <c:pt idx="103">
                  <c:v>15376.902889112303</c:v>
                </c:pt>
                <c:pt idx="104">
                  <c:v>15345.023409576779</c:v>
                </c:pt>
                <c:pt idx="105">
                  <c:v>15313.000472383343</c:v>
                </c:pt>
                <c:pt idx="106">
                  <c:v>15280.833431972535</c:v>
                </c:pt>
                <c:pt idx="107">
                  <c:v>15248.52163987988</c:v>
                </c:pt>
                <c:pt idx="108">
                  <c:v>15216.06444472281</c:v>
                </c:pt>
                <c:pt idx="109">
                  <c:v>15183.461192187528</c:v>
                </c:pt>
                <c:pt idx="110">
                  <c:v>15150.711225015841</c:v>
                </c:pt>
                <c:pt idx="111">
                  <c:v>15117.813882991881</c:v>
                </c:pt>
                <c:pt idx="112">
                  <c:v>15084.768502928811</c:v>
                </c:pt>
                <c:pt idx="113">
                  <c:v>15051.574418655458</c:v>
                </c:pt>
                <c:pt idx="114">
                  <c:v>15018.230961002877</c:v>
                </c:pt>
                <c:pt idx="115">
                  <c:v>14984.737457790861</c:v>
                </c:pt>
                <c:pt idx="116">
                  <c:v>14951.093233814388</c:v>
                </c:pt>
                <c:pt idx="117">
                  <c:v>14917.297610830021</c:v>
                </c:pt>
                <c:pt idx="118">
                  <c:v>14883.349907542224</c:v>
                </c:pt>
                <c:pt idx="119">
                  <c:v>14849.249439589634</c:v>
                </c:pt>
                <c:pt idx="120">
                  <c:v>14814.995519531252</c:v>
                </c:pt>
                <c:pt idx="121">
                  <c:v>14780.587456832613</c:v>
                </c:pt>
                <c:pt idx="122">
                  <c:v>14746.02455785183</c:v>
                </c:pt>
                <c:pt idx="123">
                  <c:v>14711.306125825629</c:v>
                </c:pt>
                <c:pt idx="124">
                  <c:v>14676.431460855316</c:v>
                </c:pt>
                <c:pt idx="125">
                  <c:v>14641.399859892634</c:v>
                </c:pt>
                <c:pt idx="126">
                  <c:v>14606.210616725619</c:v>
                </c:pt>
                <c:pt idx="127">
                  <c:v>14570.863021964351</c:v>
                </c:pt>
                <c:pt idx="128">
                  <c:v>14535.356363026658</c:v>
                </c:pt>
                <c:pt idx="129">
                  <c:v>14499.689924123746</c:v>
                </c:pt>
                <c:pt idx="130">
                  <c:v>14463.862986245773</c:v>
                </c:pt>
                <c:pt idx="131">
                  <c:v>14427.874827147345</c:v>
                </c:pt>
                <c:pt idx="132">
                  <c:v>14391.724721332977</c:v>
                </c:pt>
                <c:pt idx="133">
                  <c:v>14355.411940042444</c:v>
                </c:pt>
                <c:pt idx="134">
                  <c:v>14318.935751236104</c:v>
                </c:pt>
                <c:pt idx="135">
                  <c:v>14282.295419580134</c:v>
                </c:pt>
                <c:pt idx="136">
                  <c:v>14245.490206431714</c:v>
                </c:pt>
                <c:pt idx="137">
                  <c:v>14208.519369824126</c:v>
                </c:pt>
                <c:pt idx="138">
                  <c:v>14171.382164451803</c:v>
                </c:pt>
                <c:pt idx="139">
                  <c:v>14134.077841655302</c:v>
                </c:pt>
                <c:pt idx="140">
                  <c:v>14096.605649406221</c:v>
                </c:pt>
                <c:pt idx="141">
                  <c:v>14058.964832292017</c:v>
                </c:pt>
                <c:pt idx="142">
                  <c:v>14021.1546315008</c:v>
                </c:pt>
                <c:pt idx="143">
                  <c:v>13983.174284806018</c:v>
                </c:pt>
                <c:pt idx="144">
                  <c:v>13945.023026551115</c:v>
                </c:pt>
                <c:pt idx="145">
                  <c:v>13906.700087634063</c:v>
                </c:pt>
                <c:pt idx="146">
                  <c:v>13868.204695491884</c:v>
                </c:pt>
                <c:pt idx="147">
                  <c:v>13829.536074085068</c:v>
                </c:pt>
                <c:pt idx="148">
                  <c:v>13790.693443881921</c:v>
                </c:pt>
                <c:pt idx="149">
                  <c:v>13751.676021842855</c:v>
                </c:pt>
                <c:pt idx="150">
                  <c:v>13712.483021404616</c:v>
                </c:pt>
                <c:pt idx="151">
                  <c:v>13673.113652464404</c:v>
                </c:pt>
                <c:pt idx="152">
                  <c:v>13633.567121363965</c:v>
                </c:pt>
                <c:pt idx="153">
                  <c:v>13593.842630873572</c:v>
                </c:pt>
                <c:pt idx="154">
                  <c:v>13553.939380175971</c:v>
                </c:pt>
                <c:pt idx="155">
                  <c:v>13513.856564850232</c:v>
                </c:pt>
                <c:pt idx="156">
                  <c:v>13473.593376855524</c:v>
                </c:pt>
                <c:pt idx="157">
                  <c:v>13433.14900451484</c:v>
                </c:pt>
                <c:pt idx="158">
                  <c:v>13392.522632498627</c:v>
                </c:pt>
                <c:pt idx="159">
                  <c:v>13351.713441808339</c:v>
                </c:pt>
                <c:pt idx="160">
                  <c:v>13310.720609759946</c:v>
                </c:pt>
                <c:pt idx="161">
                  <c:v>13269.543309967334</c:v>
                </c:pt>
                <c:pt idx="162">
                  <c:v>13228.180712325657</c:v>
                </c:pt>
                <c:pt idx="163">
                  <c:v>13186.631982994588</c:v>
                </c:pt>
                <c:pt idx="164">
                  <c:v>13144.896284381533</c:v>
                </c:pt>
                <c:pt idx="165">
                  <c:v>13102.972775124719</c:v>
                </c:pt>
                <c:pt idx="166">
                  <c:v>13060.860610076246</c:v>
                </c:pt>
                <c:pt idx="167">
                  <c:v>13018.558940285058</c:v>
                </c:pt>
                <c:pt idx="168">
                  <c:v>12976.06691297981</c:v>
                </c:pt>
                <c:pt idx="169">
                  <c:v>12933.383671551686</c:v>
                </c:pt>
                <c:pt idx="170">
                  <c:v>12890.508355537137</c:v>
                </c:pt>
                <c:pt idx="171">
                  <c:v>12847.440100600521</c:v>
                </c:pt>
                <c:pt idx="172">
                  <c:v>12804.178038516691</c:v>
                </c:pt>
                <c:pt idx="173">
                  <c:v>12760.721297153485</c:v>
                </c:pt>
                <c:pt idx="174">
                  <c:v>12717.069000454141</c:v>
                </c:pt>
                <c:pt idx="175">
                  <c:v>12673.220268419655</c:v>
                </c:pt>
                <c:pt idx="176">
                  <c:v>12629.174217091009</c:v>
                </c:pt>
                <c:pt idx="177">
                  <c:v>12584.929958531387</c:v>
                </c:pt>
                <c:pt idx="178">
                  <c:v>12540.486600808246</c:v>
                </c:pt>
                <c:pt idx="179">
                  <c:v>12495.843247975354</c:v>
                </c:pt>
                <c:pt idx="180">
                  <c:v>12450.99900005471</c:v>
                </c:pt>
                <c:pt idx="181">
                  <c:v>12405.952953018425</c:v>
                </c:pt>
                <c:pt idx="182">
                  <c:v>12360.704198770474</c:v>
                </c:pt>
                <c:pt idx="183">
                  <c:v>12315.251825128413</c:v>
                </c:pt>
                <c:pt idx="184">
                  <c:v>12269.594915804957</c:v>
                </c:pt>
                <c:pt idx="185">
                  <c:v>12223.732550389548</c:v>
                </c:pt>
                <c:pt idx="186">
                  <c:v>12177.66380432977</c:v>
                </c:pt>
                <c:pt idx="187">
                  <c:v>12131.387748912724</c:v>
                </c:pt>
                <c:pt idx="188">
                  <c:v>12084.903451246299</c:v>
                </c:pt>
                <c:pt idx="189">
                  <c:v>12038.209974240375</c:v>
                </c:pt>
                <c:pt idx="190">
                  <c:v>11991.306376587927</c:v>
                </c:pt>
                <c:pt idx="191">
                  <c:v>11944.19171274604</c:v>
                </c:pt>
                <c:pt idx="192">
                  <c:v>11896.865032916867</c:v>
                </c:pt>
                <c:pt idx="193">
                  <c:v>11849.325383028459</c:v>
                </c:pt>
                <c:pt idx="194">
                  <c:v>11801.571804715559</c:v>
                </c:pt>
                <c:pt idx="195">
                  <c:v>11753.603335300244</c:v>
                </c:pt>
                <c:pt idx="196">
                  <c:v>11705.419007772565</c:v>
                </c:pt>
                <c:pt idx="197">
                  <c:v>11657.01785077101</c:v>
                </c:pt>
                <c:pt idx="198">
                  <c:v>11608.39888856295</c:v>
                </c:pt>
                <c:pt idx="199">
                  <c:v>11559.561141024949</c:v>
                </c:pt>
                <c:pt idx="200">
                  <c:v>11510.50362362303</c:v>
                </c:pt>
                <c:pt idx="201">
                  <c:v>11461.225347392801</c:v>
                </c:pt>
                <c:pt idx="202">
                  <c:v>11411.725318919538</c:v>
                </c:pt>
                <c:pt idx="203">
                  <c:v>11362.002540318143</c:v>
                </c:pt>
                <c:pt idx="204">
                  <c:v>11312.056009213042</c:v>
                </c:pt>
                <c:pt idx="205">
                  <c:v>11261.884718717971</c:v>
                </c:pt>
                <c:pt idx="206">
                  <c:v>11211.487657415668</c:v>
                </c:pt>
                <c:pt idx="207">
                  <c:v>11160.86380933751</c:v>
                </c:pt>
                <c:pt idx="208">
                  <c:v>11110.012153942995</c:v>
                </c:pt>
                <c:pt idx="209">
                  <c:v>11058.931666099206</c:v>
                </c:pt>
                <c:pt idx="210">
                  <c:v>11007.62131606012</c:v>
                </c:pt>
                <c:pt idx="211">
                  <c:v>10956.080069445859</c:v>
                </c:pt>
                <c:pt idx="212">
                  <c:v>10904.306887221835</c:v>
                </c:pt>
                <c:pt idx="213">
                  <c:v>10852.300725677802</c:v>
                </c:pt>
                <c:pt idx="214">
                  <c:v>10800.060536406821</c:v>
                </c:pt>
                <c:pt idx="215">
                  <c:v>10747.585266284121</c:v>
                </c:pt>
                <c:pt idx="216">
                  <c:v>10694.873857445868</c:v>
                </c:pt>
                <c:pt idx="217">
                  <c:v>10641.925247267844</c:v>
                </c:pt>
                <c:pt idx="218">
                  <c:v>10588.738368344018</c:v>
                </c:pt>
                <c:pt idx="219">
                  <c:v>10535.312148465035</c:v>
                </c:pt>
                <c:pt idx="220">
                  <c:v>10481.645510596594</c:v>
                </c:pt>
                <c:pt idx="221">
                  <c:v>10427.737372857748</c:v>
                </c:pt>
                <c:pt idx="222">
                  <c:v>10373.586648499075</c:v>
                </c:pt>
                <c:pt idx="223">
                  <c:v>10319.192245880789</c:v>
                </c:pt>
                <c:pt idx="224">
                  <c:v>10264.553068450721</c:v>
                </c:pt>
                <c:pt idx="225">
                  <c:v>10209.668014722218</c:v>
                </c:pt>
                <c:pt idx="226">
                  <c:v>10154.535978251935</c:v>
                </c:pt>
                <c:pt idx="227">
                  <c:v>10099.15584761754</c:v>
                </c:pt>
                <c:pt idx="228">
                  <c:v>10043.526506395287</c:v>
                </c:pt>
                <c:pt idx="229">
                  <c:v>9987.6468331375327</c:v>
                </c:pt>
                <c:pt idx="230">
                  <c:v>9931.5157013501212</c:v>
                </c:pt>
                <c:pt idx="231">
                  <c:v>9875.1319794696647</c:v>
                </c:pt>
                <c:pt idx="232">
                  <c:v>9818.4945308407459</c:v>
                </c:pt>
                <c:pt idx="233">
                  <c:v>9761.6022136929987</c:v>
                </c:pt>
                <c:pt idx="234">
                  <c:v>9704.4538811180846</c:v>
                </c:pt>
                <c:pt idx="235">
                  <c:v>9647.0483810465848</c:v>
                </c:pt>
                <c:pt idx="236">
                  <c:v>9589.3845562247607</c:v>
                </c:pt>
                <c:pt idx="237">
                  <c:v>9531.4612441912413</c:v>
                </c:pt>
                <c:pt idx="238">
                  <c:v>9473.2772772535682</c:v>
                </c:pt>
                <c:pt idx="239">
                  <c:v>9414.8314824646786</c:v>
                </c:pt>
                <c:pt idx="240">
                  <c:v>9356.1226815992377</c:v>
                </c:pt>
                <c:pt idx="241">
                  <c:v>9297.1496911299018</c:v>
                </c:pt>
                <c:pt idx="242">
                  <c:v>9237.9113222034557</c:v>
                </c:pt>
                <c:pt idx="243">
                  <c:v>9178.4063806168397</c:v>
                </c:pt>
                <c:pt idx="244">
                  <c:v>9118.6336667930827</c:v>
                </c:pt>
                <c:pt idx="245">
                  <c:v>9058.591975757121</c:v>
                </c:pt>
                <c:pt idx="246">
                  <c:v>8998.2800971114975</c:v>
                </c:pt>
                <c:pt idx="247">
                  <c:v>8937.6968150119665</c:v>
                </c:pt>
                <c:pt idx="248">
                  <c:v>8876.8409081429909</c:v>
                </c:pt>
                <c:pt idx="249">
                  <c:v>8815.7111496931011</c:v>
                </c:pt>
                <c:pt idx="250">
                  <c:v>8754.3063073301892</c:v>
                </c:pt>
                <c:pt idx="251">
                  <c:v>8692.6251431766432</c:v>
                </c:pt>
                <c:pt idx="252">
                  <c:v>8630.6664137844073</c:v>
                </c:pt>
                <c:pt idx="253">
                  <c:v>8568.4288701099049</c:v>
                </c:pt>
                <c:pt idx="254">
                  <c:v>8505.9112574888677</c:v>
                </c:pt>
                <c:pt idx="255">
                  <c:v>8443.1123156110352</c:v>
                </c:pt>
                <c:pt idx="256">
                  <c:v>8380.0307784947545</c:v>
                </c:pt>
                <c:pt idx="257">
                  <c:v>8316.6653744614487</c:v>
                </c:pt>
                <c:pt idx="258">
                  <c:v>8253.014826109993</c:v>
                </c:pt>
                <c:pt idx="259">
                  <c:v>8189.077850290957</c:v>
                </c:pt>
                <c:pt idx="260">
                  <c:v>8124.8531580807348</c:v>
                </c:pt>
                <c:pt idx="261">
                  <c:v>8060.3394547555663</c:v>
                </c:pt>
                <c:pt idx="262">
                  <c:v>7995.5354397654346</c:v>
                </c:pt>
                <c:pt idx="263">
                  <c:v>7930.4398067078473</c:v>
                </c:pt>
                <c:pt idx="264">
                  <c:v>7865.0512433015019</c:v>
                </c:pt>
                <c:pt idx="265">
                  <c:v>7799.3684313598269</c:v>
                </c:pt>
                <c:pt idx="266">
                  <c:v>7733.3900467644135</c:v>
                </c:pt>
                <c:pt idx="267">
                  <c:v>7667.1147594383219</c:v>
                </c:pt>
                <c:pt idx="268">
                  <c:v>7600.5412333192626</c:v>
                </c:pt>
                <c:pt idx="269">
                  <c:v>7533.6681263326682</c:v>
                </c:pt>
                <c:pt idx="270">
                  <c:v>7466.4940903646338</c:v>
                </c:pt>
                <c:pt idx="271">
                  <c:v>7399.0177712347422</c:v>
                </c:pt>
                <c:pt idx="272">
                  <c:v>7331.2378086687668</c:v>
                </c:pt>
                <c:pt idx="273">
                  <c:v>7263.1528362712452</c:v>
                </c:pt>
                <c:pt idx="274">
                  <c:v>7194.7614814979343</c:v>
                </c:pt>
                <c:pt idx="275">
                  <c:v>7126.0623656281432</c:v>
                </c:pt>
                <c:pt idx="276">
                  <c:v>7057.0541037369376</c:v>
                </c:pt>
                <c:pt idx="277">
                  <c:v>6987.7353046672224</c:v>
                </c:pt>
                <c:pt idx="278">
                  <c:v>6918.1045710016924</c:v>
                </c:pt>
                <c:pt idx="279">
                  <c:v>6848.1604990346686</c:v>
                </c:pt>
                <c:pt idx="280">
                  <c:v>6777.901678743794</c:v>
                </c:pt>
                <c:pt idx="281">
                  <c:v>6707.326693761609</c:v>
                </c:pt>
                <c:pt idx="282">
                  <c:v>6636.4341213470043</c:v>
                </c:pt>
                <c:pt idx="283">
                  <c:v>6565.2225323565353</c:v>
                </c:pt>
                <c:pt idx="284">
                  <c:v>6493.6904912156087</c:v>
                </c:pt>
                <c:pt idx="285">
                  <c:v>6421.8365558895466</c:v>
                </c:pt>
                <c:pt idx="286">
                  <c:v>6349.6592778545173</c:v>
                </c:pt>
                <c:pt idx="287">
                  <c:v>6277.1572020683316</c:v>
                </c:pt>
                <c:pt idx="288">
                  <c:v>6204.3288669411077</c:v>
                </c:pt>
                <c:pt idx="289">
                  <c:v>6131.1728043058101</c:v>
                </c:pt>
                <c:pt idx="290">
                  <c:v>6057.6875393886548</c:v>
                </c:pt>
                <c:pt idx="291">
                  <c:v>5983.871590779373</c:v>
                </c:pt>
                <c:pt idx="292">
                  <c:v>5909.723470401349</c:v>
                </c:pt>
                <c:pt idx="293">
                  <c:v>5835.2416834816222</c:v>
                </c:pt>
                <c:pt idx="294">
                  <c:v>5760.4247285207575</c:v>
                </c:pt>
                <c:pt idx="295">
                  <c:v>5685.2710972625691</c:v>
                </c:pt>
                <c:pt idx="296">
                  <c:v>5609.7792746637197</c:v>
                </c:pt>
                <c:pt idx="297">
                  <c:v>5533.947738863174</c:v>
                </c:pt>
                <c:pt idx="298">
                  <c:v>5457.7749611515264</c:v>
                </c:pt>
                <c:pt idx="299">
                  <c:v>5381.2594059401763</c:v>
                </c:pt>
                <c:pt idx="300">
                  <c:v>5304.3995307303749</c:v>
                </c:pt>
                <c:pt idx="301">
                  <c:v>5227.1937860821299</c:v>
                </c:pt>
                <c:pt idx="302">
                  <c:v>5149.6406155829682</c:v>
                </c:pt>
                <c:pt idx="303">
                  <c:v>5071.7384558165595</c:v>
                </c:pt>
                <c:pt idx="304">
                  <c:v>4993.485736331203</c:v>
                </c:pt>
                <c:pt idx="305">
                  <c:v>4914.8808796081621</c:v>
                </c:pt>
                <c:pt idx="306">
                  <c:v>4835.9223010298674</c:v>
                </c:pt>
                <c:pt idx="307">
                  <c:v>4756.6084088479702</c:v>
                </c:pt>
                <c:pt idx="308">
                  <c:v>4676.9376041512542</c:v>
                </c:pt>
                <c:pt idx="309">
                  <c:v>4596.9082808334024</c:v>
                </c:pt>
                <c:pt idx="310">
                  <c:v>4516.5188255606217</c:v>
                </c:pt>
                <c:pt idx="311">
                  <c:v>4435.7676177391122</c:v>
                </c:pt>
                <c:pt idx="312">
                  <c:v>4354.653029482407</c:v>
                </c:pt>
                <c:pt idx="313">
                  <c:v>4273.1734255785459</c:v>
                </c:pt>
                <c:pt idx="314">
                  <c:v>4191.3271634571174</c:v>
                </c:pt>
                <c:pt idx="315">
                  <c:v>4109.1125931561428</c:v>
                </c:pt>
                <c:pt idx="316">
                  <c:v>4026.5280572888137</c:v>
                </c:pt>
                <c:pt idx="317">
                  <c:v>3943.5718910100823</c:v>
                </c:pt>
                <c:pt idx="318">
                  <c:v>3860.2424219830959</c:v>
                </c:pt>
                <c:pt idx="319">
                  <c:v>3776.5379703454878</c:v>
                </c:pt>
                <c:pt idx="320">
                  <c:v>3692.4568486755111</c:v>
                </c:pt>
                <c:pt idx="321">
                  <c:v>3607.9973619580192</c:v>
                </c:pt>
                <c:pt idx="322">
                  <c:v>3523.1578075502989</c:v>
                </c:pt>
                <c:pt idx="323">
                  <c:v>3437.9364751477437</c:v>
                </c:pt>
                <c:pt idx="324">
                  <c:v>3352.3316467493769</c:v>
                </c:pt>
                <c:pt idx="325">
                  <c:v>3266.3415966232174</c:v>
                </c:pt>
                <c:pt idx="326">
                  <c:v>3179.96459127149</c:v>
                </c:pt>
                <c:pt idx="327">
                  <c:v>3093.1988893956805</c:v>
                </c:pt>
                <c:pt idx="328">
                  <c:v>3006.042741861429</c:v>
                </c:pt>
                <c:pt idx="329">
                  <c:v>2918.4943916632742</c:v>
                </c:pt>
                <c:pt idx="330">
                  <c:v>2830.5520738892269</c:v>
                </c:pt>
                <c:pt idx="331">
                  <c:v>2742.2140156851965</c:v>
                </c:pt>
                <c:pt idx="332">
                  <c:v>2653.4784362192481</c:v>
                </c:pt>
                <c:pt idx="333">
                  <c:v>2564.3435466457036</c:v>
                </c:pt>
                <c:pt idx="334">
                  <c:v>2474.8075500690775</c:v>
                </c:pt>
                <c:pt idx="335">
                  <c:v>2384.8686415078569</c:v>
                </c:pt>
                <c:pt idx="336">
                  <c:v>2294.5250078581107</c:v>
                </c:pt>
                <c:pt idx="337">
                  <c:v>2203.7748278569406</c:v>
                </c:pt>
                <c:pt idx="338">
                  <c:v>2112.6162720457651</c:v>
                </c:pt>
                <c:pt idx="339">
                  <c:v>2021.0475027334396</c:v>
                </c:pt>
                <c:pt idx="340">
                  <c:v>1929.0666739592082</c:v>
                </c:pt>
                <c:pt idx="341">
                  <c:v>1836.6719314554932</c:v>
                </c:pt>
                <c:pt idx="342">
                  <c:v>1743.8614126105113</c:v>
                </c:pt>
                <c:pt idx="343">
                  <c:v>1650.633246430727</c:v>
                </c:pt>
                <c:pt idx="344">
                  <c:v>1556.9855535031338</c:v>
                </c:pt>
                <c:pt idx="345">
                  <c:v>1462.9164459573665</c:v>
                </c:pt>
                <c:pt idx="346">
                  <c:v>1368.4240274276428</c:v>
                </c:pt>
                <c:pt idx="347">
                  <c:v>1273.5063930145357</c:v>
                </c:pt>
                <c:pt idx="348">
                  <c:v>1178.1616292465694</c:v>
                </c:pt>
                <c:pt idx="349">
                  <c:v>1082.3878140416473</c:v>
                </c:pt>
                <c:pt idx="350">
                  <c:v>986.18301666830303</c:v>
                </c:pt>
                <c:pt idx="351">
                  <c:v>889.54529770677891</c:v>
                </c:pt>
                <c:pt idx="352">
                  <c:v>792.47270900992771</c:v>
                </c:pt>
                <c:pt idx="353">
                  <c:v>694.96329366394082</c:v>
                </c:pt>
                <c:pt idx="354">
                  <c:v>597.01508594889685</c:v>
                </c:pt>
                <c:pt idx="355">
                  <c:v>498.62611129913535</c:v>
                </c:pt>
                <c:pt idx="356">
                  <c:v>399.79438626344978</c:v>
                </c:pt>
                <c:pt idx="357">
                  <c:v>300.51791846510372</c:v>
                </c:pt>
                <c:pt idx="358">
                  <c:v>200.79470656166504</c:v>
                </c:pt>
                <c:pt idx="359">
                  <c:v>100.6227402046609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54-4D29-B24E-70D9DDA06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912576"/>
        <c:axId val="850914544"/>
      </c:scatterChart>
      <c:valAx>
        <c:axId val="85091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400" b="1" baseline="0">
                    <a:solidFill>
                      <a:schemeClr val="tx1"/>
                    </a:solidFill>
                  </a:rPr>
                  <a:t>Period t</a:t>
                </a:r>
                <a:endParaRPr lang="cs-CZ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7934377433590036"/>
              <c:y val="0.94600752887540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50914544"/>
        <c:crosses val="autoZero"/>
        <c:crossBetween val="midCat"/>
      </c:valAx>
      <c:valAx>
        <c:axId val="8509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400" b="1" baseline="0">
                    <a:solidFill>
                      <a:schemeClr val="tx1"/>
                    </a:solidFill>
                  </a:rPr>
                  <a:t>Payment, principal and interest  [currency]</a:t>
                </a:r>
                <a:endParaRPr lang="cs-CZ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1743673986174263E-2"/>
              <c:y val="0.33923659358756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5091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</c:legendEntry>
      <c:layout>
        <c:manualLayout>
          <c:xMode val="edge"/>
          <c:yMode val="edge"/>
          <c:x val="0.88314387638164937"/>
          <c:y val="0.37974756831866607"/>
          <c:w val="0.11521477949059183"/>
          <c:h val="0.1338043911790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71FBBC-FDDB-4E84-8D94-D33D66123EDA}">
  <sheetPr/>
  <sheetViews>
    <sheetView zoomScale="120" workbookViewId="0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926CCD-2AFB-4EA5-B346-C3B4D822A510}">
  <sheetPr/>
  <sheetViews>
    <sheetView zoomScale="120" workbookViewId="0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32407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A68B23BD-E4A1-4586-A136-0310EF9446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30938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A442823-4320-4CFE-87B1-BD05153D8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R1184"/>
  <sheetViews>
    <sheetView showGridLines="0" tabSelected="1" zoomScaleNormal="100" workbookViewId="0">
      <selection activeCell="AE20" sqref="AE20"/>
    </sheetView>
  </sheetViews>
  <sheetFormatPr defaultRowHeight="15" x14ac:dyDescent="0.25"/>
  <cols>
    <col min="2" max="2" width="2.28515625" customWidth="1"/>
    <col min="3" max="3" width="26.7109375" customWidth="1"/>
    <col min="4" max="4" width="5.7109375" customWidth="1"/>
    <col min="5" max="5" width="15.28515625" customWidth="1"/>
    <col min="6" max="6" width="11.42578125" customWidth="1"/>
    <col min="7" max="7" width="19.42578125" customWidth="1"/>
    <col min="8" max="8" width="10" customWidth="1"/>
    <col min="9" max="9" width="2" customWidth="1"/>
    <col min="10" max="10" width="13.28515625" style="23" hidden="1" customWidth="1"/>
    <col min="11" max="11" width="0" style="23" hidden="1" customWidth="1"/>
    <col min="12" max="13" width="9.140625" style="23" hidden="1" customWidth="1"/>
    <col min="14" max="14" width="12.85546875" style="23" hidden="1" customWidth="1"/>
    <col min="15" max="15" width="20.5703125" style="23" hidden="1" customWidth="1"/>
    <col min="16" max="16" width="22.7109375" style="23" hidden="1" customWidth="1"/>
    <col min="17" max="17" width="20.140625" style="23" hidden="1" customWidth="1"/>
    <col min="18" max="18" width="9.140625" style="23" hidden="1" customWidth="1"/>
    <col min="19" max="19" width="16.42578125" style="23" hidden="1" customWidth="1"/>
    <col min="20" max="20" width="15.7109375" style="23" hidden="1" customWidth="1"/>
    <col min="21" max="21" width="17.28515625" style="23" hidden="1" customWidth="1"/>
    <col min="22" max="23" width="0" style="23" hidden="1" customWidth="1"/>
    <col min="24" max="44" width="9.140625" style="23"/>
  </cols>
  <sheetData>
    <row r="1" spans="2:21" ht="14.65" customHeight="1" x14ac:dyDescent="0.25"/>
    <row r="2" spans="2:21" ht="14.65" customHeight="1" x14ac:dyDescent="0.25">
      <c r="B2" s="3"/>
      <c r="C2" s="3"/>
      <c r="D2" s="3"/>
      <c r="E2" s="3"/>
      <c r="F2" s="3"/>
      <c r="G2" s="3"/>
      <c r="H2" s="3"/>
      <c r="I2" s="3"/>
    </row>
    <row r="3" spans="2:21" ht="14.65" customHeight="1" x14ac:dyDescent="0.25">
      <c r="B3" s="3"/>
      <c r="C3" s="4" t="s">
        <v>14</v>
      </c>
      <c r="D3" s="5"/>
      <c r="E3" s="3"/>
      <c r="F3" s="3"/>
      <c r="G3" s="3"/>
      <c r="H3" s="3"/>
      <c r="I3" s="3"/>
      <c r="P3" s="23" t="s">
        <v>8</v>
      </c>
    </row>
    <row r="4" spans="2:21" ht="14.65" customHeight="1" x14ac:dyDescent="0.25">
      <c r="B4" s="3"/>
      <c r="C4" s="2" t="s">
        <v>11</v>
      </c>
      <c r="D4" s="6"/>
      <c r="E4" s="9">
        <v>4000000</v>
      </c>
      <c r="F4" s="3" t="s">
        <v>16</v>
      </c>
      <c r="G4" s="3"/>
      <c r="H4" s="3"/>
      <c r="I4" s="3"/>
      <c r="L4" s="23" t="s">
        <v>23</v>
      </c>
      <c r="M4" s="23">
        <v>52</v>
      </c>
      <c r="P4" s="23" t="s">
        <v>1</v>
      </c>
      <c r="Q4" s="23" t="s">
        <v>2</v>
      </c>
      <c r="R4" s="23" t="s">
        <v>3</v>
      </c>
      <c r="S4" s="23" t="s">
        <v>4</v>
      </c>
      <c r="T4" s="23" t="s">
        <v>5</v>
      </c>
      <c r="U4" s="23" t="s">
        <v>6</v>
      </c>
    </row>
    <row r="5" spans="2:21" ht="14.65" customHeight="1" x14ac:dyDescent="0.25">
      <c r="B5" s="3"/>
      <c r="C5" s="1" t="s">
        <v>12</v>
      </c>
      <c r="D5" s="6"/>
      <c r="E5" s="10">
        <v>360</v>
      </c>
      <c r="F5" s="3"/>
      <c r="G5" s="3"/>
      <c r="H5" s="3"/>
      <c r="I5" s="3"/>
      <c r="L5" s="23" t="s">
        <v>24</v>
      </c>
      <c r="M5" s="23">
        <v>12</v>
      </c>
      <c r="O5" s="23">
        <v>1</v>
      </c>
      <c r="P5" s="23">
        <v>1E-10</v>
      </c>
      <c r="Q5" s="23">
        <v>10</v>
      </c>
      <c r="R5" s="23">
        <f>(P5+Q5)/2</f>
        <v>5.00000000005</v>
      </c>
      <c r="S5" s="24">
        <f t="shared" ref="S5:S36" si="0">$E$4-$E$10-$E$11*(1+P5)^(-$E$5/$L$9)-$E$13*(1+P5)^(-$H$13/$L$9)-$E$14*(1+P5)^(-$H$14/$L$9) +$E$24*((1-(1+P5)^(-$E$5/$L$9)))/(1-(1+P5)^(1/$L$9))+$E$17*((1-(1+P5)^(-$J$20/$M$4)))/(1-(1+P5)^(1/$M$4))+$E$18*((1-(1+P5)^(-$J$21/$M$5)))/(1-(1+P5)^(1/$M$5))+$E$19*((1-(1+P5)^(-$J$22/$M$6)))/(1-(1+P5)^(1/$M$6))+$E$20*((1-(1+P5)^(-$J$23/$M$7)))/(1-(1+P5)^(1/$M$7))+$E$21*((1-(1+P5)^(-$J$24/$M$8)))/(1-(1+P5)^(1/$M$8))</f>
        <v>-4096543.402922513</v>
      </c>
      <c r="T5" s="24">
        <f t="shared" ref="T5:T36" si="1">$E$4-$E$10-$E$11*(1+Q5)^(-$E$5/$L$9)-$E$13*(1+Q5)^(-$H$13/$L$9)-$E$14*(1+Q5)^(-$H$14/$L$9) +$E$24*((1-(1+Q5)^(-$E$5/$L$9)))/(1-(1+Q5)^(1/$L$9))+$E$17*((1-(1+Q5)^(-$J$20/$M$4)))/(1-(1+Q5)^(1/$M$4))+$E$18*((1-(1+Q5)^(-$J$21/$M$5)))/(1-(1+Q5)^(1/$M$5))+$E$19*((1-(1+Q5)^(-$J$22/$M$6)))/(1-(1+Q5)^(1/$M$6))+$E$20*((1-(1+Q5)^(-$J$23/$M$7)))/(1-(1+Q5)^(1/$M$7))+$E$21*((1-(1+Q5)^(-$J$24/$M$8)))/(1-(1+Q5)^(1/$M$8))</f>
        <v>3894207.2828773954</v>
      </c>
      <c r="U5" s="24">
        <f t="shared" ref="U5:U36" si="2">$E$4-$E$10-$E$11*(1+R5)^(-$E$5/$L$9)-$E$13*(1+R5)^(-$H$13/$L$9)-$E$14*(1+R5)^(-$H$14/$L$9) +$E$24*((1-(1+R5)^(-$E$5/$L$9)))/(1-(1+R5)^(1/$L$9))+$E$17*((1-(1+R5)^(-$J$20/$M$4)))/(1-(1+R5)^(1/$M$4))+$E$18*((1-(1+R5)^(-$J$21/$M$5)))/(1-(1+R5)^(1/$M$5))+$E$19*((1-(1+R5)^(-$J$22/$M$6)))/(1-(1+R5)^(1/$M$6))+$E$20*((1-(1+R5)^(-$J$23/$M$7)))/(1-(1+R5)^(1/$M$7))+$E$21*((1-(1+R5)^(-$J$24/$M$8)))/(1-(1+R5)^(1/$M$8))</f>
        <v>3856205.8539974457</v>
      </c>
    </row>
    <row r="6" spans="2:21" ht="14.65" customHeight="1" x14ac:dyDescent="0.25">
      <c r="B6" s="3"/>
      <c r="C6" s="1" t="s">
        <v>13</v>
      </c>
      <c r="D6" s="6"/>
      <c r="E6" s="10">
        <v>5.3999999999999999E-2</v>
      </c>
      <c r="F6" s="3" t="s">
        <v>10</v>
      </c>
      <c r="G6" s="3"/>
      <c r="H6" s="3"/>
      <c r="I6" s="3"/>
      <c r="L6" s="23" t="s">
        <v>25</v>
      </c>
      <c r="M6" s="23">
        <v>4</v>
      </c>
      <c r="O6" s="23">
        <v>2</v>
      </c>
      <c r="P6" s="23">
        <f>IF(S5*U5&gt;=0,R5,P5)</f>
        <v>1E-10</v>
      </c>
      <c r="Q6" s="23">
        <f>IF(T5*U5&gt;=0,R5,Q5)</f>
        <v>5.00000000005</v>
      </c>
      <c r="R6" s="23">
        <f>(P6+Q6)/2</f>
        <v>2.500000000075</v>
      </c>
      <c r="S6" s="24">
        <f t="shared" si="0"/>
        <v>-4096543.402922513</v>
      </c>
      <c r="T6" s="24">
        <f t="shared" si="1"/>
        <v>3856205.8539974457</v>
      </c>
      <c r="U6" s="24">
        <f t="shared" si="2"/>
        <v>3791473.6705574365</v>
      </c>
    </row>
    <row r="7" spans="2:21" ht="14.65" customHeight="1" x14ac:dyDescent="0.25">
      <c r="B7" s="3"/>
      <c r="C7" s="1" t="s">
        <v>15</v>
      </c>
      <c r="D7" s="6"/>
      <c r="E7" s="10" t="s">
        <v>24</v>
      </c>
      <c r="F7" s="3"/>
      <c r="G7" s="3"/>
      <c r="H7" s="3"/>
      <c r="I7" s="3"/>
      <c r="L7" s="23" t="s">
        <v>26</v>
      </c>
      <c r="M7" s="23">
        <v>2</v>
      </c>
      <c r="O7" s="23">
        <v>3</v>
      </c>
      <c r="P7" s="23">
        <f t="shared" ref="P7:P54" si="3">IF(S6*U6&gt;=0,R6,P6)</f>
        <v>1E-10</v>
      </c>
      <c r="Q7" s="23">
        <f t="shared" ref="Q7:Q54" si="4">IF(T6*U6&gt;=0,R6,Q6)</f>
        <v>2.500000000075</v>
      </c>
      <c r="R7" s="23">
        <f t="shared" ref="R7:R54" si="5">(P7+Q7)/2</f>
        <v>1.2500000000875</v>
      </c>
      <c r="S7" s="24">
        <f t="shared" si="0"/>
        <v>-4096543.402922513</v>
      </c>
      <c r="T7" s="24">
        <f t="shared" si="1"/>
        <v>3791473.6705574365</v>
      </c>
      <c r="U7" s="24">
        <f t="shared" si="2"/>
        <v>3674185.2838576422</v>
      </c>
    </row>
    <row r="8" spans="2:21" ht="14.65" customHeight="1" x14ac:dyDescent="0.25">
      <c r="B8" s="3"/>
      <c r="C8" s="5"/>
      <c r="D8" s="7"/>
      <c r="E8" s="3"/>
      <c r="F8" s="3"/>
      <c r="G8" s="3"/>
      <c r="H8" s="3"/>
      <c r="I8" s="3"/>
      <c r="L8" s="23" t="s">
        <v>27</v>
      </c>
      <c r="M8" s="23">
        <v>1</v>
      </c>
      <c r="O8" s="23">
        <v>4</v>
      </c>
      <c r="P8" s="23">
        <f t="shared" si="3"/>
        <v>1E-10</v>
      </c>
      <c r="Q8" s="23">
        <f t="shared" si="4"/>
        <v>1.2500000000875</v>
      </c>
      <c r="R8" s="23">
        <f t="shared" si="5"/>
        <v>0.62500000009375001</v>
      </c>
      <c r="S8" s="24">
        <f t="shared" si="0"/>
        <v>-4096543.402922513</v>
      </c>
      <c r="T8" s="24">
        <f t="shared" si="1"/>
        <v>3674185.2838576422</v>
      </c>
      <c r="U8" s="24">
        <f t="shared" si="2"/>
        <v>3451249.3171429066</v>
      </c>
    </row>
    <row r="9" spans="2:21" ht="14.65" customHeight="1" x14ac:dyDescent="0.25">
      <c r="B9" s="3"/>
      <c r="C9" s="4" t="s">
        <v>17</v>
      </c>
      <c r="D9" s="3"/>
      <c r="E9" s="3"/>
      <c r="F9" s="3"/>
      <c r="G9" s="3"/>
      <c r="H9" s="3"/>
      <c r="I9" s="3"/>
      <c r="L9" s="23">
        <f>IF(E7=L4,M4,IF(E7=L5,M5,IF(E7=L6,M6,IF(E7=L7,M7,IF(E7=L8,M8)))))</f>
        <v>12</v>
      </c>
      <c r="O9" s="23">
        <v>5</v>
      </c>
      <c r="P9" s="23">
        <f t="shared" si="3"/>
        <v>1E-10</v>
      </c>
      <c r="Q9" s="23">
        <f t="shared" si="4"/>
        <v>0.62500000009375001</v>
      </c>
      <c r="R9" s="23">
        <f t="shared" si="5"/>
        <v>0.31250000009687501</v>
      </c>
      <c r="S9" s="24">
        <f t="shared" si="0"/>
        <v>-4096543.402922513</v>
      </c>
      <c r="T9" s="24">
        <f t="shared" si="1"/>
        <v>3451249.3171429066</v>
      </c>
      <c r="U9" s="24">
        <f t="shared" si="2"/>
        <v>3015194.1773318858</v>
      </c>
    </row>
    <row r="10" spans="2:21" ht="14.65" customHeight="1" x14ac:dyDescent="0.25">
      <c r="B10" s="3"/>
      <c r="C10" s="1" t="s">
        <v>19</v>
      </c>
      <c r="D10" s="7"/>
      <c r="E10" s="22">
        <v>4000</v>
      </c>
      <c r="F10" s="3" t="s">
        <v>16</v>
      </c>
      <c r="G10" s="3"/>
      <c r="H10" s="3"/>
      <c r="I10" s="3"/>
      <c r="K10" s="23" t="s">
        <v>0</v>
      </c>
      <c r="L10" s="23">
        <f>E6/L9</f>
        <v>4.4999999999999997E-3</v>
      </c>
      <c r="O10" s="23">
        <v>6</v>
      </c>
      <c r="P10" s="23">
        <f t="shared" si="3"/>
        <v>1E-10</v>
      </c>
      <c r="Q10" s="23">
        <f t="shared" si="4"/>
        <v>0.31250000009687501</v>
      </c>
      <c r="R10" s="23">
        <f t="shared" si="5"/>
        <v>0.15625000009843751</v>
      </c>
      <c r="S10" s="24">
        <f t="shared" si="0"/>
        <v>-4096543.402922513</v>
      </c>
      <c r="T10" s="24">
        <f t="shared" si="1"/>
        <v>3015194.1773318858</v>
      </c>
      <c r="U10" s="24">
        <f t="shared" si="2"/>
        <v>2172625.3949700431</v>
      </c>
    </row>
    <row r="11" spans="2:21" ht="14.65" customHeight="1" x14ac:dyDescent="0.25">
      <c r="B11" s="3"/>
      <c r="C11" s="1" t="s">
        <v>18</v>
      </c>
      <c r="D11" s="7"/>
      <c r="E11" s="1">
        <v>0</v>
      </c>
      <c r="F11" s="3" t="s">
        <v>16</v>
      </c>
      <c r="G11" s="3"/>
      <c r="H11" s="3"/>
      <c r="I11" s="3"/>
      <c r="O11" s="23">
        <v>7</v>
      </c>
      <c r="P11" s="23">
        <f>IF(S10*U10&gt;=0,R10,P10)</f>
        <v>1E-10</v>
      </c>
      <c r="Q11" s="23">
        <f>IF(T10*U10&gt;=0,R10,Q10)</f>
        <v>0.15625000009843751</v>
      </c>
      <c r="R11" s="23">
        <f t="shared" si="5"/>
        <v>7.8125000099218758E-2</v>
      </c>
      <c r="S11" s="24">
        <f t="shared" si="0"/>
        <v>-4096543.402922513</v>
      </c>
      <c r="T11" s="24">
        <f t="shared" si="1"/>
        <v>2172625.3949700431</v>
      </c>
      <c r="U11" s="24">
        <f t="shared" si="2"/>
        <v>795277.15576752613</v>
      </c>
    </row>
    <row r="12" spans="2:21" ht="28.5" customHeight="1" x14ac:dyDescent="0.25">
      <c r="B12" s="3"/>
      <c r="C12" s="4" t="s">
        <v>21</v>
      </c>
      <c r="D12" s="3"/>
      <c r="E12" s="3"/>
      <c r="F12" s="3"/>
      <c r="G12" s="3"/>
      <c r="H12" s="3"/>
      <c r="I12" s="3"/>
      <c r="O12" s="23">
        <v>8</v>
      </c>
      <c r="P12" s="23">
        <f t="shared" si="3"/>
        <v>1E-10</v>
      </c>
      <c r="Q12" s="23">
        <f t="shared" si="4"/>
        <v>7.8125000099218758E-2</v>
      </c>
      <c r="R12" s="23">
        <f t="shared" si="5"/>
        <v>3.9062500099609376E-2</v>
      </c>
      <c r="S12" s="24">
        <f t="shared" si="0"/>
        <v>-4096543.402922513</v>
      </c>
      <c r="T12" s="24">
        <f t="shared" si="1"/>
        <v>795277.15576752613</v>
      </c>
      <c r="U12" s="24">
        <f t="shared" si="2"/>
        <v>-806130.79722869582</v>
      </c>
    </row>
    <row r="13" spans="2:21" ht="14.65" customHeight="1" x14ac:dyDescent="0.25">
      <c r="B13" s="3"/>
      <c r="C13" s="1" t="s">
        <v>20</v>
      </c>
      <c r="D13" s="7"/>
      <c r="E13" s="22">
        <v>500</v>
      </c>
      <c r="F13" s="3" t="s">
        <v>16</v>
      </c>
      <c r="G13" s="11" t="s">
        <v>28</v>
      </c>
      <c r="H13" s="1">
        <v>4</v>
      </c>
      <c r="I13" s="3"/>
      <c r="O13" s="23">
        <v>9</v>
      </c>
      <c r="P13" s="23">
        <f t="shared" si="3"/>
        <v>3.9062500099609376E-2</v>
      </c>
      <c r="Q13" s="23">
        <f t="shared" si="4"/>
        <v>7.8125000099218758E-2</v>
      </c>
      <c r="R13" s="23">
        <f t="shared" si="5"/>
        <v>5.8593750099414067E-2</v>
      </c>
      <c r="S13" s="24">
        <f t="shared" si="0"/>
        <v>-806130.79722869582</v>
      </c>
      <c r="T13" s="24">
        <f t="shared" si="1"/>
        <v>795277.15576752613</v>
      </c>
      <c r="U13" s="24">
        <f t="shared" si="2"/>
        <v>125998.37751938807</v>
      </c>
    </row>
    <row r="14" spans="2:21" ht="14.65" customHeight="1" x14ac:dyDescent="0.25">
      <c r="B14" s="3"/>
      <c r="C14" s="1" t="s">
        <v>20</v>
      </c>
      <c r="D14" s="7"/>
      <c r="E14" s="1">
        <v>0</v>
      </c>
      <c r="F14" s="3" t="s">
        <v>16</v>
      </c>
      <c r="G14" s="11" t="s">
        <v>28</v>
      </c>
      <c r="H14" s="1">
        <v>0</v>
      </c>
      <c r="I14" s="3"/>
      <c r="O14" s="23">
        <v>10</v>
      </c>
      <c r="P14" s="23">
        <f>IF(S13*U13&gt;=0,R13,P13)</f>
        <v>3.9062500099609376E-2</v>
      </c>
      <c r="Q14" s="23">
        <f>IF(T13*U13&gt;=0,R13,Q13)</f>
        <v>5.8593750099414067E-2</v>
      </c>
      <c r="R14" s="23">
        <f t="shared" si="5"/>
        <v>4.8828125099511718E-2</v>
      </c>
      <c r="S14" s="24">
        <f t="shared" si="0"/>
        <v>-806130.79722869582</v>
      </c>
      <c r="T14" s="24">
        <f t="shared" si="1"/>
        <v>125998.37751938807</v>
      </c>
      <c r="U14" s="24">
        <f t="shared" si="2"/>
        <v>-300117.85427544912</v>
      </c>
    </row>
    <row r="15" spans="2:21" ht="14.65" customHeight="1" x14ac:dyDescent="0.25">
      <c r="B15" s="3"/>
      <c r="C15" s="3"/>
      <c r="D15" s="3"/>
      <c r="E15" s="3"/>
      <c r="F15" s="3"/>
      <c r="G15" s="3"/>
      <c r="H15" s="3"/>
      <c r="I15" s="3"/>
      <c r="O15" s="23">
        <v>11</v>
      </c>
      <c r="P15" s="23">
        <f t="shared" si="3"/>
        <v>4.8828125099511718E-2</v>
      </c>
      <c r="Q15" s="23">
        <f t="shared" si="4"/>
        <v>5.8593750099414067E-2</v>
      </c>
      <c r="R15" s="23">
        <f t="shared" si="5"/>
        <v>5.3710937599462896E-2</v>
      </c>
      <c r="S15" s="24">
        <f t="shared" si="0"/>
        <v>-300117.85427544912</v>
      </c>
      <c r="T15" s="24">
        <f t="shared" si="1"/>
        <v>125998.37751938807</v>
      </c>
      <c r="U15" s="24">
        <f t="shared" si="2"/>
        <v>-78089.717054340348</v>
      </c>
    </row>
    <row r="16" spans="2:21" ht="14.65" customHeight="1" x14ac:dyDescent="0.25">
      <c r="B16" s="3"/>
      <c r="C16" s="4" t="s">
        <v>22</v>
      </c>
      <c r="D16" s="3"/>
      <c r="E16" s="3"/>
      <c r="F16" s="3"/>
      <c r="G16" s="3"/>
      <c r="H16" s="3"/>
      <c r="I16" s="3"/>
      <c r="O16" s="23">
        <v>12</v>
      </c>
      <c r="P16" s="23">
        <f>IF(S15*U15&gt;=0,R15,P15)</f>
        <v>5.3710937599462896E-2</v>
      </c>
      <c r="Q16" s="23">
        <f>IF(T15*U15&gt;=0,R15,Q15)</f>
        <v>5.8593750099414067E-2</v>
      </c>
      <c r="R16" s="23">
        <f t="shared" si="5"/>
        <v>5.6152343849438485E-2</v>
      </c>
      <c r="S16" s="24">
        <f t="shared" si="0"/>
        <v>-78089.717054340348</v>
      </c>
      <c r="T16" s="24">
        <f t="shared" si="1"/>
        <v>125998.37751938807</v>
      </c>
      <c r="U16" s="24">
        <f t="shared" si="2"/>
        <v>26082.431833555249</v>
      </c>
    </row>
    <row r="17" spans="2:44" ht="14.65" customHeight="1" x14ac:dyDescent="0.25">
      <c r="B17" s="3"/>
      <c r="C17" s="1" t="str">
        <f>L4</f>
        <v>weekly</v>
      </c>
      <c r="D17" s="7"/>
      <c r="E17" s="22">
        <v>0</v>
      </c>
      <c r="F17" s="3" t="s">
        <v>16</v>
      </c>
      <c r="G17" s="3"/>
      <c r="H17" s="3"/>
      <c r="I17" s="3"/>
      <c r="O17" s="23">
        <v>13</v>
      </c>
      <c r="P17" s="23">
        <f>IF(S16*U16&gt;=0,R16,P16)</f>
        <v>5.3710937599462896E-2</v>
      </c>
      <c r="Q17" s="23">
        <f>IF(T16*U16&gt;=0,R16,Q16)</f>
        <v>5.6152343849438485E-2</v>
      </c>
      <c r="R17" s="23">
        <f t="shared" si="5"/>
        <v>5.4931640724450691E-2</v>
      </c>
      <c r="S17" s="24">
        <f t="shared" si="0"/>
        <v>-78089.717054340348</v>
      </c>
      <c r="T17" s="24">
        <f t="shared" si="1"/>
        <v>26082.431833555249</v>
      </c>
      <c r="U17" s="24">
        <f t="shared" si="2"/>
        <v>-25457.838380042806</v>
      </c>
    </row>
    <row r="18" spans="2:44" ht="14.65" customHeight="1" x14ac:dyDescent="0.25">
      <c r="B18" s="3"/>
      <c r="C18" s="1" t="str">
        <f>L5</f>
        <v>monthly</v>
      </c>
      <c r="D18" s="7"/>
      <c r="E18" s="22">
        <v>0</v>
      </c>
      <c r="F18" s="3" t="s">
        <v>16</v>
      </c>
      <c r="G18" s="3"/>
      <c r="H18" s="3"/>
      <c r="I18" s="3"/>
      <c r="O18" s="23">
        <v>14</v>
      </c>
      <c r="P18" s="23">
        <f>IF(S17*U17&gt;=0,R17,P17)</f>
        <v>5.4931640724450691E-2</v>
      </c>
      <c r="Q18" s="23">
        <f>IF(T17*U17&gt;=0,R17,Q17)</f>
        <v>5.6152343849438485E-2</v>
      </c>
      <c r="R18" s="23">
        <f t="shared" si="5"/>
        <v>5.5541992286944591E-2</v>
      </c>
      <c r="S18" s="24">
        <f t="shared" si="0"/>
        <v>-25457.838380042806</v>
      </c>
      <c r="T18" s="24">
        <f t="shared" si="1"/>
        <v>26082.431833555249</v>
      </c>
      <c r="U18" s="24">
        <f t="shared" si="2"/>
        <v>446.99396819314325</v>
      </c>
    </row>
    <row r="19" spans="2:44" ht="14.65" customHeight="1" x14ac:dyDescent="0.25">
      <c r="B19" s="3"/>
      <c r="C19" s="1" t="str">
        <f>L6</f>
        <v>quarterly</v>
      </c>
      <c r="D19" s="7"/>
      <c r="E19" s="22">
        <v>0</v>
      </c>
      <c r="F19" s="3" t="s">
        <v>16</v>
      </c>
      <c r="G19" s="3"/>
      <c r="H19" s="3"/>
      <c r="I19" s="3"/>
      <c r="J19" s="23" t="s">
        <v>9</v>
      </c>
      <c r="O19" s="23">
        <v>15</v>
      </c>
      <c r="P19" s="23">
        <f t="shared" si="3"/>
        <v>5.4931640724450691E-2</v>
      </c>
      <c r="Q19" s="23">
        <f t="shared" si="4"/>
        <v>5.5541992286944591E-2</v>
      </c>
      <c r="R19" s="23">
        <f t="shared" si="5"/>
        <v>5.5236816505697645E-2</v>
      </c>
      <c r="S19" s="24">
        <f t="shared" si="0"/>
        <v>-25457.838380042806</v>
      </c>
      <c r="T19" s="24">
        <f t="shared" si="1"/>
        <v>446.99396819314325</v>
      </c>
      <c r="U19" s="24">
        <f t="shared" si="2"/>
        <v>-12471.530669613465</v>
      </c>
    </row>
    <row r="20" spans="2:44" ht="14.65" customHeight="1" x14ac:dyDescent="0.25">
      <c r="B20" s="3"/>
      <c r="C20" s="1" t="str">
        <f>L7</f>
        <v>semiannual</v>
      </c>
      <c r="D20" s="7"/>
      <c r="E20" s="22">
        <v>0</v>
      </c>
      <c r="F20" s="3" t="s">
        <v>16</v>
      </c>
      <c r="G20" s="3"/>
      <c r="H20" s="3"/>
      <c r="I20" s="3"/>
      <c r="J20" s="23">
        <f>IF($E$7=$L$4,$E$5,IF($E$7=$L$5,52/12*$E$5,IF($E$7=$L$6,13*$E$5,IF($E$7=$L$7,26*$E$5,IF($E$7=$L$8,52*$E$5)))))</f>
        <v>1560</v>
      </c>
      <c r="O20" s="23">
        <v>16</v>
      </c>
      <c r="P20" s="23">
        <f>IF(S19*U19&gt;=0,R19,P19)</f>
        <v>5.5236816505697645E-2</v>
      </c>
      <c r="Q20" s="23">
        <f>IF(T19*U19&gt;=0,R19,Q19)</f>
        <v>5.5541992286944591E-2</v>
      </c>
      <c r="R20" s="23">
        <f t="shared" si="5"/>
        <v>5.5389404396321118E-2</v>
      </c>
      <c r="S20" s="24">
        <f t="shared" si="0"/>
        <v>-12471.530669613465</v>
      </c>
      <c r="T20" s="24">
        <f t="shared" si="1"/>
        <v>446.99396819314325</v>
      </c>
      <c r="U20" s="24">
        <f t="shared" si="2"/>
        <v>-6003.8227437936475</v>
      </c>
    </row>
    <row r="21" spans="2:44" ht="14.65" customHeight="1" x14ac:dyDescent="0.25">
      <c r="B21" s="3"/>
      <c r="C21" s="1" t="str">
        <f>L8</f>
        <v>annual</v>
      </c>
      <c r="D21" s="7"/>
      <c r="E21" s="22">
        <v>200</v>
      </c>
      <c r="F21" s="3" t="s">
        <v>16</v>
      </c>
      <c r="G21" s="3"/>
      <c r="H21" s="3"/>
      <c r="I21" s="3"/>
      <c r="J21" s="23">
        <f>IF($E$7=$L$4,$E$5*52/12,IF($E$7=$L$5,$E$5,IF($E$7=$L$6,3*$E$5,IF($E$7=$L$7,6*$E$5,IF($E$7=$L$8,12*$E$5)))))</f>
        <v>360</v>
      </c>
      <c r="O21" s="23">
        <v>17</v>
      </c>
      <c r="P21" s="23">
        <f t="shared" si="3"/>
        <v>5.5389404396321118E-2</v>
      </c>
      <c r="Q21" s="23">
        <f t="shared" si="4"/>
        <v>5.5541992286944591E-2</v>
      </c>
      <c r="R21" s="23">
        <f t="shared" si="5"/>
        <v>5.5465698341632855E-2</v>
      </c>
      <c r="S21" s="24">
        <f t="shared" si="0"/>
        <v>-6003.8227437936475</v>
      </c>
      <c r="T21" s="24">
        <f t="shared" si="1"/>
        <v>446.99396819314325</v>
      </c>
      <c r="U21" s="24">
        <f t="shared" si="2"/>
        <v>-2776.3063849629848</v>
      </c>
    </row>
    <row r="22" spans="2:44" ht="14.65" customHeight="1" x14ac:dyDescent="0.25">
      <c r="B22" s="3"/>
      <c r="C22" s="3"/>
      <c r="D22" s="3"/>
      <c r="E22" s="3"/>
      <c r="F22" s="3"/>
      <c r="G22" s="3"/>
      <c r="H22" s="3"/>
      <c r="I22" s="3"/>
      <c r="J22" s="23">
        <f>IF($E$7=$L$4,$E$5/13,IF($E$7=$L$5,$E$5/3,IF($E$7=$L$6,$E$5,IF($E$7=$L$7,2*$E$5,IF($E$7=$L$8,4*$E$5)))))</f>
        <v>120</v>
      </c>
      <c r="O22" s="23">
        <v>18</v>
      </c>
      <c r="P22" s="23">
        <f t="shared" si="3"/>
        <v>5.5465698341632855E-2</v>
      </c>
      <c r="Q22" s="23">
        <f t="shared" si="4"/>
        <v>5.5541992286944591E-2</v>
      </c>
      <c r="R22" s="23">
        <f t="shared" si="5"/>
        <v>5.5503845314288723E-2</v>
      </c>
      <c r="S22" s="24">
        <f t="shared" si="0"/>
        <v>-2776.3063849629848</v>
      </c>
      <c r="T22" s="24">
        <f t="shared" si="1"/>
        <v>446.99396819314325</v>
      </c>
      <c r="U22" s="24">
        <f t="shared" si="2"/>
        <v>-1164.1296318378991</v>
      </c>
    </row>
    <row r="23" spans="2:44" ht="14.65" customHeight="1" x14ac:dyDescent="0.25">
      <c r="B23" s="3"/>
      <c r="C23" s="3"/>
      <c r="D23" s="3"/>
      <c r="E23" s="3"/>
      <c r="F23" s="3"/>
      <c r="G23" s="3"/>
      <c r="H23" s="3"/>
      <c r="I23" s="3"/>
      <c r="J23" s="23">
        <f>IF($E$7=$L$4,$E$5/26,IF($E$7=$L$5,$E$5/6,IF($E$7=$L$6,$E$5/2,IF($E$7=$L$7,$E$5,IF($E$7=$L$8,2*$E$5)))))</f>
        <v>60</v>
      </c>
      <c r="O23" s="23">
        <v>19</v>
      </c>
      <c r="P23" s="23">
        <f t="shared" si="3"/>
        <v>5.5503845314288723E-2</v>
      </c>
      <c r="Q23" s="23">
        <f t="shared" si="4"/>
        <v>5.5541992286944591E-2</v>
      </c>
      <c r="R23" s="23">
        <f t="shared" si="5"/>
        <v>5.5522918800616661E-2</v>
      </c>
      <c r="S23" s="24">
        <f t="shared" si="0"/>
        <v>-1164.1296318378991</v>
      </c>
      <c r="T23" s="24">
        <f t="shared" si="1"/>
        <v>446.99396819314325</v>
      </c>
      <c r="U23" s="24">
        <f t="shared" si="2"/>
        <v>-358.43624065257518</v>
      </c>
    </row>
    <row r="24" spans="2:44" ht="14.65" customHeight="1" x14ac:dyDescent="0.25">
      <c r="B24" s="3"/>
      <c r="C24" s="1" t="s">
        <v>29</v>
      </c>
      <c r="D24" s="3"/>
      <c r="E24" s="13">
        <f>IF(E6=0,E4/E5,IF(E6&gt;0,E4*L10*((1+L10)^E5)/((1+L10)^E5-1),"úrok nesmí být záporný"))</f>
        <v>22461.231674784805</v>
      </c>
      <c r="F24" s="3" t="s">
        <v>16</v>
      </c>
      <c r="G24" s="3"/>
      <c r="H24" s="3"/>
      <c r="I24" s="3"/>
      <c r="J24" s="23">
        <f>IF($E$7=$L$4,$E$5/52,IF($E$7=$L$5,$E$5/12,IF($E$7=$L$6,$E$5/4,IF($E$7=$L$7,$E$5/2,IF($E$7=$L$8,1*$E$5)))))</f>
        <v>30</v>
      </c>
      <c r="O24" s="23">
        <v>20</v>
      </c>
      <c r="P24" s="23">
        <f t="shared" si="3"/>
        <v>5.5522918800616661E-2</v>
      </c>
      <c r="Q24" s="23">
        <f t="shared" si="4"/>
        <v>5.5541992286944591E-2</v>
      </c>
      <c r="R24" s="23">
        <f t="shared" si="5"/>
        <v>5.5532455543780626E-2</v>
      </c>
      <c r="S24" s="24">
        <f t="shared" si="0"/>
        <v>-358.43624065257518</v>
      </c>
      <c r="T24" s="24">
        <f t="shared" si="1"/>
        <v>446.99396819314325</v>
      </c>
      <c r="U24" s="24">
        <f t="shared" si="2"/>
        <v>44.311754848723922</v>
      </c>
    </row>
    <row r="25" spans="2:44" x14ac:dyDescent="0.25">
      <c r="B25" s="3"/>
      <c r="C25" s="12" t="s">
        <v>30</v>
      </c>
      <c r="D25" s="3"/>
      <c r="E25" s="14">
        <f>IF(C28=0,0,IF(R104 &gt;0,R104*100))</f>
        <v>5.5531406201388638</v>
      </c>
      <c r="F25" s="8" t="s">
        <v>7</v>
      </c>
      <c r="G25" s="3"/>
      <c r="H25" s="3"/>
      <c r="I25" s="3"/>
      <c r="O25" s="23">
        <v>21</v>
      </c>
      <c r="P25" s="23">
        <f t="shared" si="3"/>
        <v>5.5522918800616661E-2</v>
      </c>
      <c r="Q25" s="23">
        <f t="shared" si="4"/>
        <v>5.5532455543780626E-2</v>
      </c>
      <c r="R25" s="23">
        <f t="shared" si="5"/>
        <v>5.5527687172198643E-2</v>
      </c>
      <c r="S25" s="24">
        <f t="shared" si="0"/>
        <v>-358.43624065257518</v>
      </c>
      <c r="T25" s="24">
        <f t="shared" si="1"/>
        <v>44.311754848723922</v>
      </c>
      <c r="U25" s="24">
        <f t="shared" si="2"/>
        <v>-157.05401933347866</v>
      </c>
    </row>
    <row r="26" spans="2:44" x14ac:dyDescent="0.25">
      <c r="B26" s="3"/>
      <c r="C26" s="3"/>
      <c r="D26" s="3"/>
      <c r="E26" s="3"/>
      <c r="F26" s="3"/>
      <c r="G26" s="3"/>
      <c r="H26" s="3"/>
      <c r="I26" s="3"/>
      <c r="O26" s="23">
        <v>22</v>
      </c>
      <c r="P26" s="23">
        <f t="shared" si="3"/>
        <v>5.5527687172198643E-2</v>
      </c>
      <c r="Q26" s="23">
        <f t="shared" si="4"/>
        <v>5.5532455543780626E-2</v>
      </c>
      <c r="R26" s="23">
        <f t="shared" si="5"/>
        <v>5.5530071357989638E-2</v>
      </c>
      <c r="S26" s="24">
        <f t="shared" si="0"/>
        <v>-157.05401933347866</v>
      </c>
      <c r="T26" s="24">
        <f t="shared" si="1"/>
        <v>44.311754848723922</v>
      </c>
      <c r="U26" s="24">
        <f t="shared" si="2"/>
        <v>-56.369076355117159</v>
      </c>
    </row>
    <row r="27" spans="2:44" ht="3.6" customHeight="1" x14ac:dyDescent="0.25">
      <c r="B27" s="19"/>
      <c r="C27" s="15"/>
      <c r="D27" s="15"/>
      <c r="E27" s="15"/>
      <c r="F27" s="15"/>
      <c r="G27" s="18"/>
      <c r="H27" s="18"/>
      <c r="I27" s="18"/>
      <c r="O27" s="23">
        <v>23</v>
      </c>
      <c r="P27" s="23">
        <f t="shared" si="3"/>
        <v>5.5530071357989638E-2</v>
      </c>
      <c r="Q27" s="23">
        <f t="shared" si="4"/>
        <v>5.5532455543780626E-2</v>
      </c>
      <c r="R27" s="23">
        <f t="shared" si="5"/>
        <v>5.5531263450885132E-2</v>
      </c>
      <c r="S27" s="24">
        <f t="shared" si="0"/>
        <v>-56.369076355117159</v>
      </c>
      <c r="T27" s="24">
        <f t="shared" si="1"/>
        <v>44.311754848723922</v>
      </c>
      <c r="U27" s="24">
        <f t="shared" si="2"/>
        <v>-6.0281466950696085</v>
      </c>
    </row>
    <row r="28" spans="2:44" x14ac:dyDescent="0.25">
      <c r="B28" s="19"/>
      <c r="C28" s="15">
        <f>E6+E10+E11+E13+E14+E17+E18+E19+E20+E21</f>
        <v>4700.0540000000001</v>
      </c>
      <c r="D28" s="15"/>
      <c r="E28" s="15">
        <f>IF(C17=E7,E17,IF(C18=E7,E18,IF(C19=E7,E19,IF(C20=E7,E20,IF(C21=E7,E21)))))</f>
        <v>0</v>
      </c>
      <c r="F28" s="15"/>
      <c r="G28" s="15"/>
      <c r="H28" s="18"/>
      <c r="I28" s="18"/>
      <c r="O28" s="23">
        <v>24</v>
      </c>
      <c r="P28" s="23">
        <f t="shared" si="3"/>
        <v>5.5531263450885132E-2</v>
      </c>
      <c r="Q28" s="23">
        <f t="shared" si="4"/>
        <v>5.5532455543780626E-2</v>
      </c>
      <c r="R28" s="23">
        <f t="shared" si="5"/>
        <v>5.5531859497332879E-2</v>
      </c>
      <c r="S28" s="24">
        <f t="shared" si="0"/>
        <v>-6.0281466950696085</v>
      </c>
      <c r="T28" s="24">
        <f t="shared" si="1"/>
        <v>44.311754848723922</v>
      </c>
      <c r="U28" s="24">
        <f t="shared" si="2"/>
        <v>19.14193263652578</v>
      </c>
    </row>
    <row r="29" spans="2:44" x14ac:dyDescent="0.25">
      <c r="C29" s="15"/>
      <c r="D29" s="15"/>
      <c r="E29" s="15"/>
      <c r="F29" s="15"/>
      <c r="G29" s="15"/>
      <c r="H29" s="18"/>
      <c r="I29" s="18"/>
      <c r="O29" s="23">
        <v>25</v>
      </c>
      <c r="P29" s="23">
        <f t="shared" si="3"/>
        <v>5.5531263450885132E-2</v>
      </c>
      <c r="Q29" s="23">
        <f t="shared" si="4"/>
        <v>5.5531859497332879E-2</v>
      </c>
      <c r="R29" s="23">
        <f t="shared" si="5"/>
        <v>5.5531561474109009E-2</v>
      </c>
      <c r="S29" s="24">
        <f t="shared" si="0"/>
        <v>-6.0281466950696085</v>
      </c>
      <c r="T29" s="24">
        <f t="shared" si="1"/>
        <v>19.14193263652578</v>
      </c>
      <c r="U29" s="24">
        <f t="shared" si="2"/>
        <v>6.5569249377172127</v>
      </c>
    </row>
    <row r="30" spans="2:44" s="19" customFormat="1" x14ac:dyDescent="0.25">
      <c r="B30"/>
      <c r="C30" s="18"/>
      <c r="D30" s="18"/>
      <c r="E30" s="18"/>
      <c r="F30" s="18"/>
      <c r="G30" s="18"/>
      <c r="H30" s="18"/>
      <c r="I30" s="18"/>
      <c r="J30" s="23"/>
      <c r="K30" s="23"/>
      <c r="L30" s="23"/>
      <c r="M30" s="23"/>
      <c r="N30" s="23"/>
      <c r="O30" s="23">
        <v>26</v>
      </c>
      <c r="P30" s="23">
        <f t="shared" si="3"/>
        <v>5.5531263450885132E-2</v>
      </c>
      <c r="Q30" s="23">
        <f t="shared" si="4"/>
        <v>5.5531561474109009E-2</v>
      </c>
      <c r="R30" s="23">
        <f t="shared" si="5"/>
        <v>5.5531412462497071E-2</v>
      </c>
      <c r="S30" s="24">
        <f t="shared" si="0"/>
        <v>-6.0281466950696085</v>
      </c>
      <c r="T30" s="24">
        <f t="shared" si="1"/>
        <v>6.5569249377172127</v>
      </c>
      <c r="U30" s="24">
        <f t="shared" si="2"/>
        <v>0.26439706673954788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</row>
    <row r="31" spans="2:44" s="19" customFormat="1" x14ac:dyDescent="0.25">
      <c r="B31"/>
      <c r="C31" s="18"/>
      <c r="D31" s="18"/>
      <c r="E31" s="18"/>
      <c r="F31" s="18"/>
      <c r="G31" s="18"/>
      <c r="H31" s="18"/>
      <c r="I31" s="18"/>
      <c r="J31" s="23"/>
      <c r="K31" s="23"/>
      <c r="L31" s="23"/>
      <c r="M31" s="23"/>
      <c r="N31" s="23"/>
      <c r="O31" s="23">
        <v>27</v>
      </c>
      <c r="P31" s="23">
        <f t="shared" si="3"/>
        <v>5.5531263450885132E-2</v>
      </c>
      <c r="Q31" s="23">
        <f t="shared" si="4"/>
        <v>5.5531412462497071E-2</v>
      </c>
      <c r="R31" s="23">
        <f t="shared" si="5"/>
        <v>5.5531337956691101E-2</v>
      </c>
      <c r="S31" s="24">
        <f t="shared" si="0"/>
        <v>-6.0281466950696085</v>
      </c>
      <c r="T31" s="24">
        <f t="shared" si="1"/>
        <v>0.26439706673954788</v>
      </c>
      <c r="U31" s="24">
        <f t="shared" si="2"/>
        <v>-2.881872878510876</v>
      </c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</row>
    <row r="32" spans="2:44" x14ac:dyDescent="0.25">
      <c r="C32" s="18"/>
      <c r="D32" s="18"/>
      <c r="E32" s="18"/>
      <c r="F32" s="18"/>
      <c r="G32" s="18"/>
      <c r="H32" s="18"/>
      <c r="I32" s="18"/>
      <c r="O32" s="23">
        <v>28</v>
      </c>
      <c r="P32" s="23">
        <f t="shared" si="3"/>
        <v>5.5531337956691101E-2</v>
      </c>
      <c r="Q32" s="23">
        <f t="shared" si="4"/>
        <v>5.5531412462497071E-2</v>
      </c>
      <c r="R32" s="23">
        <f t="shared" si="5"/>
        <v>5.5531375209594086E-2</v>
      </c>
      <c r="S32" s="24">
        <f t="shared" si="0"/>
        <v>-2.881872878510876</v>
      </c>
      <c r="T32" s="24">
        <f t="shared" si="1"/>
        <v>0.26439706673954788</v>
      </c>
      <c r="U32" s="24">
        <f t="shared" si="2"/>
        <v>-1.3087372517161384</v>
      </c>
    </row>
    <row r="33" spans="3:21" x14ac:dyDescent="0.25">
      <c r="C33" s="18"/>
      <c r="D33" s="18"/>
      <c r="E33" s="18"/>
      <c r="F33" s="18"/>
      <c r="G33" s="18"/>
      <c r="H33" s="18"/>
      <c r="I33" s="18"/>
      <c r="O33" s="23">
        <v>29</v>
      </c>
      <c r="P33" s="23">
        <f t="shared" si="3"/>
        <v>5.5531375209594086E-2</v>
      </c>
      <c r="Q33" s="23">
        <f t="shared" si="4"/>
        <v>5.5531412462497071E-2</v>
      </c>
      <c r="R33" s="23">
        <f t="shared" si="5"/>
        <v>5.5531393836045578E-2</v>
      </c>
      <c r="S33" s="24">
        <f t="shared" si="0"/>
        <v>-1.3087372517161384</v>
      </c>
      <c r="T33" s="24">
        <f t="shared" si="1"/>
        <v>0.26439706673954788</v>
      </c>
      <c r="U33" s="24">
        <f t="shared" si="2"/>
        <v>-0.52216988075042536</v>
      </c>
    </row>
    <row r="34" spans="3:21" x14ac:dyDescent="0.25">
      <c r="O34" s="23">
        <v>30</v>
      </c>
      <c r="P34" s="23">
        <f t="shared" si="3"/>
        <v>5.5531393836045578E-2</v>
      </c>
      <c r="Q34" s="23">
        <f t="shared" si="4"/>
        <v>5.5531412462497071E-2</v>
      </c>
      <c r="R34" s="23">
        <f t="shared" si="5"/>
        <v>5.5531403149271324E-2</v>
      </c>
      <c r="S34" s="24">
        <f t="shared" si="0"/>
        <v>-0.52216988075042536</v>
      </c>
      <c r="T34" s="24">
        <f t="shared" si="1"/>
        <v>0.26439706673954788</v>
      </c>
      <c r="U34" s="24">
        <f t="shared" si="2"/>
        <v>-0.12888637811010994</v>
      </c>
    </row>
    <row r="35" spans="3:21" x14ac:dyDescent="0.25">
      <c r="O35" s="23">
        <v>31</v>
      </c>
      <c r="P35" s="23">
        <f t="shared" si="3"/>
        <v>5.5531403149271324E-2</v>
      </c>
      <c r="Q35" s="23">
        <f t="shared" si="4"/>
        <v>5.5531412462497071E-2</v>
      </c>
      <c r="R35" s="23">
        <f t="shared" si="5"/>
        <v>5.5531407805884198E-2</v>
      </c>
      <c r="S35" s="24">
        <f t="shared" si="0"/>
        <v>-0.12888637811010994</v>
      </c>
      <c r="T35" s="24">
        <f t="shared" si="1"/>
        <v>0.26439706673954788</v>
      </c>
      <c r="U35" s="24">
        <f t="shared" si="2"/>
        <v>6.7755447696981719E-2</v>
      </c>
    </row>
    <row r="36" spans="3:21" x14ac:dyDescent="0.25">
      <c r="O36" s="23">
        <v>32</v>
      </c>
      <c r="P36" s="23">
        <f t="shared" si="3"/>
        <v>5.5531403149271324E-2</v>
      </c>
      <c r="Q36" s="23">
        <f t="shared" si="4"/>
        <v>5.5531407805884198E-2</v>
      </c>
      <c r="R36" s="23">
        <f t="shared" si="5"/>
        <v>5.5531405477577761E-2</v>
      </c>
      <c r="S36" s="24">
        <f t="shared" si="0"/>
        <v>-0.12888637811010994</v>
      </c>
      <c r="T36" s="24">
        <f t="shared" si="1"/>
        <v>6.7755447696981719E-2</v>
      </c>
      <c r="U36" s="24">
        <f t="shared" si="2"/>
        <v>-3.0565462876893434E-2</v>
      </c>
    </row>
    <row r="37" spans="3:21" x14ac:dyDescent="0.25">
      <c r="O37" s="23">
        <v>33</v>
      </c>
      <c r="P37" s="23">
        <f t="shared" si="3"/>
        <v>5.5531405477577761E-2</v>
      </c>
      <c r="Q37" s="23">
        <f t="shared" si="4"/>
        <v>5.5531407805884198E-2</v>
      </c>
      <c r="R37" s="23">
        <f t="shared" si="5"/>
        <v>5.5531406641730979E-2</v>
      </c>
      <c r="S37" s="24">
        <f t="shared" ref="S37:S68" si="6">$E$4-$E$10-$E$11*(1+P37)^(-$E$5/$L$9)-$E$13*(1+P37)^(-$H$13/$L$9)-$E$14*(1+P37)^(-$H$14/$L$9) +$E$24*((1-(1+P37)^(-$E$5/$L$9)))/(1-(1+P37)^(1/$L$9))+$E$17*((1-(1+P37)^(-$J$20/$M$4)))/(1-(1+P37)^(1/$M$4))+$E$18*((1-(1+P37)^(-$J$21/$M$5)))/(1-(1+P37)^(1/$M$5))+$E$19*((1-(1+P37)^(-$J$22/$M$6)))/(1-(1+P37)^(1/$M$6))+$E$20*((1-(1+P37)^(-$J$23/$M$7)))/(1-(1+P37)^(1/$M$7))+$E$21*((1-(1+P37)^(-$J$24/$M$8)))/(1-(1+P37)^(1/$M$8))</f>
        <v>-3.0565462876893434E-2</v>
      </c>
      <c r="T37" s="24">
        <f t="shared" ref="T37:T68" si="7">$E$4-$E$10-$E$11*(1+Q37)^(-$E$5/$L$9)-$E$13*(1+Q37)^(-$H$13/$L$9)-$E$14*(1+Q37)^(-$H$14/$L$9) +$E$24*((1-(1+Q37)^(-$E$5/$L$9)))/(1-(1+Q37)^(1/$L$9))+$E$17*((1-(1+Q37)^(-$J$20/$M$4)))/(1-(1+Q37)^(1/$M$4))+$E$18*((1-(1+Q37)^(-$J$21/$M$5)))/(1-(1+Q37)^(1/$M$5))+$E$19*((1-(1+Q37)^(-$J$22/$M$6)))/(1-(1+Q37)^(1/$M$6))+$E$20*((1-(1+Q37)^(-$J$23/$M$7)))/(1-(1+Q37)^(1/$M$7))+$E$21*((1-(1+Q37)^(-$J$24/$M$8)))/(1-(1+Q37)^(1/$M$8))</f>
        <v>6.7755447696981719E-2</v>
      </c>
      <c r="U37" s="24">
        <f t="shared" ref="U37:U68" si="8">$E$4-$E$10-$E$11*(1+R37)^(-$E$5/$L$9)-$E$13*(1+R37)^(-$H$13/$L$9)-$E$14*(1+R37)^(-$H$14/$L$9) +$E$24*((1-(1+R37)^(-$E$5/$L$9)))/(1-(1+R37)^(1/$L$9))+$E$17*((1-(1+R37)^(-$J$20/$M$4)))/(1-(1+R37)^(1/$M$4))+$E$18*((1-(1+R37)^(-$J$21/$M$5)))/(1-(1+R37)^(1/$M$5))+$E$19*((1-(1+R37)^(-$J$22/$M$6)))/(1-(1+R37)^(1/$M$6))+$E$20*((1-(1+R37)^(-$J$23/$M$7)))/(1-(1+R37)^(1/$M$7))+$E$21*((1-(1+R37)^(-$J$24/$M$8)))/(1-(1+R37)^(1/$M$8))</f>
        <v>1.8594893689623859E-2</v>
      </c>
    </row>
    <row r="38" spans="3:21" x14ac:dyDescent="0.25">
      <c r="O38" s="23">
        <v>34</v>
      </c>
      <c r="P38" s="23">
        <f t="shared" si="3"/>
        <v>5.5531405477577761E-2</v>
      </c>
      <c r="Q38" s="23">
        <f t="shared" si="4"/>
        <v>5.5531406641730979E-2</v>
      </c>
      <c r="R38" s="23">
        <f t="shared" si="5"/>
        <v>5.553140605965437E-2</v>
      </c>
      <c r="S38" s="24">
        <f t="shared" si="6"/>
        <v>-3.0565462876893434E-2</v>
      </c>
      <c r="T38" s="24">
        <f t="shared" si="7"/>
        <v>1.8594893689623859E-2</v>
      </c>
      <c r="U38" s="24">
        <f t="shared" si="8"/>
        <v>-5.9851868049918266E-3</v>
      </c>
    </row>
    <row r="39" spans="3:21" x14ac:dyDescent="0.25">
      <c r="O39" s="23">
        <v>35</v>
      </c>
      <c r="P39" s="23">
        <f t="shared" si="3"/>
        <v>5.553140605965437E-2</v>
      </c>
      <c r="Q39" s="23">
        <f t="shared" si="4"/>
        <v>5.5531406641730979E-2</v>
      </c>
      <c r="R39" s="23">
        <f t="shared" si="5"/>
        <v>5.5531406350692675E-2</v>
      </c>
      <c r="S39" s="24">
        <f t="shared" si="6"/>
        <v>-5.9851868049918266E-3</v>
      </c>
      <c r="T39" s="24">
        <f t="shared" si="7"/>
        <v>1.8594893689623859E-2</v>
      </c>
      <c r="U39" s="24">
        <f t="shared" si="8"/>
        <v>6.3048541405805736E-3</v>
      </c>
    </row>
    <row r="40" spans="3:21" x14ac:dyDescent="0.25">
      <c r="O40" s="23">
        <v>36</v>
      </c>
      <c r="P40" s="23">
        <f t="shared" si="3"/>
        <v>5.553140605965437E-2</v>
      </c>
      <c r="Q40" s="23">
        <f t="shared" si="4"/>
        <v>5.5531406350692675E-2</v>
      </c>
      <c r="R40" s="23">
        <f t="shared" si="5"/>
        <v>5.5531406205173522E-2</v>
      </c>
      <c r="S40" s="24">
        <f t="shared" si="6"/>
        <v>-5.9851868049918266E-3</v>
      </c>
      <c r="T40" s="24">
        <f t="shared" si="7"/>
        <v>6.3048541405805736E-3</v>
      </c>
      <c r="U40" s="24">
        <f t="shared" si="8"/>
        <v>1.5973541303537786E-4</v>
      </c>
    </row>
    <row r="41" spans="3:21" x14ac:dyDescent="0.25">
      <c r="O41" s="23">
        <v>37</v>
      </c>
      <c r="P41" s="23">
        <f t="shared" si="3"/>
        <v>5.553140605965437E-2</v>
      </c>
      <c r="Q41" s="23">
        <f t="shared" si="4"/>
        <v>5.5531406205173522E-2</v>
      </c>
      <c r="R41" s="23">
        <f t="shared" si="5"/>
        <v>5.5531406132413946E-2</v>
      </c>
      <c r="S41" s="24">
        <f t="shared" si="6"/>
        <v>-5.9851868049918266E-3</v>
      </c>
      <c r="T41" s="24">
        <f t="shared" si="7"/>
        <v>1.5973541303537786E-4</v>
      </c>
      <c r="U41" s="24">
        <f t="shared" si="8"/>
        <v>-2.9128244168532547E-3</v>
      </c>
    </row>
    <row r="42" spans="3:21" x14ac:dyDescent="0.25">
      <c r="O42" s="23">
        <v>38</v>
      </c>
      <c r="P42" s="23">
        <f t="shared" si="3"/>
        <v>5.5531406132413946E-2</v>
      </c>
      <c r="Q42" s="23">
        <f t="shared" si="4"/>
        <v>5.5531406205173522E-2</v>
      </c>
      <c r="R42" s="23">
        <f t="shared" si="5"/>
        <v>5.5531406168793734E-2</v>
      </c>
      <c r="S42" s="24">
        <f t="shared" si="6"/>
        <v>-2.9128244168532547E-3</v>
      </c>
      <c r="T42" s="24">
        <f t="shared" si="7"/>
        <v>1.5973541303537786E-4</v>
      </c>
      <c r="U42" s="24">
        <f t="shared" si="8"/>
        <v>-1.3764448494839598E-3</v>
      </c>
    </row>
    <row r="43" spans="3:21" x14ac:dyDescent="0.25">
      <c r="O43" s="23">
        <v>39</v>
      </c>
      <c r="P43" s="23">
        <f t="shared" si="3"/>
        <v>5.5531406168793734E-2</v>
      </c>
      <c r="Q43" s="23">
        <f t="shared" si="4"/>
        <v>5.5531406205173522E-2</v>
      </c>
      <c r="R43" s="23">
        <f t="shared" si="5"/>
        <v>5.5531406186983628E-2</v>
      </c>
      <c r="S43" s="24">
        <f t="shared" si="6"/>
        <v>-1.3764448494839598E-3</v>
      </c>
      <c r="T43" s="24">
        <f t="shared" si="7"/>
        <v>1.5973541303537786E-4</v>
      </c>
      <c r="U43" s="24">
        <f t="shared" si="8"/>
        <v>-6.0825809396192199E-4</v>
      </c>
    </row>
    <row r="44" spans="3:21" x14ac:dyDescent="0.25">
      <c r="O44" s="23">
        <v>40</v>
      </c>
      <c r="P44" s="23">
        <f t="shared" si="3"/>
        <v>5.5531406186983628E-2</v>
      </c>
      <c r="Q44" s="23">
        <f t="shared" si="4"/>
        <v>5.5531406205173522E-2</v>
      </c>
      <c r="R44" s="23">
        <f t="shared" si="5"/>
        <v>5.5531406196078575E-2</v>
      </c>
      <c r="S44" s="24">
        <f t="shared" si="6"/>
        <v>-6.0825809396192199E-4</v>
      </c>
      <c r="T44" s="24">
        <f t="shared" si="7"/>
        <v>1.5973541303537786E-4</v>
      </c>
      <c r="U44" s="24">
        <f t="shared" si="8"/>
        <v>-2.2426110808737576E-4</v>
      </c>
    </row>
    <row r="45" spans="3:21" x14ac:dyDescent="0.25">
      <c r="O45" s="23">
        <v>41</v>
      </c>
      <c r="P45" s="23">
        <f t="shared" si="3"/>
        <v>5.5531406196078575E-2</v>
      </c>
      <c r="Q45" s="23">
        <f t="shared" si="4"/>
        <v>5.5531406205173522E-2</v>
      </c>
      <c r="R45" s="23">
        <f t="shared" si="5"/>
        <v>5.5531406200626049E-2</v>
      </c>
      <c r="S45" s="24">
        <f t="shared" si="6"/>
        <v>-2.2426110808737576E-4</v>
      </c>
      <c r="T45" s="24">
        <f t="shared" si="7"/>
        <v>1.5973541303537786E-4</v>
      </c>
      <c r="U45" s="24">
        <f t="shared" si="8"/>
        <v>-3.2261682008538628E-5</v>
      </c>
    </row>
    <row r="46" spans="3:21" x14ac:dyDescent="0.25">
      <c r="O46" s="23">
        <v>42</v>
      </c>
      <c r="P46" s="23">
        <f t="shared" si="3"/>
        <v>5.5531406200626049E-2</v>
      </c>
      <c r="Q46" s="23">
        <f t="shared" si="4"/>
        <v>5.5531406205173522E-2</v>
      </c>
      <c r="R46" s="23">
        <f t="shared" si="5"/>
        <v>5.5531406202899786E-2</v>
      </c>
      <c r="S46" s="24">
        <f t="shared" si="6"/>
        <v>-3.2261682008538628E-5</v>
      </c>
      <c r="T46" s="24">
        <f t="shared" si="7"/>
        <v>1.5973541303537786E-4</v>
      </c>
      <c r="U46" s="24">
        <f t="shared" si="8"/>
        <v>6.3735001731402008E-5</v>
      </c>
    </row>
    <row r="47" spans="3:21" x14ac:dyDescent="0.25">
      <c r="O47" s="23">
        <v>43</v>
      </c>
      <c r="P47" s="23">
        <f t="shared" si="3"/>
        <v>5.5531406200626049E-2</v>
      </c>
      <c r="Q47" s="23">
        <f t="shared" si="4"/>
        <v>5.5531406202899786E-2</v>
      </c>
      <c r="R47" s="23">
        <f t="shared" si="5"/>
        <v>5.5531406201762917E-2</v>
      </c>
      <c r="S47" s="24">
        <f t="shared" si="6"/>
        <v>-3.2261682008538628E-5</v>
      </c>
      <c r="T47" s="24">
        <f t="shared" si="7"/>
        <v>6.3735001731402008E-5</v>
      </c>
      <c r="U47" s="24">
        <f t="shared" si="8"/>
        <v>1.5737591638753656E-5</v>
      </c>
    </row>
    <row r="48" spans="3:21" x14ac:dyDescent="0.25">
      <c r="O48" s="23">
        <v>44</v>
      </c>
      <c r="P48" s="23">
        <f t="shared" si="3"/>
        <v>5.5531406200626049E-2</v>
      </c>
      <c r="Q48" s="23">
        <f t="shared" si="4"/>
        <v>5.5531406201762917E-2</v>
      </c>
      <c r="R48" s="23">
        <f t="shared" si="5"/>
        <v>5.5531406201194483E-2</v>
      </c>
      <c r="S48" s="24">
        <f t="shared" si="6"/>
        <v>-3.2261682008538628E-5</v>
      </c>
      <c r="T48" s="24">
        <f t="shared" si="7"/>
        <v>1.5737591638753656E-5</v>
      </c>
      <c r="U48" s="24">
        <f t="shared" si="8"/>
        <v>-8.2643750829447526E-6</v>
      </c>
    </row>
    <row r="49" spans="15:21" x14ac:dyDescent="0.25">
      <c r="O49" s="23">
        <v>45</v>
      </c>
      <c r="P49" s="23">
        <f t="shared" si="3"/>
        <v>5.5531406201194483E-2</v>
      </c>
      <c r="Q49" s="23">
        <f t="shared" si="4"/>
        <v>5.5531406201762917E-2</v>
      </c>
      <c r="R49" s="23">
        <f t="shared" si="5"/>
        <v>5.55314062014787E-2</v>
      </c>
      <c r="S49" s="24">
        <f t="shared" si="6"/>
        <v>-8.2643750829447526E-6</v>
      </c>
      <c r="T49" s="24">
        <f t="shared" si="7"/>
        <v>1.5737591638753656E-5</v>
      </c>
      <c r="U49" s="24">
        <f t="shared" si="8"/>
        <v>3.8341636354743969E-6</v>
      </c>
    </row>
    <row r="50" spans="15:21" x14ac:dyDescent="0.25">
      <c r="O50" s="23">
        <v>46</v>
      </c>
      <c r="P50" s="23">
        <f t="shared" si="3"/>
        <v>5.5531406201194483E-2</v>
      </c>
      <c r="Q50" s="23">
        <f t="shared" si="4"/>
        <v>5.55314062014787E-2</v>
      </c>
      <c r="R50" s="23">
        <f t="shared" si="5"/>
        <v>5.5531406201336592E-2</v>
      </c>
      <c r="S50" s="24">
        <f t="shared" si="6"/>
        <v>-8.2643750829447526E-6</v>
      </c>
      <c r="T50" s="24">
        <f t="shared" si="7"/>
        <v>3.8341636354743969E-6</v>
      </c>
      <c r="U50" s="24">
        <f t="shared" si="8"/>
        <v>-2.2141739464132115E-6</v>
      </c>
    </row>
    <row r="51" spans="15:21" x14ac:dyDescent="0.25">
      <c r="O51" s="23">
        <v>47</v>
      </c>
      <c r="P51" s="23">
        <f t="shared" si="3"/>
        <v>5.5531406201336592E-2</v>
      </c>
      <c r="Q51" s="23">
        <f t="shared" si="4"/>
        <v>5.55314062014787E-2</v>
      </c>
      <c r="R51" s="23">
        <f t="shared" si="5"/>
        <v>5.5531406201407646E-2</v>
      </c>
      <c r="S51" s="24">
        <f t="shared" si="6"/>
        <v>-2.2141739464132115E-6</v>
      </c>
      <c r="T51" s="24">
        <f t="shared" si="7"/>
        <v>3.8341636354743969E-6</v>
      </c>
      <c r="U51" s="24">
        <f t="shared" si="8"/>
        <v>7.1383738031727262E-7</v>
      </c>
    </row>
    <row r="52" spans="15:21" x14ac:dyDescent="0.25">
      <c r="O52" s="23">
        <v>48</v>
      </c>
      <c r="P52" s="23">
        <f t="shared" si="3"/>
        <v>5.5531406201336592E-2</v>
      </c>
      <c r="Q52" s="23">
        <f t="shared" si="4"/>
        <v>5.5531406201407646E-2</v>
      </c>
      <c r="R52" s="23">
        <f t="shared" si="5"/>
        <v>5.5531406201372119E-2</v>
      </c>
      <c r="S52" s="24">
        <f t="shared" si="6"/>
        <v>-2.2141739464132115E-6</v>
      </c>
      <c r="T52" s="24">
        <f t="shared" si="7"/>
        <v>7.1383738031727262E-7</v>
      </c>
      <c r="U52" s="24">
        <f t="shared" si="8"/>
        <v>-6.5354470279999077E-7</v>
      </c>
    </row>
    <row r="53" spans="15:21" x14ac:dyDescent="0.25">
      <c r="O53" s="23">
        <v>49</v>
      </c>
      <c r="P53" s="23">
        <f t="shared" si="3"/>
        <v>5.5531406201372119E-2</v>
      </c>
      <c r="Q53" s="23">
        <f t="shared" si="4"/>
        <v>5.5531406201407646E-2</v>
      </c>
      <c r="R53" s="23">
        <f t="shared" si="5"/>
        <v>5.5531406201389882E-2</v>
      </c>
      <c r="S53" s="24">
        <f t="shared" si="6"/>
        <v>-6.5354470279999077E-7</v>
      </c>
      <c r="T53" s="24">
        <f t="shared" si="7"/>
        <v>7.1383738031727262E-7</v>
      </c>
      <c r="U53" s="24">
        <f t="shared" si="8"/>
        <v>3.0612227419624105E-8</v>
      </c>
    </row>
    <row r="54" spans="15:21" x14ac:dyDescent="0.25">
      <c r="O54" s="23">
        <v>50</v>
      </c>
      <c r="P54" s="23">
        <f t="shared" si="3"/>
        <v>5.5531406201372119E-2</v>
      </c>
      <c r="Q54" s="23">
        <f t="shared" si="4"/>
        <v>5.5531406201389882E-2</v>
      </c>
      <c r="R54" s="23">
        <f t="shared" si="5"/>
        <v>5.5531406201381001E-2</v>
      </c>
      <c r="S54" s="24">
        <f t="shared" si="6"/>
        <v>-6.5354470279999077E-7</v>
      </c>
      <c r="T54" s="24">
        <f t="shared" si="7"/>
        <v>3.0612227419624105E-8</v>
      </c>
      <c r="U54" s="24">
        <f t="shared" si="8"/>
        <v>-3.1053423299454153E-7</v>
      </c>
    </row>
    <row r="55" spans="15:21" x14ac:dyDescent="0.25">
      <c r="O55" s="23">
        <v>51</v>
      </c>
      <c r="P55" s="23">
        <f t="shared" ref="P55:P104" si="9">IF(S54*U54&gt;=0,R54,P54)</f>
        <v>5.5531406201381001E-2</v>
      </c>
      <c r="Q55" s="23">
        <f t="shared" ref="Q55:Q104" si="10">IF(T54*U54&gt;=0,R54,Q54)</f>
        <v>5.5531406201389882E-2</v>
      </c>
      <c r="R55" s="23">
        <f t="shared" ref="R55:R104" si="11">(P55+Q55)/2</f>
        <v>5.5531406201385441E-2</v>
      </c>
      <c r="S55" s="24">
        <f t="shared" si="6"/>
        <v>-3.1053423299454153E-7</v>
      </c>
      <c r="T55" s="24">
        <f t="shared" si="7"/>
        <v>3.0612227419624105E-8</v>
      </c>
      <c r="U55" s="24">
        <f t="shared" si="8"/>
        <v>-2.3821530703571625E-7</v>
      </c>
    </row>
    <row r="56" spans="15:21" x14ac:dyDescent="0.25">
      <c r="O56" s="23">
        <v>52</v>
      </c>
      <c r="P56" s="23">
        <f t="shared" si="9"/>
        <v>5.5531406201385441E-2</v>
      </c>
      <c r="Q56" s="23">
        <f t="shared" si="10"/>
        <v>5.5531406201389882E-2</v>
      </c>
      <c r="R56" s="23">
        <f t="shared" si="11"/>
        <v>5.5531406201387662E-2</v>
      </c>
      <c r="S56" s="24">
        <f t="shared" si="6"/>
        <v>-2.3821530703571625E-7</v>
      </c>
      <c r="T56" s="24">
        <f t="shared" si="7"/>
        <v>3.0612227419624105E-8</v>
      </c>
      <c r="U56" s="24">
        <f t="shared" si="8"/>
        <v>-1.0403437045169994E-7</v>
      </c>
    </row>
    <row r="57" spans="15:21" x14ac:dyDescent="0.25">
      <c r="O57" s="23">
        <v>53</v>
      </c>
      <c r="P57" s="23">
        <f t="shared" si="9"/>
        <v>5.5531406201387662E-2</v>
      </c>
      <c r="Q57" s="23">
        <f t="shared" si="10"/>
        <v>5.5531406201389882E-2</v>
      </c>
      <c r="R57" s="23">
        <f t="shared" si="11"/>
        <v>5.5531406201388772E-2</v>
      </c>
      <c r="S57" s="24">
        <f t="shared" si="6"/>
        <v>-1.0403437045169994E-7</v>
      </c>
      <c r="T57" s="24">
        <f t="shared" si="7"/>
        <v>3.0612227419624105E-8</v>
      </c>
      <c r="U57" s="24">
        <f t="shared" si="8"/>
        <v>6.1310856835916638E-8</v>
      </c>
    </row>
    <row r="58" spans="15:21" x14ac:dyDescent="0.25">
      <c r="O58" s="23">
        <v>54</v>
      </c>
      <c r="P58" s="23">
        <f t="shared" si="9"/>
        <v>5.5531406201387662E-2</v>
      </c>
      <c r="Q58" s="23">
        <f t="shared" si="10"/>
        <v>5.5531406201388772E-2</v>
      </c>
      <c r="R58" s="23">
        <f t="shared" si="11"/>
        <v>5.5531406201388217E-2</v>
      </c>
      <c r="S58" s="24">
        <f t="shared" si="6"/>
        <v>-1.0403437045169994E-7</v>
      </c>
      <c r="T58" s="24">
        <f t="shared" si="7"/>
        <v>6.1310856835916638E-8</v>
      </c>
      <c r="U58" s="24">
        <f t="shared" si="8"/>
        <v>-1.2310601960052736E-7</v>
      </c>
    </row>
    <row r="59" spans="15:21" x14ac:dyDescent="0.25">
      <c r="O59" s="23">
        <v>55</v>
      </c>
      <c r="P59" s="23">
        <f t="shared" si="9"/>
        <v>5.5531406201388217E-2</v>
      </c>
      <c r="Q59" s="23">
        <f t="shared" si="10"/>
        <v>5.5531406201388772E-2</v>
      </c>
      <c r="R59" s="23">
        <f t="shared" si="11"/>
        <v>5.5531406201388495E-2</v>
      </c>
      <c r="S59" s="24">
        <f t="shared" si="6"/>
        <v>-1.2310601960052736E-7</v>
      </c>
      <c r="T59" s="24">
        <f t="shared" si="7"/>
        <v>6.1310856835916638E-8</v>
      </c>
      <c r="U59" s="24">
        <f t="shared" si="8"/>
        <v>-1.3054977898718789E-7</v>
      </c>
    </row>
    <row r="60" spans="15:21" x14ac:dyDescent="0.25">
      <c r="O60" s="23">
        <v>56</v>
      </c>
      <c r="P60" s="23">
        <f t="shared" si="9"/>
        <v>5.5531406201388495E-2</v>
      </c>
      <c r="Q60" s="23">
        <f t="shared" si="10"/>
        <v>5.5531406201388772E-2</v>
      </c>
      <c r="R60" s="23">
        <f t="shared" si="11"/>
        <v>5.5531406201388633E-2</v>
      </c>
      <c r="S60" s="24">
        <f t="shared" si="6"/>
        <v>-1.3054977898718789E-7</v>
      </c>
      <c r="T60" s="24">
        <f t="shared" si="7"/>
        <v>6.1310856835916638E-8</v>
      </c>
      <c r="U60" s="24">
        <f t="shared" si="8"/>
        <v>6.1310856835916638E-8</v>
      </c>
    </row>
    <row r="61" spans="15:21" x14ac:dyDescent="0.25">
      <c r="O61" s="23">
        <v>57</v>
      </c>
      <c r="P61" s="23">
        <f t="shared" si="9"/>
        <v>5.5531406201388495E-2</v>
      </c>
      <c r="Q61" s="23">
        <f t="shared" si="10"/>
        <v>5.5531406201388633E-2</v>
      </c>
      <c r="R61" s="23">
        <f t="shared" si="11"/>
        <v>5.5531406201388564E-2</v>
      </c>
      <c r="S61" s="24">
        <f t="shared" si="6"/>
        <v>-1.3054977898718789E-7</v>
      </c>
      <c r="T61" s="24">
        <f t="shared" si="7"/>
        <v>6.1310856835916638E-8</v>
      </c>
      <c r="U61" s="24">
        <f t="shared" si="8"/>
        <v>-1.3054977898718789E-7</v>
      </c>
    </row>
    <row r="62" spans="15:21" x14ac:dyDescent="0.25">
      <c r="O62" s="23">
        <v>58</v>
      </c>
      <c r="P62" s="23">
        <f t="shared" si="9"/>
        <v>5.5531406201388564E-2</v>
      </c>
      <c r="Q62" s="23">
        <f t="shared" si="10"/>
        <v>5.5531406201388633E-2</v>
      </c>
      <c r="R62" s="23">
        <f t="shared" si="11"/>
        <v>5.5531406201388599E-2</v>
      </c>
      <c r="S62" s="24">
        <f t="shared" si="6"/>
        <v>-1.3054977898718789E-7</v>
      </c>
      <c r="T62" s="24">
        <f t="shared" si="7"/>
        <v>6.1310856835916638E-8</v>
      </c>
      <c r="U62" s="24">
        <f t="shared" si="8"/>
        <v>-1.3054977898718789E-7</v>
      </c>
    </row>
    <row r="63" spans="15:21" x14ac:dyDescent="0.25">
      <c r="O63" s="23">
        <v>59</v>
      </c>
      <c r="P63" s="23">
        <f t="shared" si="9"/>
        <v>5.5531406201388599E-2</v>
      </c>
      <c r="Q63" s="23">
        <f t="shared" si="10"/>
        <v>5.5531406201388633E-2</v>
      </c>
      <c r="R63" s="23">
        <f t="shared" si="11"/>
        <v>5.5531406201388619E-2</v>
      </c>
      <c r="S63" s="24">
        <f t="shared" si="6"/>
        <v>-1.3054977898718789E-7</v>
      </c>
      <c r="T63" s="24">
        <f t="shared" si="7"/>
        <v>6.1310856835916638E-8</v>
      </c>
      <c r="U63" s="24">
        <f t="shared" si="8"/>
        <v>-1.3054977898718789E-7</v>
      </c>
    </row>
    <row r="64" spans="15:21" x14ac:dyDescent="0.25">
      <c r="O64" s="23">
        <v>60</v>
      </c>
      <c r="P64" s="23">
        <f t="shared" si="9"/>
        <v>5.5531406201388619E-2</v>
      </c>
      <c r="Q64" s="23">
        <f t="shared" si="10"/>
        <v>5.5531406201388633E-2</v>
      </c>
      <c r="R64" s="23">
        <f t="shared" si="11"/>
        <v>5.5531406201388626E-2</v>
      </c>
      <c r="S64" s="24">
        <f t="shared" si="6"/>
        <v>-1.3054977898718789E-7</v>
      </c>
      <c r="T64" s="24">
        <f t="shared" si="7"/>
        <v>6.1310856835916638E-8</v>
      </c>
      <c r="U64" s="24">
        <f t="shared" si="8"/>
        <v>-1.3054977898718789E-7</v>
      </c>
    </row>
    <row r="65" spans="15:21" x14ac:dyDescent="0.25">
      <c r="O65" s="23">
        <v>61</v>
      </c>
      <c r="P65" s="23">
        <f t="shared" si="9"/>
        <v>5.5531406201388626E-2</v>
      </c>
      <c r="Q65" s="23">
        <f t="shared" si="10"/>
        <v>5.5531406201388633E-2</v>
      </c>
      <c r="R65" s="23">
        <f t="shared" si="11"/>
        <v>5.5531406201388633E-2</v>
      </c>
      <c r="S65" s="24">
        <f t="shared" si="6"/>
        <v>-1.3054977898718789E-7</v>
      </c>
      <c r="T65" s="24">
        <f t="shared" si="7"/>
        <v>6.1310856835916638E-8</v>
      </c>
      <c r="U65" s="24">
        <f t="shared" si="8"/>
        <v>6.1310856835916638E-8</v>
      </c>
    </row>
    <row r="66" spans="15:21" x14ac:dyDescent="0.25">
      <c r="O66" s="23">
        <v>62</v>
      </c>
      <c r="P66" s="23">
        <f t="shared" si="9"/>
        <v>5.5531406201388626E-2</v>
      </c>
      <c r="Q66" s="23">
        <f t="shared" si="10"/>
        <v>5.5531406201388633E-2</v>
      </c>
      <c r="R66" s="23">
        <f t="shared" si="11"/>
        <v>5.5531406201388633E-2</v>
      </c>
      <c r="S66" s="24">
        <f t="shared" si="6"/>
        <v>-1.3054977898718789E-7</v>
      </c>
      <c r="T66" s="24">
        <f t="shared" si="7"/>
        <v>6.1310856835916638E-8</v>
      </c>
      <c r="U66" s="24">
        <f t="shared" si="8"/>
        <v>6.1310856835916638E-8</v>
      </c>
    </row>
    <row r="67" spans="15:21" x14ac:dyDescent="0.25">
      <c r="O67" s="23">
        <v>63</v>
      </c>
      <c r="P67" s="23">
        <f t="shared" si="9"/>
        <v>5.5531406201388626E-2</v>
      </c>
      <c r="Q67" s="23">
        <f t="shared" si="10"/>
        <v>5.5531406201388633E-2</v>
      </c>
      <c r="R67" s="23">
        <f t="shared" si="11"/>
        <v>5.5531406201388633E-2</v>
      </c>
      <c r="S67" s="24">
        <f t="shared" si="6"/>
        <v>-1.3054977898718789E-7</v>
      </c>
      <c r="T67" s="24">
        <f t="shared" si="7"/>
        <v>6.1310856835916638E-8</v>
      </c>
      <c r="U67" s="24">
        <f t="shared" si="8"/>
        <v>6.1310856835916638E-8</v>
      </c>
    </row>
    <row r="68" spans="15:21" x14ac:dyDescent="0.25">
      <c r="O68" s="23">
        <v>64</v>
      </c>
      <c r="P68" s="23">
        <f t="shared" si="9"/>
        <v>5.5531406201388626E-2</v>
      </c>
      <c r="Q68" s="23">
        <f t="shared" si="10"/>
        <v>5.5531406201388633E-2</v>
      </c>
      <c r="R68" s="23">
        <f t="shared" si="11"/>
        <v>5.5531406201388633E-2</v>
      </c>
      <c r="S68" s="24">
        <f t="shared" si="6"/>
        <v>-1.3054977898718789E-7</v>
      </c>
      <c r="T68" s="24">
        <f t="shared" si="7"/>
        <v>6.1310856835916638E-8</v>
      </c>
      <c r="U68" s="24">
        <f t="shared" si="8"/>
        <v>6.1310856835916638E-8</v>
      </c>
    </row>
    <row r="69" spans="15:21" x14ac:dyDescent="0.25">
      <c r="O69" s="23">
        <v>65</v>
      </c>
      <c r="P69" s="23">
        <f t="shared" si="9"/>
        <v>5.5531406201388626E-2</v>
      </c>
      <c r="Q69" s="23">
        <f t="shared" si="10"/>
        <v>5.5531406201388633E-2</v>
      </c>
      <c r="R69" s="23">
        <f t="shared" si="11"/>
        <v>5.5531406201388633E-2</v>
      </c>
      <c r="S69" s="24">
        <f t="shared" ref="S69:S104" si="12">$E$4-$E$10-$E$11*(1+P69)^(-$E$5/$L$9)-$E$13*(1+P69)^(-$H$13/$L$9)-$E$14*(1+P69)^(-$H$14/$L$9) +$E$24*((1-(1+P69)^(-$E$5/$L$9)))/(1-(1+P69)^(1/$L$9))+$E$17*((1-(1+P69)^(-$J$20/$M$4)))/(1-(1+P69)^(1/$M$4))+$E$18*((1-(1+P69)^(-$J$21/$M$5)))/(1-(1+P69)^(1/$M$5))+$E$19*((1-(1+P69)^(-$J$22/$M$6)))/(1-(1+P69)^(1/$M$6))+$E$20*((1-(1+P69)^(-$J$23/$M$7)))/(1-(1+P69)^(1/$M$7))+$E$21*((1-(1+P69)^(-$J$24/$M$8)))/(1-(1+P69)^(1/$M$8))</f>
        <v>-1.3054977898718789E-7</v>
      </c>
      <c r="T69" s="24">
        <f t="shared" ref="T69:T104" si="13">$E$4-$E$10-$E$11*(1+Q69)^(-$E$5/$L$9)-$E$13*(1+Q69)^(-$H$13/$L$9)-$E$14*(1+Q69)^(-$H$14/$L$9) +$E$24*((1-(1+Q69)^(-$E$5/$L$9)))/(1-(1+Q69)^(1/$L$9))+$E$17*((1-(1+Q69)^(-$J$20/$M$4)))/(1-(1+Q69)^(1/$M$4))+$E$18*((1-(1+Q69)^(-$J$21/$M$5)))/(1-(1+Q69)^(1/$M$5))+$E$19*((1-(1+Q69)^(-$J$22/$M$6)))/(1-(1+Q69)^(1/$M$6))+$E$20*((1-(1+Q69)^(-$J$23/$M$7)))/(1-(1+Q69)^(1/$M$7))+$E$21*((1-(1+Q69)^(-$J$24/$M$8)))/(1-(1+Q69)^(1/$M$8))</f>
        <v>6.1310856835916638E-8</v>
      </c>
      <c r="U69" s="24">
        <f t="shared" ref="U69:U104" si="14">$E$4-$E$10-$E$11*(1+R69)^(-$E$5/$L$9)-$E$13*(1+R69)^(-$H$13/$L$9)-$E$14*(1+R69)^(-$H$14/$L$9) +$E$24*((1-(1+R69)^(-$E$5/$L$9)))/(1-(1+R69)^(1/$L$9))+$E$17*((1-(1+R69)^(-$J$20/$M$4)))/(1-(1+R69)^(1/$M$4))+$E$18*((1-(1+R69)^(-$J$21/$M$5)))/(1-(1+R69)^(1/$M$5))+$E$19*((1-(1+R69)^(-$J$22/$M$6)))/(1-(1+R69)^(1/$M$6))+$E$20*((1-(1+R69)^(-$J$23/$M$7)))/(1-(1+R69)^(1/$M$7))+$E$21*((1-(1+R69)^(-$J$24/$M$8)))/(1-(1+R69)^(1/$M$8))</f>
        <v>6.1310856835916638E-8</v>
      </c>
    </row>
    <row r="70" spans="15:21" x14ac:dyDescent="0.25">
      <c r="O70" s="23">
        <v>66</v>
      </c>
      <c r="P70" s="23">
        <f t="shared" si="9"/>
        <v>5.5531406201388626E-2</v>
      </c>
      <c r="Q70" s="23">
        <f t="shared" si="10"/>
        <v>5.5531406201388633E-2</v>
      </c>
      <c r="R70" s="23">
        <f t="shared" si="11"/>
        <v>5.5531406201388633E-2</v>
      </c>
      <c r="S70" s="24">
        <f t="shared" si="12"/>
        <v>-1.3054977898718789E-7</v>
      </c>
      <c r="T70" s="24">
        <f t="shared" si="13"/>
        <v>6.1310856835916638E-8</v>
      </c>
      <c r="U70" s="24">
        <f t="shared" si="14"/>
        <v>6.1310856835916638E-8</v>
      </c>
    </row>
    <row r="71" spans="15:21" x14ac:dyDescent="0.25">
      <c r="O71" s="23">
        <v>67</v>
      </c>
      <c r="P71" s="23">
        <f t="shared" si="9"/>
        <v>5.5531406201388626E-2</v>
      </c>
      <c r="Q71" s="23">
        <f t="shared" si="10"/>
        <v>5.5531406201388633E-2</v>
      </c>
      <c r="R71" s="23">
        <f t="shared" si="11"/>
        <v>5.5531406201388633E-2</v>
      </c>
      <c r="S71" s="24">
        <f t="shared" si="12"/>
        <v>-1.3054977898718789E-7</v>
      </c>
      <c r="T71" s="24">
        <f t="shared" si="13"/>
        <v>6.1310856835916638E-8</v>
      </c>
      <c r="U71" s="24">
        <f t="shared" si="14"/>
        <v>6.1310856835916638E-8</v>
      </c>
    </row>
    <row r="72" spans="15:21" x14ac:dyDescent="0.25">
      <c r="O72" s="23">
        <v>68</v>
      </c>
      <c r="P72" s="23">
        <f t="shared" si="9"/>
        <v>5.5531406201388626E-2</v>
      </c>
      <c r="Q72" s="23">
        <f t="shared" si="10"/>
        <v>5.5531406201388633E-2</v>
      </c>
      <c r="R72" s="23">
        <f t="shared" si="11"/>
        <v>5.5531406201388633E-2</v>
      </c>
      <c r="S72" s="24">
        <f t="shared" si="12"/>
        <v>-1.3054977898718789E-7</v>
      </c>
      <c r="T72" s="24">
        <f t="shared" si="13"/>
        <v>6.1310856835916638E-8</v>
      </c>
      <c r="U72" s="24">
        <f t="shared" si="14"/>
        <v>6.1310856835916638E-8</v>
      </c>
    </row>
    <row r="73" spans="15:21" x14ac:dyDescent="0.25">
      <c r="O73" s="23">
        <v>69</v>
      </c>
      <c r="P73" s="23">
        <f t="shared" si="9"/>
        <v>5.5531406201388626E-2</v>
      </c>
      <c r="Q73" s="23">
        <f t="shared" si="10"/>
        <v>5.5531406201388633E-2</v>
      </c>
      <c r="R73" s="23">
        <f t="shared" si="11"/>
        <v>5.5531406201388633E-2</v>
      </c>
      <c r="S73" s="24">
        <f t="shared" si="12"/>
        <v>-1.3054977898718789E-7</v>
      </c>
      <c r="T73" s="24">
        <f t="shared" si="13"/>
        <v>6.1310856835916638E-8</v>
      </c>
      <c r="U73" s="24">
        <f t="shared" si="14"/>
        <v>6.1310856835916638E-8</v>
      </c>
    </row>
    <row r="74" spans="15:21" x14ac:dyDescent="0.25">
      <c r="O74" s="23">
        <v>70</v>
      </c>
      <c r="P74" s="23">
        <f t="shared" si="9"/>
        <v>5.5531406201388626E-2</v>
      </c>
      <c r="Q74" s="23">
        <f t="shared" si="10"/>
        <v>5.5531406201388633E-2</v>
      </c>
      <c r="R74" s="23">
        <f t="shared" si="11"/>
        <v>5.5531406201388633E-2</v>
      </c>
      <c r="S74" s="24">
        <f t="shared" si="12"/>
        <v>-1.3054977898718789E-7</v>
      </c>
      <c r="T74" s="24">
        <f t="shared" si="13"/>
        <v>6.1310856835916638E-8</v>
      </c>
      <c r="U74" s="24">
        <f t="shared" si="14"/>
        <v>6.1310856835916638E-8</v>
      </c>
    </row>
    <row r="75" spans="15:21" x14ac:dyDescent="0.25">
      <c r="O75" s="23">
        <v>71</v>
      </c>
      <c r="P75" s="23">
        <f t="shared" si="9"/>
        <v>5.5531406201388626E-2</v>
      </c>
      <c r="Q75" s="23">
        <f t="shared" si="10"/>
        <v>5.5531406201388633E-2</v>
      </c>
      <c r="R75" s="23">
        <f t="shared" si="11"/>
        <v>5.5531406201388633E-2</v>
      </c>
      <c r="S75" s="24">
        <f t="shared" si="12"/>
        <v>-1.3054977898718789E-7</v>
      </c>
      <c r="T75" s="24">
        <f t="shared" si="13"/>
        <v>6.1310856835916638E-8</v>
      </c>
      <c r="U75" s="24">
        <f t="shared" si="14"/>
        <v>6.1310856835916638E-8</v>
      </c>
    </row>
    <row r="76" spans="15:21" x14ac:dyDescent="0.25">
      <c r="O76" s="23">
        <v>72</v>
      </c>
      <c r="P76" s="23">
        <f t="shared" si="9"/>
        <v>5.5531406201388626E-2</v>
      </c>
      <c r="Q76" s="23">
        <f t="shared" si="10"/>
        <v>5.5531406201388633E-2</v>
      </c>
      <c r="R76" s="23">
        <f t="shared" si="11"/>
        <v>5.5531406201388633E-2</v>
      </c>
      <c r="S76" s="24">
        <f t="shared" si="12"/>
        <v>-1.3054977898718789E-7</v>
      </c>
      <c r="T76" s="24">
        <f t="shared" si="13"/>
        <v>6.1310856835916638E-8</v>
      </c>
      <c r="U76" s="24">
        <f t="shared" si="14"/>
        <v>6.1310856835916638E-8</v>
      </c>
    </row>
    <row r="77" spans="15:21" x14ac:dyDescent="0.25">
      <c r="O77" s="23">
        <v>73</v>
      </c>
      <c r="P77" s="23">
        <f t="shared" si="9"/>
        <v>5.5531406201388626E-2</v>
      </c>
      <c r="Q77" s="23">
        <f t="shared" si="10"/>
        <v>5.5531406201388633E-2</v>
      </c>
      <c r="R77" s="23">
        <f t="shared" si="11"/>
        <v>5.5531406201388633E-2</v>
      </c>
      <c r="S77" s="24">
        <f t="shared" si="12"/>
        <v>-1.3054977898718789E-7</v>
      </c>
      <c r="T77" s="24">
        <f t="shared" si="13"/>
        <v>6.1310856835916638E-8</v>
      </c>
      <c r="U77" s="24">
        <f t="shared" si="14"/>
        <v>6.1310856835916638E-8</v>
      </c>
    </row>
    <row r="78" spans="15:21" x14ac:dyDescent="0.25">
      <c r="O78" s="23">
        <v>74</v>
      </c>
      <c r="P78" s="23">
        <f t="shared" si="9"/>
        <v>5.5531406201388626E-2</v>
      </c>
      <c r="Q78" s="23">
        <f t="shared" si="10"/>
        <v>5.5531406201388633E-2</v>
      </c>
      <c r="R78" s="23">
        <f t="shared" si="11"/>
        <v>5.5531406201388633E-2</v>
      </c>
      <c r="S78" s="24">
        <f t="shared" si="12"/>
        <v>-1.3054977898718789E-7</v>
      </c>
      <c r="T78" s="24">
        <f t="shared" si="13"/>
        <v>6.1310856835916638E-8</v>
      </c>
      <c r="U78" s="24">
        <f t="shared" si="14"/>
        <v>6.1310856835916638E-8</v>
      </c>
    </row>
    <row r="79" spans="15:21" x14ac:dyDescent="0.25">
      <c r="O79" s="23">
        <v>75</v>
      </c>
      <c r="P79" s="23">
        <f t="shared" si="9"/>
        <v>5.5531406201388626E-2</v>
      </c>
      <c r="Q79" s="23">
        <f t="shared" si="10"/>
        <v>5.5531406201388633E-2</v>
      </c>
      <c r="R79" s="23">
        <f t="shared" si="11"/>
        <v>5.5531406201388633E-2</v>
      </c>
      <c r="S79" s="24">
        <f t="shared" si="12"/>
        <v>-1.3054977898718789E-7</v>
      </c>
      <c r="T79" s="24">
        <f t="shared" si="13"/>
        <v>6.1310856835916638E-8</v>
      </c>
      <c r="U79" s="24">
        <f t="shared" si="14"/>
        <v>6.1310856835916638E-8</v>
      </c>
    </row>
    <row r="80" spans="15:21" x14ac:dyDescent="0.25">
      <c r="O80" s="23">
        <v>76</v>
      </c>
      <c r="P80" s="23">
        <f t="shared" si="9"/>
        <v>5.5531406201388626E-2</v>
      </c>
      <c r="Q80" s="23">
        <f t="shared" si="10"/>
        <v>5.5531406201388633E-2</v>
      </c>
      <c r="R80" s="23">
        <f t="shared" si="11"/>
        <v>5.5531406201388633E-2</v>
      </c>
      <c r="S80" s="24">
        <f t="shared" si="12"/>
        <v>-1.3054977898718789E-7</v>
      </c>
      <c r="T80" s="24">
        <f t="shared" si="13"/>
        <v>6.1310856835916638E-8</v>
      </c>
      <c r="U80" s="24">
        <f t="shared" si="14"/>
        <v>6.1310856835916638E-8</v>
      </c>
    </row>
    <row r="81" spans="15:21" x14ac:dyDescent="0.25">
      <c r="O81" s="23">
        <v>77</v>
      </c>
      <c r="P81" s="23">
        <f t="shared" si="9"/>
        <v>5.5531406201388626E-2</v>
      </c>
      <c r="Q81" s="23">
        <f t="shared" si="10"/>
        <v>5.5531406201388633E-2</v>
      </c>
      <c r="R81" s="23">
        <f t="shared" si="11"/>
        <v>5.5531406201388633E-2</v>
      </c>
      <c r="S81" s="24">
        <f t="shared" si="12"/>
        <v>-1.3054977898718789E-7</v>
      </c>
      <c r="T81" s="24">
        <f t="shared" si="13"/>
        <v>6.1310856835916638E-8</v>
      </c>
      <c r="U81" s="24">
        <f t="shared" si="14"/>
        <v>6.1310856835916638E-8</v>
      </c>
    </row>
    <row r="82" spans="15:21" x14ac:dyDescent="0.25">
      <c r="O82" s="23">
        <v>78</v>
      </c>
      <c r="P82" s="23">
        <f t="shared" si="9"/>
        <v>5.5531406201388626E-2</v>
      </c>
      <c r="Q82" s="23">
        <f t="shared" si="10"/>
        <v>5.5531406201388633E-2</v>
      </c>
      <c r="R82" s="23">
        <f t="shared" si="11"/>
        <v>5.5531406201388633E-2</v>
      </c>
      <c r="S82" s="24">
        <f t="shared" si="12"/>
        <v>-1.3054977898718789E-7</v>
      </c>
      <c r="T82" s="24">
        <f t="shared" si="13"/>
        <v>6.1310856835916638E-8</v>
      </c>
      <c r="U82" s="24">
        <f t="shared" si="14"/>
        <v>6.1310856835916638E-8</v>
      </c>
    </row>
    <row r="83" spans="15:21" x14ac:dyDescent="0.25">
      <c r="O83" s="23">
        <v>79</v>
      </c>
      <c r="P83" s="23">
        <f t="shared" si="9"/>
        <v>5.5531406201388626E-2</v>
      </c>
      <c r="Q83" s="23">
        <f t="shared" si="10"/>
        <v>5.5531406201388633E-2</v>
      </c>
      <c r="R83" s="23">
        <f t="shared" si="11"/>
        <v>5.5531406201388633E-2</v>
      </c>
      <c r="S83" s="24">
        <f t="shared" si="12"/>
        <v>-1.3054977898718789E-7</v>
      </c>
      <c r="T83" s="24">
        <f t="shared" si="13"/>
        <v>6.1310856835916638E-8</v>
      </c>
      <c r="U83" s="24">
        <f t="shared" si="14"/>
        <v>6.1310856835916638E-8</v>
      </c>
    </row>
    <row r="84" spans="15:21" x14ac:dyDescent="0.25">
      <c r="O84" s="23">
        <v>80</v>
      </c>
      <c r="P84" s="23">
        <f t="shared" si="9"/>
        <v>5.5531406201388626E-2</v>
      </c>
      <c r="Q84" s="23">
        <f t="shared" si="10"/>
        <v>5.5531406201388633E-2</v>
      </c>
      <c r="R84" s="23">
        <f t="shared" si="11"/>
        <v>5.5531406201388633E-2</v>
      </c>
      <c r="S84" s="24">
        <f t="shared" si="12"/>
        <v>-1.3054977898718789E-7</v>
      </c>
      <c r="T84" s="24">
        <f t="shared" si="13"/>
        <v>6.1310856835916638E-8</v>
      </c>
      <c r="U84" s="24">
        <f t="shared" si="14"/>
        <v>6.1310856835916638E-8</v>
      </c>
    </row>
    <row r="85" spans="15:21" x14ac:dyDescent="0.25">
      <c r="O85" s="23">
        <v>81</v>
      </c>
      <c r="P85" s="23">
        <f t="shared" si="9"/>
        <v>5.5531406201388626E-2</v>
      </c>
      <c r="Q85" s="23">
        <f t="shared" si="10"/>
        <v>5.5531406201388633E-2</v>
      </c>
      <c r="R85" s="23">
        <f t="shared" si="11"/>
        <v>5.5531406201388633E-2</v>
      </c>
      <c r="S85" s="24">
        <f t="shared" si="12"/>
        <v>-1.3054977898718789E-7</v>
      </c>
      <c r="T85" s="24">
        <f t="shared" si="13"/>
        <v>6.1310856835916638E-8</v>
      </c>
      <c r="U85" s="24">
        <f t="shared" si="14"/>
        <v>6.1310856835916638E-8</v>
      </c>
    </row>
    <row r="86" spans="15:21" x14ac:dyDescent="0.25">
      <c r="O86" s="23">
        <v>82</v>
      </c>
      <c r="P86" s="23">
        <f t="shared" si="9"/>
        <v>5.5531406201388626E-2</v>
      </c>
      <c r="Q86" s="23">
        <f t="shared" si="10"/>
        <v>5.5531406201388633E-2</v>
      </c>
      <c r="R86" s="23">
        <f t="shared" si="11"/>
        <v>5.5531406201388633E-2</v>
      </c>
      <c r="S86" s="24">
        <f t="shared" si="12"/>
        <v>-1.3054977898718789E-7</v>
      </c>
      <c r="T86" s="24">
        <f t="shared" si="13"/>
        <v>6.1310856835916638E-8</v>
      </c>
      <c r="U86" s="24">
        <f t="shared" si="14"/>
        <v>6.1310856835916638E-8</v>
      </c>
    </row>
    <row r="87" spans="15:21" x14ac:dyDescent="0.25">
      <c r="O87" s="23">
        <v>83</v>
      </c>
      <c r="P87" s="23">
        <f t="shared" si="9"/>
        <v>5.5531406201388626E-2</v>
      </c>
      <c r="Q87" s="23">
        <f t="shared" si="10"/>
        <v>5.5531406201388633E-2</v>
      </c>
      <c r="R87" s="23">
        <f t="shared" si="11"/>
        <v>5.5531406201388633E-2</v>
      </c>
      <c r="S87" s="24">
        <f t="shared" si="12"/>
        <v>-1.3054977898718789E-7</v>
      </c>
      <c r="T87" s="24">
        <f t="shared" si="13"/>
        <v>6.1310856835916638E-8</v>
      </c>
      <c r="U87" s="24">
        <f t="shared" si="14"/>
        <v>6.1310856835916638E-8</v>
      </c>
    </row>
    <row r="88" spans="15:21" x14ac:dyDescent="0.25">
      <c r="O88" s="23">
        <v>84</v>
      </c>
      <c r="P88" s="23">
        <f t="shared" si="9"/>
        <v>5.5531406201388626E-2</v>
      </c>
      <c r="Q88" s="23">
        <f t="shared" si="10"/>
        <v>5.5531406201388633E-2</v>
      </c>
      <c r="R88" s="23">
        <f t="shared" si="11"/>
        <v>5.5531406201388633E-2</v>
      </c>
      <c r="S88" s="24">
        <f t="shared" si="12"/>
        <v>-1.3054977898718789E-7</v>
      </c>
      <c r="T88" s="24">
        <f t="shared" si="13"/>
        <v>6.1310856835916638E-8</v>
      </c>
      <c r="U88" s="24">
        <f t="shared" si="14"/>
        <v>6.1310856835916638E-8</v>
      </c>
    </row>
    <row r="89" spans="15:21" x14ac:dyDescent="0.25">
      <c r="O89" s="23">
        <v>85</v>
      </c>
      <c r="P89" s="23">
        <f t="shared" si="9"/>
        <v>5.5531406201388626E-2</v>
      </c>
      <c r="Q89" s="23">
        <f t="shared" si="10"/>
        <v>5.5531406201388633E-2</v>
      </c>
      <c r="R89" s="23">
        <f t="shared" si="11"/>
        <v>5.5531406201388633E-2</v>
      </c>
      <c r="S89" s="24">
        <f t="shared" si="12"/>
        <v>-1.3054977898718789E-7</v>
      </c>
      <c r="T89" s="24">
        <f t="shared" si="13"/>
        <v>6.1310856835916638E-8</v>
      </c>
      <c r="U89" s="24">
        <f t="shared" si="14"/>
        <v>6.1310856835916638E-8</v>
      </c>
    </row>
    <row r="90" spans="15:21" x14ac:dyDescent="0.25">
      <c r="O90" s="23">
        <v>86</v>
      </c>
      <c r="P90" s="23">
        <f t="shared" si="9"/>
        <v>5.5531406201388626E-2</v>
      </c>
      <c r="Q90" s="23">
        <f t="shared" si="10"/>
        <v>5.5531406201388633E-2</v>
      </c>
      <c r="R90" s="23">
        <f t="shared" si="11"/>
        <v>5.5531406201388633E-2</v>
      </c>
      <c r="S90" s="24">
        <f t="shared" si="12"/>
        <v>-1.3054977898718789E-7</v>
      </c>
      <c r="T90" s="24">
        <f t="shared" si="13"/>
        <v>6.1310856835916638E-8</v>
      </c>
      <c r="U90" s="24">
        <f t="shared" si="14"/>
        <v>6.1310856835916638E-8</v>
      </c>
    </row>
    <row r="91" spans="15:21" x14ac:dyDescent="0.25">
      <c r="O91" s="23">
        <v>87</v>
      </c>
      <c r="P91" s="23">
        <f t="shared" si="9"/>
        <v>5.5531406201388626E-2</v>
      </c>
      <c r="Q91" s="23">
        <f t="shared" si="10"/>
        <v>5.5531406201388633E-2</v>
      </c>
      <c r="R91" s="23">
        <f t="shared" si="11"/>
        <v>5.5531406201388633E-2</v>
      </c>
      <c r="S91" s="24">
        <f t="shared" si="12"/>
        <v>-1.3054977898718789E-7</v>
      </c>
      <c r="T91" s="24">
        <f t="shared" si="13"/>
        <v>6.1310856835916638E-8</v>
      </c>
      <c r="U91" s="24">
        <f t="shared" si="14"/>
        <v>6.1310856835916638E-8</v>
      </c>
    </row>
    <row r="92" spans="15:21" x14ac:dyDescent="0.25">
      <c r="O92" s="23">
        <v>88</v>
      </c>
      <c r="P92" s="23">
        <f t="shared" si="9"/>
        <v>5.5531406201388626E-2</v>
      </c>
      <c r="Q92" s="23">
        <f t="shared" si="10"/>
        <v>5.5531406201388633E-2</v>
      </c>
      <c r="R92" s="23">
        <f t="shared" si="11"/>
        <v>5.5531406201388633E-2</v>
      </c>
      <c r="S92" s="24">
        <f t="shared" si="12"/>
        <v>-1.3054977898718789E-7</v>
      </c>
      <c r="T92" s="24">
        <f t="shared" si="13"/>
        <v>6.1310856835916638E-8</v>
      </c>
      <c r="U92" s="24">
        <f t="shared" si="14"/>
        <v>6.1310856835916638E-8</v>
      </c>
    </row>
    <row r="93" spans="15:21" x14ac:dyDescent="0.25">
      <c r="O93" s="23">
        <v>89</v>
      </c>
      <c r="P93" s="23">
        <f t="shared" si="9"/>
        <v>5.5531406201388626E-2</v>
      </c>
      <c r="Q93" s="23">
        <f t="shared" si="10"/>
        <v>5.5531406201388633E-2</v>
      </c>
      <c r="R93" s="23">
        <f t="shared" si="11"/>
        <v>5.5531406201388633E-2</v>
      </c>
      <c r="S93" s="24">
        <f t="shared" si="12"/>
        <v>-1.3054977898718789E-7</v>
      </c>
      <c r="T93" s="24">
        <f t="shared" si="13"/>
        <v>6.1310856835916638E-8</v>
      </c>
      <c r="U93" s="24">
        <f t="shared" si="14"/>
        <v>6.1310856835916638E-8</v>
      </c>
    </row>
    <row r="94" spans="15:21" x14ac:dyDescent="0.25">
      <c r="O94" s="23">
        <v>90</v>
      </c>
      <c r="P94" s="23">
        <f t="shared" si="9"/>
        <v>5.5531406201388626E-2</v>
      </c>
      <c r="Q94" s="23">
        <f t="shared" si="10"/>
        <v>5.5531406201388633E-2</v>
      </c>
      <c r="R94" s="23">
        <f t="shared" si="11"/>
        <v>5.5531406201388633E-2</v>
      </c>
      <c r="S94" s="24">
        <f t="shared" si="12"/>
        <v>-1.3054977898718789E-7</v>
      </c>
      <c r="T94" s="24">
        <f t="shared" si="13"/>
        <v>6.1310856835916638E-8</v>
      </c>
      <c r="U94" s="24">
        <f t="shared" si="14"/>
        <v>6.1310856835916638E-8</v>
      </c>
    </row>
    <row r="95" spans="15:21" x14ac:dyDescent="0.25">
      <c r="O95" s="23">
        <v>91</v>
      </c>
      <c r="P95" s="23">
        <f t="shared" si="9"/>
        <v>5.5531406201388626E-2</v>
      </c>
      <c r="Q95" s="23">
        <f t="shared" si="10"/>
        <v>5.5531406201388633E-2</v>
      </c>
      <c r="R95" s="23">
        <f t="shared" si="11"/>
        <v>5.5531406201388633E-2</v>
      </c>
      <c r="S95" s="24">
        <f t="shared" si="12"/>
        <v>-1.3054977898718789E-7</v>
      </c>
      <c r="T95" s="24">
        <f t="shared" si="13"/>
        <v>6.1310856835916638E-8</v>
      </c>
      <c r="U95" s="24">
        <f t="shared" si="14"/>
        <v>6.1310856835916638E-8</v>
      </c>
    </row>
    <row r="96" spans="15:21" x14ac:dyDescent="0.25">
      <c r="O96" s="23">
        <v>92</v>
      </c>
      <c r="P96" s="23">
        <f t="shared" si="9"/>
        <v>5.5531406201388626E-2</v>
      </c>
      <c r="Q96" s="23">
        <f t="shared" si="10"/>
        <v>5.5531406201388633E-2</v>
      </c>
      <c r="R96" s="23">
        <f t="shared" si="11"/>
        <v>5.5531406201388633E-2</v>
      </c>
      <c r="S96" s="24">
        <f t="shared" si="12"/>
        <v>-1.3054977898718789E-7</v>
      </c>
      <c r="T96" s="24">
        <f t="shared" si="13"/>
        <v>6.1310856835916638E-8</v>
      </c>
      <c r="U96" s="24">
        <f t="shared" si="14"/>
        <v>6.1310856835916638E-8</v>
      </c>
    </row>
    <row r="97" spans="15:44" x14ac:dyDescent="0.25">
      <c r="O97" s="23">
        <v>93</v>
      </c>
      <c r="P97" s="23">
        <f t="shared" si="9"/>
        <v>5.5531406201388626E-2</v>
      </c>
      <c r="Q97" s="23">
        <f t="shared" si="10"/>
        <v>5.5531406201388633E-2</v>
      </c>
      <c r="R97" s="23">
        <f t="shared" si="11"/>
        <v>5.5531406201388633E-2</v>
      </c>
      <c r="S97" s="24">
        <f t="shared" si="12"/>
        <v>-1.3054977898718789E-7</v>
      </c>
      <c r="T97" s="24">
        <f t="shared" si="13"/>
        <v>6.1310856835916638E-8</v>
      </c>
      <c r="U97" s="24">
        <f t="shared" si="14"/>
        <v>6.1310856835916638E-8</v>
      </c>
    </row>
    <row r="98" spans="15:44" x14ac:dyDescent="0.25">
      <c r="O98" s="23">
        <v>94</v>
      </c>
      <c r="P98" s="23">
        <f t="shared" si="9"/>
        <v>5.5531406201388626E-2</v>
      </c>
      <c r="Q98" s="23">
        <f t="shared" si="10"/>
        <v>5.5531406201388633E-2</v>
      </c>
      <c r="R98" s="23">
        <f t="shared" si="11"/>
        <v>5.5531406201388633E-2</v>
      </c>
      <c r="S98" s="24">
        <f t="shared" si="12"/>
        <v>-1.3054977898718789E-7</v>
      </c>
      <c r="T98" s="24">
        <f t="shared" si="13"/>
        <v>6.1310856835916638E-8</v>
      </c>
      <c r="U98" s="24">
        <f t="shared" si="14"/>
        <v>6.1310856835916638E-8</v>
      </c>
    </row>
    <row r="99" spans="15:44" x14ac:dyDescent="0.25">
      <c r="O99" s="23">
        <v>95</v>
      </c>
      <c r="P99" s="23">
        <f t="shared" si="9"/>
        <v>5.5531406201388626E-2</v>
      </c>
      <c r="Q99" s="23">
        <f t="shared" si="10"/>
        <v>5.5531406201388633E-2</v>
      </c>
      <c r="R99" s="23">
        <f t="shared" si="11"/>
        <v>5.5531406201388633E-2</v>
      </c>
      <c r="S99" s="24">
        <f t="shared" si="12"/>
        <v>-1.3054977898718789E-7</v>
      </c>
      <c r="T99" s="24">
        <f t="shared" si="13"/>
        <v>6.1310856835916638E-8</v>
      </c>
      <c r="U99" s="24">
        <f t="shared" si="14"/>
        <v>6.1310856835916638E-8</v>
      </c>
    </row>
    <row r="100" spans="15:44" x14ac:dyDescent="0.25">
      <c r="O100" s="23">
        <v>96</v>
      </c>
      <c r="P100" s="23">
        <f t="shared" si="9"/>
        <v>5.5531406201388626E-2</v>
      </c>
      <c r="Q100" s="23">
        <f t="shared" si="10"/>
        <v>5.5531406201388633E-2</v>
      </c>
      <c r="R100" s="23">
        <f t="shared" si="11"/>
        <v>5.5531406201388633E-2</v>
      </c>
      <c r="S100" s="24">
        <f t="shared" si="12"/>
        <v>-1.3054977898718789E-7</v>
      </c>
      <c r="T100" s="24">
        <f t="shared" si="13"/>
        <v>6.1310856835916638E-8</v>
      </c>
      <c r="U100" s="24">
        <f t="shared" si="14"/>
        <v>6.1310856835916638E-8</v>
      </c>
    </row>
    <row r="101" spans="15:44" x14ac:dyDescent="0.25">
      <c r="O101" s="23">
        <v>97</v>
      </c>
      <c r="P101" s="23">
        <f t="shared" si="9"/>
        <v>5.5531406201388626E-2</v>
      </c>
      <c r="Q101" s="23">
        <f t="shared" si="10"/>
        <v>5.5531406201388633E-2</v>
      </c>
      <c r="R101" s="23">
        <f t="shared" si="11"/>
        <v>5.5531406201388633E-2</v>
      </c>
      <c r="S101" s="24">
        <f t="shared" si="12"/>
        <v>-1.3054977898718789E-7</v>
      </c>
      <c r="T101" s="24">
        <f t="shared" si="13"/>
        <v>6.1310856835916638E-8</v>
      </c>
      <c r="U101" s="24">
        <f t="shared" si="14"/>
        <v>6.1310856835916638E-8</v>
      </c>
    </row>
    <row r="102" spans="15:44" x14ac:dyDescent="0.25">
      <c r="O102" s="23">
        <v>98</v>
      </c>
      <c r="P102" s="23">
        <f t="shared" si="9"/>
        <v>5.5531406201388626E-2</v>
      </c>
      <c r="Q102" s="23">
        <f t="shared" si="10"/>
        <v>5.5531406201388633E-2</v>
      </c>
      <c r="R102" s="23">
        <f t="shared" si="11"/>
        <v>5.5531406201388633E-2</v>
      </c>
      <c r="S102" s="24">
        <f t="shared" si="12"/>
        <v>-1.3054977898718789E-7</v>
      </c>
      <c r="T102" s="24">
        <f t="shared" si="13"/>
        <v>6.1310856835916638E-8</v>
      </c>
      <c r="U102" s="24">
        <f t="shared" si="14"/>
        <v>6.1310856835916638E-8</v>
      </c>
    </row>
    <row r="103" spans="15:44" x14ac:dyDescent="0.25">
      <c r="O103" s="23">
        <v>99</v>
      </c>
      <c r="P103" s="23">
        <f t="shared" si="9"/>
        <v>5.5531406201388626E-2</v>
      </c>
      <c r="Q103" s="23">
        <f t="shared" si="10"/>
        <v>5.5531406201388633E-2</v>
      </c>
      <c r="R103" s="23">
        <f t="shared" si="11"/>
        <v>5.5531406201388633E-2</v>
      </c>
      <c r="S103" s="24">
        <f t="shared" si="12"/>
        <v>-1.3054977898718789E-7</v>
      </c>
      <c r="T103" s="24">
        <f t="shared" si="13"/>
        <v>6.1310856835916638E-8</v>
      </c>
      <c r="U103" s="24">
        <f t="shared" si="14"/>
        <v>6.1310856835916638E-8</v>
      </c>
    </row>
    <row r="104" spans="15:44" x14ac:dyDescent="0.25">
      <c r="O104" s="23">
        <v>100</v>
      </c>
      <c r="P104" s="23">
        <f t="shared" si="9"/>
        <v>5.5531406201388626E-2</v>
      </c>
      <c r="Q104" s="23">
        <f t="shared" si="10"/>
        <v>5.5531406201388633E-2</v>
      </c>
      <c r="R104" s="23">
        <f t="shared" si="11"/>
        <v>5.5531406201388633E-2</v>
      </c>
      <c r="S104" s="24">
        <f t="shared" si="12"/>
        <v>-1.3054977898718789E-7</v>
      </c>
      <c r="T104" s="24">
        <f t="shared" si="13"/>
        <v>6.1310856835916638E-8</v>
      </c>
      <c r="U104" s="24">
        <f t="shared" si="14"/>
        <v>6.1310856835916638E-8</v>
      </c>
    </row>
    <row r="105" spans="15:44" x14ac:dyDescent="0.25">
      <c r="AK105"/>
      <c r="AL105"/>
      <c r="AM105"/>
      <c r="AN105"/>
      <c r="AO105"/>
      <c r="AP105"/>
      <c r="AQ105"/>
      <c r="AR105"/>
    </row>
    <row r="106" spans="15:44" x14ac:dyDescent="0.25">
      <c r="AK106"/>
      <c r="AL106"/>
      <c r="AM106"/>
      <c r="AN106"/>
      <c r="AO106"/>
      <c r="AP106"/>
      <c r="AQ106"/>
      <c r="AR106"/>
    </row>
    <row r="107" spans="15:44" x14ac:dyDescent="0.25">
      <c r="AK107"/>
      <c r="AL107"/>
      <c r="AM107"/>
      <c r="AN107"/>
      <c r="AO107"/>
      <c r="AP107"/>
      <c r="AQ107"/>
      <c r="AR107"/>
    </row>
    <row r="108" spans="15:44" x14ac:dyDescent="0.25">
      <c r="AK108"/>
      <c r="AL108"/>
      <c r="AM108"/>
      <c r="AN108"/>
      <c r="AO108"/>
      <c r="AP108"/>
      <c r="AQ108"/>
      <c r="AR108"/>
    </row>
    <row r="109" spans="15:44" x14ac:dyDescent="0.25">
      <c r="AK109"/>
      <c r="AL109"/>
      <c r="AM109"/>
      <c r="AN109"/>
      <c r="AO109"/>
      <c r="AP109"/>
      <c r="AQ109"/>
      <c r="AR109"/>
    </row>
    <row r="110" spans="15:44" x14ac:dyDescent="0.25">
      <c r="AK110"/>
      <c r="AL110"/>
      <c r="AM110"/>
      <c r="AN110"/>
      <c r="AO110"/>
      <c r="AP110"/>
      <c r="AQ110"/>
      <c r="AR110"/>
    </row>
    <row r="111" spans="15:44" x14ac:dyDescent="0.25">
      <c r="AK111"/>
      <c r="AL111"/>
      <c r="AM111"/>
      <c r="AN111"/>
      <c r="AO111"/>
      <c r="AP111"/>
      <c r="AQ111"/>
      <c r="AR111"/>
    </row>
    <row r="112" spans="15:44" x14ac:dyDescent="0.25">
      <c r="AK112"/>
      <c r="AL112"/>
      <c r="AM112"/>
      <c r="AN112"/>
      <c r="AO112"/>
      <c r="AP112"/>
      <c r="AQ112"/>
      <c r="AR112"/>
    </row>
    <row r="113" spans="37:44" x14ac:dyDescent="0.25">
      <c r="AK113"/>
      <c r="AL113"/>
      <c r="AM113"/>
      <c r="AN113"/>
      <c r="AO113"/>
      <c r="AP113"/>
      <c r="AQ113"/>
      <c r="AR113"/>
    </row>
    <row r="114" spans="37:44" x14ac:dyDescent="0.25">
      <c r="AK114"/>
      <c r="AL114"/>
      <c r="AM114"/>
      <c r="AN114"/>
      <c r="AO114"/>
      <c r="AP114"/>
      <c r="AQ114"/>
      <c r="AR114"/>
    </row>
    <row r="115" spans="37:44" x14ac:dyDescent="0.25">
      <c r="AK115"/>
      <c r="AL115"/>
      <c r="AM115"/>
      <c r="AN115"/>
      <c r="AO115"/>
      <c r="AP115"/>
      <c r="AQ115"/>
      <c r="AR115"/>
    </row>
    <row r="116" spans="37:44" x14ac:dyDescent="0.25">
      <c r="AK116"/>
      <c r="AL116"/>
      <c r="AM116"/>
      <c r="AN116"/>
      <c r="AO116"/>
      <c r="AP116"/>
      <c r="AQ116"/>
      <c r="AR116"/>
    </row>
    <row r="117" spans="37:44" x14ac:dyDescent="0.25">
      <c r="AK117"/>
      <c r="AL117"/>
      <c r="AM117"/>
      <c r="AN117"/>
      <c r="AO117"/>
      <c r="AP117"/>
      <c r="AQ117"/>
      <c r="AR117"/>
    </row>
    <row r="118" spans="37:44" x14ac:dyDescent="0.25">
      <c r="AK118"/>
      <c r="AL118"/>
      <c r="AM118"/>
      <c r="AN118"/>
      <c r="AO118"/>
      <c r="AP118"/>
      <c r="AQ118"/>
      <c r="AR118"/>
    </row>
    <row r="119" spans="37:44" x14ac:dyDescent="0.25">
      <c r="AK119"/>
      <c r="AL119"/>
      <c r="AM119"/>
      <c r="AN119"/>
      <c r="AO119"/>
      <c r="AP119"/>
      <c r="AQ119"/>
      <c r="AR119"/>
    </row>
    <row r="120" spans="37:44" x14ac:dyDescent="0.25">
      <c r="AK120"/>
      <c r="AL120"/>
      <c r="AM120"/>
      <c r="AN120"/>
      <c r="AO120"/>
      <c r="AP120"/>
      <c r="AQ120"/>
      <c r="AR120"/>
    </row>
    <row r="121" spans="37:44" x14ac:dyDescent="0.25">
      <c r="AK121"/>
      <c r="AL121"/>
      <c r="AM121"/>
      <c r="AN121"/>
      <c r="AO121"/>
      <c r="AP121"/>
      <c r="AQ121"/>
      <c r="AR121"/>
    </row>
    <row r="122" spans="37:44" x14ac:dyDescent="0.25">
      <c r="AK122"/>
      <c r="AL122"/>
      <c r="AM122"/>
      <c r="AN122"/>
      <c r="AO122"/>
      <c r="AP122"/>
      <c r="AQ122"/>
      <c r="AR122"/>
    </row>
    <row r="123" spans="37:44" x14ac:dyDescent="0.25">
      <c r="AK123"/>
      <c r="AL123"/>
      <c r="AM123"/>
      <c r="AN123"/>
      <c r="AO123"/>
      <c r="AP123"/>
      <c r="AQ123"/>
      <c r="AR123"/>
    </row>
    <row r="124" spans="37:44" x14ac:dyDescent="0.25">
      <c r="AK124"/>
      <c r="AL124"/>
      <c r="AM124"/>
      <c r="AN124"/>
      <c r="AO124"/>
      <c r="AP124"/>
      <c r="AQ124"/>
      <c r="AR124"/>
    </row>
    <row r="125" spans="37:44" x14ac:dyDescent="0.25">
      <c r="AK125"/>
      <c r="AL125"/>
      <c r="AM125"/>
      <c r="AN125"/>
      <c r="AO125"/>
      <c r="AP125"/>
      <c r="AQ125"/>
      <c r="AR125"/>
    </row>
    <row r="126" spans="37:44" x14ac:dyDescent="0.25">
      <c r="AK126"/>
      <c r="AL126"/>
      <c r="AM126"/>
      <c r="AN126"/>
      <c r="AO126"/>
      <c r="AP126"/>
      <c r="AQ126"/>
      <c r="AR126"/>
    </row>
    <row r="127" spans="37:44" x14ac:dyDescent="0.25">
      <c r="AK127"/>
      <c r="AL127"/>
      <c r="AM127"/>
      <c r="AN127"/>
      <c r="AO127"/>
      <c r="AP127"/>
      <c r="AQ127"/>
      <c r="AR127"/>
    </row>
    <row r="128" spans="37:44" x14ac:dyDescent="0.25">
      <c r="AK128"/>
      <c r="AL128"/>
      <c r="AM128"/>
      <c r="AN128"/>
      <c r="AO128"/>
      <c r="AP128"/>
      <c r="AQ128"/>
      <c r="AR128"/>
    </row>
    <row r="129" spans="37:44" x14ac:dyDescent="0.25">
      <c r="AK129"/>
      <c r="AL129"/>
      <c r="AM129"/>
      <c r="AN129"/>
      <c r="AO129"/>
      <c r="AP129"/>
      <c r="AQ129"/>
      <c r="AR129"/>
    </row>
    <row r="130" spans="37:44" x14ac:dyDescent="0.25">
      <c r="AK130"/>
      <c r="AL130"/>
      <c r="AM130"/>
      <c r="AN130"/>
      <c r="AO130"/>
      <c r="AP130"/>
      <c r="AQ130"/>
      <c r="AR130"/>
    </row>
    <row r="131" spans="37:44" x14ac:dyDescent="0.25">
      <c r="AK131"/>
      <c r="AL131"/>
      <c r="AM131"/>
      <c r="AN131"/>
      <c r="AO131"/>
      <c r="AP131"/>
      <c r="AQ131"/>
      <c r="AR131"/>
    </row>
    <row r="132" spans="37:44" x14ac:dyDescent="0.25">
      <c r="AK132"/>
      <c r="AL132"/>
      <c r="AM132"/>
      <c r="AN132"/>
      <c r="AO132"/>
      <c r="AP132"/>
      <c r="AQ132"/>
      <c r="AR132"/>
    </row>
    <row r="133" spans="37:44" x14ac:dyDescent="0.25">
      <c r="AK133"/>
      <c r="AL133"/>
      <c r="AM133"/>
      <c r="AN133"/>
      <c r="AO133"/>
      <c r="AP133"/>
      <c r="AQ133"/>
      <c r="AR133"/>
    </row>
    <row r="134" spans="37:44" x14ac:dyDescent="0.25">
      <c r="AK134"/>
      <c r="AL134"/>
      <c r="AM134"/>
      <c r="AN134"/>
      <c r="AO134"/>
      <c r="AP134"/>
      <c r="AQ134"/>
      <c r="AR134"/>
    </row>
    <row r="135" spans="37:44" x14ac:dyDescent="0.25">
      <c r="AK135"/>
      <c r="AL135"/>
      <c r="AM135"/>
      <c r="AN135"/>
      <c r="AO135"/>
      <c r="AP135"/>
      <c r="AQ135"/>
      <c r="AR135"/>
    </row>
    <row r="136" spans="37:44" x14ac:dyDescent="0.25">
      <c r="AK136"/>
      <c r="AL136"/>
      <c r="AM136"/>
      <c r="AN136"/>
      <c r="AO136"/>
      <c r="AP136"/>
      <c r="AQ136"/>
      <c r="AR136"/>
    </row>
    <row r="137" spans="37:44" x14ac:dyDescent="0.25">
      <c r="AK137"/>
      <c r="AL137"/>
      <c r="AM137"/>
      <c r="AN137"/>
      <c r="AO137"/>
      <c r="AP137"/>
      <c r="AQ137"/>
      <c r="AR137"/>
    </row>
    <row r="138" spans="37:44" x14ac:dyDescent="0.25">
      <c r="AK138"/>
      <c r="AL138"/>
      <c r="AM138"/>
      <c r="AN138"/>
      <c r="AO138"/>
      <c r="AP138"/>
      <c r="AQ138"/>
      <c r="AR138"/>
    </row>
    <row r="139" spans="37:44" x14ac:dyDescent="0.25">
      <c r="AK139"/>
      <c r="AL139"/>
      <c r="AM139"/>
      <c r="AN139"/>
      <c r="AO139"/>
      <c r="AP139"/>
      <c r="AQ139"/>
      <c r="AR139"/>
    </row>
    <row r="140" spans="37:44" x14ac:dyDescent="0.25">
      <c r="AK140"/>
      <c r="AL140"/>
      <c r="AM140"/>
      <c r="AN140"/>
      <c r="AO140"/>
      <c r="AP140"/>
      <c r="AQ140"/>
      <c r="AR140"/>
    </row>
    <row r="141" spans="37:44" x14ac:dyDescent="0.25">
      <c r="AK141"/>
      <c r="AL141"/>
      <c r="AM141"/>
      <c r="AN141"/>
      <c r="AO141"/>
      <c r="AP141"/>
      <c r="AQ141"/>
      <c r="AR141"/>
    </row>
    <row r="142" spans="37:44" x14ac:dyDescent="0.25">
      <c r="AK142"/>
      <c r="AL142"/>
      <c r="AM142"/>
      <c r="AN142"/>
      <c r="AO142"/>
      <c r="AP142"/>
      <c r="AQ142"/>
      <c r="AR142"/>
    </row>
    <row r="143" spans="37:44" x14ac:dyDescent="0.25">
      <c r="AK143"/>
      <c r="AL143"/>
      <c r="AM143"/>
      <c r="AN143"/>
      <c r="AO143"/>
      <c r="AP143"/>
      <c r="AQ143"/>
      <c r="AR143"/>
    </row>
    <row r="144" spans="37:44" x14ac:dyDescent="0.25">
      <c r="AK144"/>
      <c r="AL144"/>
      <c r="AM144"/>
      <c r="AN144"/>
      <c r="AO144"/>
      <c r="AP144"/>
      <c r="AQ144"/>
      <c r="AR144"/>
    </row>
    <row r="145" spans="37:44" x14ac:dyDescent="0.25">
      <c r="AK145"/>
      <c r="AL145"/>
      <c r="AM145"/>
      <c r="AN145"/>
      <c r="AO145"/>
      <c r="AP145"/>
      <c r="AQ145"/>
      <c r="AR145"/>
    </row>
    <row r="146" spans="37:44" x14ac:dyDescent="0.25">
      <c r="AK146"/>
      <c r="AL146"/>
      <c r="AM146"/>
      <c r="AN146"/>
      <c r="AO146"/>
      <c r="AP146"/>
      <c r="AQ146"/>
      <c r="AR146"/>
    </row>
    <row r="147" spans="37:44" x14ac:dyDescent="0.25">
      <c r="AK147"/>
      <c r="AL147"/>
      <c r="AM147"/>
      <c r="AN147"/>
      <c r="AO147"/>
      <c r="AP147"/>
      <c r="AQ147"/>
      <c r="AR147"/>
    </row>
    <row r="148" spans="37:44" x14ac:dyDescent="0.25">
      <c r="AK148"/>
      <c r="AL148"/>
      <c r="AM148"/>
      <c r="AN148"/>
      <c r="AO148"/>
      <c r="AP148"/>
      <c r="AQ148"/>
      <c r="AR148"/>
    </row>
    <row r="149" spans="37:44" x14ac:dyDescent="0.25">
      <c r="AK149"/>
      <c r="AL149"/>
      <c r="AM149"/>
      <c r="AN149"/>
      <c r="AO149"/>
      <c r="AP149"/>
      <c r="AQ149"/>
      <c r="AR149"/>
    </row>
    <row r="150" spans="37:44" x14ac:dyDescent="0.25">
      <c r="AK150"/>
      <c r="AL150"/>
      <c r="AM150"/>
      <c r="AN150"/>
      <c r="AO150"/>
      <c r="AP150"/>
      <c r="AQ150"/>
      <c r="AR150"/>
    </row>
    <row r="151" spans="37:44" x14ac:dyDescent="0.25">
      <c r="AK151"/>
      <c r="AL151"/>
      <c r="AM151"/>
      <c r="AN151"/>
      <c r="AO151"/>
      <c r="AP151"/>
      <c r="AQ151"/>
      <c r="AR151"/>
    </row>
    <row r="152" spans="37:44" x14ac:dyDescent="0.25">
      <c r="AK152"/>
      <c r="AL152"/>
      <c r="AM152"/>
      <c r="AN152"/>
      <c r="AO152"/>
      <c r="AP152"/>
      <c r="AQ152"/>
      <c r="AR152"/>
    </row>
    <row r="153" spans="37:44" x14ac:dyDescent="0.25">
      <c r="AK153"/>
      <c r="AL153"/>
      <c r="AM153"/>
      <c r="AN153"/>
      <c r="AO153"/>
      <c r="AP153"/>
      <c r="AQ153"/>
      <c r="AR153"/>
    </row>
    <row r="154" spans="37:44" x14ac:dyDescent="0.25">
      <c r="AK154"/>
      <c r="AL154"/>
      <c r="AM154"/>
      <c r="AN154"/>
      <c r="AO154"/>
      <c r="AP154"/>
      <c r="AQ154"/>
      <c r="AR154"/>
    </row>
    <row r="155" spans="37:44" x14ac:dyDescent="0.25">
      <c r="AK155"/>
      <c r="AL155"/>
      <c r="AM155"/>
      <c r="AN155"/>
      <c r="AO155"/>
      <c r="AP155"/>
      <c r="AQ155"/>
      <c r="AR155"/>
    </row>
    <row r="156" spans="37:44" x14ac:dyDescent="0.25">
      <c r="AK156"/>
      <c r="AL156"/>
      <c r="AM156"/>
      <c r="AN156"/>
      <c r="AO156"/>
      <c r="AP156"/>
      <c r="AQ156"/>
      <c r="AR156"/>
    </row>
    <row r="157" spans="37:44" x14ac:dyDescent="0.25">
      <c r="AK157"/>
      <c r="AL157"/>
      <c r="AM157"/>
      <c r="AN157"/>
      <c r="AO157"/>
      <c r="AP157"/>
      <c r="AQ157"/>
      <c r="AR157"/>
    </row>
    <row r="158" spans="37:44" x14ac:dyDescent="0.25">
      <c r="AK158"/>
      <c r="AL158"/>
      <c r="AM158"/>
      <c r="AN158"/>
      <c r="AO158"/>
      <c r="AP158"/>
      <c r="AQ158"/>
      <c r="AR158"/>
    </row>
    <row r="159" spans="37:44" x14ac:dyDescent="0.25">
      <c r="AK159"/>
      <c r="AL159"/>
      <c r="AM159"/>
      <c r="AN159"/>
      <c r="AO159"/>
      <c r="AP159"/>
      <c r="AQ159"/>
      <c r="AR159"/>
    </row>
    <row r="160" spans="37:44" x14ac:dyDescent="0.25">
      <c r="AK160"/>
      <c r="AL160"/>
      <c r="AM160"/>
      <c r="AN160"/>
      <c r="AO160"/>
      <c r="AP160"/>
      <c r="AQ160"/>
      <c r="AR160"/>
    </row>
    <row r="161" spans="37:44" x14ac:dyDescent="0.25">
      <c r="AK161"/>
      <c r="AL161"/>
      <c r="AM161"/>
      <c r="AN161"/>
      <c r="AO161"/>
      <c r="AP161"/>
      <c r="AQ161"/>
      <c r="AR161"/>
    </row>
    <row r="162" spans="37:44" x14ac:dyDescent="0.25">
      <c r="AK162"/>
      <c r="AL162"/>
      <c r="AM162"/>
      <c r="AN162"/>
      <c r="AO162"/>
      <c r="AP162"/>
      <c r="AQ162"/>
      <c r="AR162"/>
    </row>
    <row r="163" spans="37:44" x14ac:dyDescent="0.25">
      <c r="AK163"/>
      <c r="AL163"/>
      <c r="AM163"/>
      <c r="AN163"/>
      <c r="AO163"/>
      <c r="AP163"/>
      <c r="AQ163"/>
      <c r="AR163"/>
    </row>
    <row r="164" spans="37:44" x14ac:dyDescent="0.25">
      <c r="AK164"/>
      <c r="AL164"/>
      <c r="AM164"/>
      <c r="AN164"/>
      <c r="AO164"/>
      <c r="AP164"/>
      <c r="AQ164"/>
      <c r="AR164"/>
    </row>
    <row r="165" spans="37:44" x14ac:dyDescent="0.25">
      <c r="AK165"/>
      <c r="AL165"/>
      <c r="AM165"/>
      <c r="AN165"/>
      <c r="AO165"/>
      <c r="AP165"/>
      <c r="AQ165"/>
      <c r="AR165"/>
    </row>
    <row r="166" spans="37:44" x14ac:dyDescent="0.25">
      <c r="AK166"/>
      <c r="AL166"/>
      <c r="AM166"/>
      <c r="AN166"/>
      <c r="AO166"/>
      <c r="AP166"/>
      <c r="AQ166"/>
      <c r="AR166"/>
    </row>
    <row r="167" spans="37:44" x14ac:dyDescent="0.25">
      <c r="AK167"/>
      <c r="AL167"/>
      <c r="AM167"/>
      <c r="AN167"/>
      <c r="AO167"/>
      <c r="AP167"/>
      <c r="AQ167"/>
      <c r="AR167"/>
    </row>
    <row r="168" spans="37:44" x14ac:dyDescent="0.25">
      <c r="AK168"/>
      <c r="AL168"/>
      <c r="AM168"/>
      <c r="AN168"/>
      <c r="AO168"/>
      <c r="AP168"/>
      <c r="AQ168"/>
      <c r="AR168"/>
    </row>
    <row r="169" spans="37:44" x14ac:dyDescent="0.25">
      <c r="AK169"/>
      <c r="AL169"/>
      <c r="AM169"/>
      <c r="AN169"/>
      <c r="AO169"/>
      <c r="AP169"/>
      <c r="AQ169"/>
      <c r="AR169"/>
    </row>
    <row r="170" spans="37:44" x14ac:dyDescent="0.25">
      <c r="AK170"/>
      <c r="AL170"/>
      <c r="AM170"/>
      <c r="AN170"/>
      <c r="AO170"/>
      <c r="AP170"/>
      <c r="AQ170"/>
      <c r="AR170"/>
    </row>
    <row r="171" spans="37:44" x14ac:dyDescent="0.25">
      <c r="AK171"/>
      <c r="AL171"/>
      <c r="AM171"/>
      <c r="AN171"/>
      <c r="AO171"/>
      <c r="AP171"/>
      <c r="AQ171"/>
      <c r="AR171"/>
    </row>
    <row r="172" spans="37:44" x14ac:dyDescent="0.25">
      <c r="AK172"/>
      <c r="AL172"/>
      <c r="AM172"/>
      <c r="AN172"/>
      <c r="AO172"/>
      <c r="AP172"/>
      <c r="AQ172"/>
      <c r="AR172"/>
    </row>
    <row r="173" spans="37:44" x14ac:dyDescent="0.25">
      <c r="AK173"/>
      <c r="AL173"/>
      <c r="AM173"/>
      <c r="AN173"/>
      <c r="AO173"/>
      <c r="AP173"/>
      <c r="AQ173"/>
      <c r="AR173"/>
    </row>
    <row r="174" spans="37:44" x14ac:dyDescent="0.25">
      <c r="AK174"/>
      <c r="AL174"/>
      <c r="AM174"/>
      <c r="AN174"/>
      <c r="AO174"/>
      <c r="AP174"/>
      <c r="AQ174"/>
      <c r="AR174"/>
    </row>
    <row r="175" spans="37:44" x14ac:dyDescent="0.25">
      <c r="AK175"/>
      <c r="AL175"/>
      <c r="AM175"/>
      <c r="AN175"/>
      <c r="AO175"/>
      <c r="AP175"/>
      <c r="AQ175"/>
      <c r="AR175"/>
    </row>
    <row r="176" spans="37:44" x14ac:dyDescent="0.25">
      <c r="AK176"/>
      <c r="AL176"/>
      <c r="AM176"/>
      <c r="AN176"/>
      <c r="AO176"/>
      <c r="AP176"/>
      <c r="AQ176"/>
      <c r="AR176"/>
    </row>
    <row r="177" spans="37:44" x14ac:dyDescent="0.25">
      <c r="AK177"/>
      <c r="AL177"/>
      <c r="AM177"/>
      <c r="AN177"/>
      <c r="AO177"/>
      <c r="AP177"/>
      <c r="AQ177"/>
      <c r="AR177"/>
    </row>
    <row r="178" spans="37:44" x14ac:dyDescent="0.25">
      <c r="AK178"/>
      <c r="AL178"/>
      <c r="AM178"/>
      <c r="AN178"/>
      <c r="AO178"/>
      <c r="AP178"/>
      <c r="AQ178"/>
      <c r="AR178"/>
    </row>
    <row r="179" spans="37:44" x14ac:dyDescent="0.25">
      <c r="AK179"/>
      <c r="AL179"/>
      <c r="AM179"/>
      <c r="AN179"/>
      <c r="AO179"/>
      <c r="AP179"/>
      <c r="AQ179"/>
      <c r="AR179"/>
    </row>
    <row r="180" spans="37:44" x14ac:dyDescent="0.25">
      <c r="AK180"/>
      <c r="AL180"/>
      <c r="AM180"/>
      <c r="AN180"/>
      <c r="AO180"/>
      <c r="AP180"/>
      <c r="AQ180"/>
      <c r="AR180"/>
    </row>
    <row r="181" spans="37:44" x14ac:dyDescent="0.25">
      <c r="AK181"/>
      <c r="AL181"/>
      <c r="AM181"/>
      <c r="AN181"/>
      <c r="AO181"/>
      <c r="AP181"/>
      <c r="AQ181"/>
      <c r="AR181"/>
    </row>
    <row r="182" spans="37:44" x14ac:dyDescent="0.25">
      <c r="AK182"/>
      <c r="AL182"/>
      <c r="AM182"/>
      <c r="AN182"/>
      <c r="AO182"/>
      <c r="AP182"/>
      <c r="AQ182"/>
      <c r="AR182"/>
    </row>
    <row r="183" spans="37:44" x14ac:dyDescent="0.25">
      <c r="AK183"/>
      <c r="AL183"/>
      <c r="AM183"/>
      <c r="AN183"/>
      <c r="AO183"/>
      <c r="AP183"/>
      <c r="AQ183"/>
      <c r="AR183"/>
    </row>
    <row r="184" spans="37:44" x14ac:dyDescent="0.25">
      <c r="AK184"/>
      <c r="AL184"/>
      <c r="AM184"/>
      <c r="AN184"/>
      <c r="AO184"/>
      <c r="AP184"/>
      <c r="AQ184"/>
      <c r="AR184"/>
    </row>
    <row r="185" spans="37:44" x14ac:dyDescent="0.25">
      <c r="AK185"/>
      <c r="AL185"/>
      <c r="AM185"/>
      <c r="AN185"/>
      <c r="AO185"/>
      <c r="AP185"/>
      <c r="AQ185"/>
      <c r="AR185"/>
    </row>
    <row r="186" spans="37:44" x14ac:dyDescent="0.25">
      <c r="AK186"/>
      <c r="AL186"/>
      <c r="AM186"/>
      <c r="AN186"/>
      <c r="AO186"/>
      <c r="AP186"/>
      <c r="AQ186"/>
      <c r="AR186"/>
    </row>
    <row r="187" spans="37:44" x14ac:dyDescent="0.25">
      <c r="AK187"/>
      <c r="AL187"/>
      <c r="AM187"/>
      <c r="AN187"/>
      <c r="AO187"/>
      <c r="AP187"/>
      <c r="AQ187"/>
      <c r="AR187"/>
    </row>
    <row r="188" spans="37:44" x14ac:dyDescent="0.25">
      <c r="AK188"/>
      <c r="AL188"/>
      <c r="AM188"/>
      <c r="AN188"/>
      <c r="AO188"/>
      <c r="AP188"/>
      <c r="AQ188"/>
      <c r="AR188"/>
    </row>
    <row r="189" spans="37:44" x14ac:dyDescent="0.25">
      <c r="AK189"/>
      <c r="AL189"/>
      <c r="AM189"/>
      <c r="AN189"/>
      <c r="AO189"/>
      <c r="AP189"/>
      <c r="AQ189"/>
      <c r="AR189"/>
    </row>
    <row r="190" spans="37:44" x14ac:dyDescent="0.25">
      <c r="AK190"/>
      <c r="AL190"/>
      <c r="AM190"/>
      <c r="AN190"/>
      <c r="AO190"/>
      <c r="AP190"/>
      <c r="AQ190"/>
      <c r="AR190"/>
    </row>
    <row r="191" spans="37:44" x14ac:dyDescent="0.25">
      <c r="AK191"/>
      <c r="AL191"/>
      <c r="AM191"/>
      <c r="AN191"/>
      <c r="AO191"/>
      <c r="AP191"/>
      <c r="AQ191"/>
      <c r="AR191"/>
    </row>
    <row r="192" spans="37:44" x14ac:dyDescent="0.25">
      <c r="AK192"/>
      <c r="AL192"/>
      <c r="AM192"/>
      <c r="AN192"/>
      <c r="AO192"/>
      <c r="AP192"/>
      <c r="AQ192"/>
      <c r="AR192"/>
    </row>
    <row r="193" spans="28:44" x14ac:dyDescent="0.25">
      <c r="AK193"/>
      <c r="AL193"/>
      <c r="AM193"/>
      <c r="AN193"/>
      <c r="AO193"/>
      <c r="AP193"/>
      <c r="AQ193"/>
      <c r="AR193"/>
    </row>
    <row r="194" spans="28:44" x14ac:dyDescent="0.25">
      <c r="AK194"/>
      <c r="AL194"/>
      <c r="AM194"/>
      <c r="AN194"/>
      <c r="AO194"/>
      <c r="AP194"/>
      <c r="AQ194"/>
      <c r="AR194"/>
    </row>
    <row r="195" spans="28:44" x14ac:dyDescent="0.25">
      <c r="AK195"/>
      <c r="AL195"/>
      <c r="AM195"/>
      <c r="AN195"/>
      <c r="AO195"/>
      <c r="AP195"/>
      <c r="AQ195"/>
      <c r="AR195"/>
    </row>
    <row r="196" spans="28:44" x14ac:dyDescent="0.25">
      <c r="AK196"/>
      <c r="AL196"/>
      <c r="AM196"/>
      <c r="AN196"/>
      <c r="AO196"/>
      <c r="AP196"/>
      <c r="AQ196"/>
      <c r="AR196"/>
    </row>
    <row r="197" spans="28:44" x14ac:dyDescent="0.25">
      <c r="AK197"/>
      <c r="AL197"/>
      <c r="AM197"/>
      <c r="AN197"/>
      <c r="AO197"/>
      <c r="AP197"/>
      <c r="AQ197"/>
      <c r="AR197"/>
    </row>
    <row r="198" spans="28:44" x14ac:dyDescent="0.25">
      <c r="AK198"/>
      <c r="AL198"/>
      <c r="AM198"/>
      <c r="AN198"/>
      <c r="AO198"/>
      <c r="AP198"/>
      <c r="AQ198"/>
      <c r="AR198"/>
    </row>
    <row r="199" spans="28:44" x14ac:dyDescent="0.25">
      <c r="AK199"/>
      <c r="AL199"/>
      <c r="AM199"/>
      <c r="AN199"/>
      <c r="AO199"/>
      <c r="AP199"/>
      <c r="AQ199"/>
      <c r="AR199"/>
    </row>
    <row r="200" spans="28:44" x14ac:dyDescent="0.25">
      <c r="AK200"/>
      <c r="AL200"/>
      <c r="AM200"/>
      <c r="AN200"/>
      <c r="AO200"/>
      <c r="AP200"/>
      <c r="AQ200"/>
      <c r="AR200"/>
    </row>
    <row r="201" spans="28:44" x14ac:dyDescent="0.25">
      <c r="AK201"/>
      <c r="AL201"/>
      <c r="AM201"/>
      <c r="AN201"/>
      <c r="AO201"/>
      <c r="AP201"/>
      <c r="AQ201"/>
      <c r="AR201"/>
    </row>
    <row r="202" spans="28:44" x14ac:dyDescent="0.25">
      <c r="AK202"/>
      <c r="AL202"/>
      <c r="AM202"/>
      <c r="AN202"/>
      <c r="AO202"/>
      <c r="AP202"/>
      <c r="AQ202"/>
      <c r="AR202"/>
    </row>
    <row r="203" spans="28:44" x14ac:dyDescent="0.25">
      <c r="AK203"/>
      <c r="AL203"/>
      <c r="AM203"/>
      <c r="AN203"/>
      <c r="AO203"/>
      <c r="AP203"/>
      <c r="AQ203"/>
      <c r="AR203"/>
    </row>
    <row r="204" spans="28:44" x14ac:dyDescent="0.25">
      <c r="AK204"/>
      <c r="AL204"/>
      <c r="AM204"/>
      <c r="AN204"/>
      <c r="AO204"/>
      <c r="AP204"/>
      <c r="AQ204"/>
      <c r="AR204"/>
    </row>
    <row r="205" spans="28:44" x14ac:dyDescent="0.25">
      <c r="AK205"/>
      <c r="AL205"/>
      <c r="AM205"/>
      <c r="AN205"/>
      <c r="AO205"/>
      <c r="AP205"/>
      <c r="AQ205"/>
      <c r="AR205"/>
    </row>
    <row r="206" spans="28:44" x14ac:dyDescent="0.25">
      <c r="AK206"/>
      <c r="AL206"/>
      <c r="AM206"/>
      <c r="AN206"/>
      <c r="AO206"/>
      <c r="AP206"/>
      <c r="AQ206"/>
      <c r="AR206"/>
    </row>
    <row r="207" spans="28:44" x14ac:dyDescent="0.25"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</row>
    <row r="208" spans="28:44" x14ac:dyDescent="0.25"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</row>
    <row r="209" spans="28:44" x14ac:dyDescent="0.25"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</row>
    <row r="210" spans="28:44" x14ac:dyDescent="0.25">
      <c r="AJ210"/>
      <c r="AK210"/>
      <c r="AL210"/>
      <c r="AM210"/>
      <c r="AN210"/>
      <c r="AO210"/>
      <c r="AP210"/>
      <c r="AQ210"/>
      <c r="AR210"/>
    </row>
    <row r="211" spans="28:44" x14ac:dyDescent="0.25">
      <c r="AJ211"/>
      <c r="AK211"/>
      <c r="AL211"/>
      <c r="AM211"/>
      <c r="AN211"/>
      <c r="AO211"/>
      <c r="AP211"/>
      <c r="AQ211"/>
      <c r="AR211"/>
    </row>
    <row r="212" spans="28:44" x14ac:dyDescent="0.25">
      <c r="AJ212"/>
      <c r="AK212"/>
      <c r="AL212"/>
      <c r="AM212"/>
      <c r="AN212"/>
      <c r="AO212"/>
      <c r="AP212"/>
      <c r="AQ212"/>
      <c r="AR212"/>
    </row>
    <row r="213" spans="28:44" x14ac:dyDescent="0.25">
      <c r="AJ213"/>
      <c r="AK213"/>
      <c r="AL213"/>
      <c r="AM213"/>
      <c r="AN213"/>
      <c r="AO213"/>
      <c r="AP213"/>
      <c r="AQ213"/>
      <c r="AR213"/>
    </row>
    <row r="214" spans="28:44" x14ac:dyDescent="0.25">
      <c r="AJ214"/>
      <c r="AK214"/>
      <c r="AL214"/>
      <c r="AM214"/>
      <c r="AN214"/>
      <c r="AO214"/>
      <c r="AP214"/>
      <c r="AQ214"/>
      <c r="AR214"/>
    </row>
    <row r="215" spans="28:44" x14ac:dyDescent="0.25">
      <c r="AJ215"/>
      <c r="AK215"/>
      <c r="AL215"/>
      <c r="AM215"/>
      <c r="AN215"/>
      <c r="AO215"/>
      <c r="AP215"/>
      <c r="AQ215"/>
      <c r="AR215"/>
    </row>
    <row r="216" spans="28:44" x14ac:dyDescent="0.25">
      <c r="AJ216"/>
      <c r="AK216"/>
      <c r="AL216"/>
      <c r="AM216"/>
      <c r="AN216"/>
      <c r="AO216"/>
      <c r="AP216"/>
      <c r="AQ216"/>
      <c r="AR216"/>
    </row>
    <row r="217" spans="28:44" x14ac:dyDescent="0.25">
      <c r="AJ217"/>
      <c r="AK217"/>
      <c r="AL217"/>
      <c r="AM217"/>
      <c r="AN217"/>
      <c r="AO217"/>
      <c r="AP217"/>
      <c r="AQ217"/>
      <c r="AR217"/>
    </row>
    <row r="218" spans="28:44" x14ac:dyDescent="0.25">
      <c r="AJ218"/>
      <c r="AK218"/>
      <c r="AL218"/>
      <c r="AM218"/>
      <c r="AN218"/>
      <c r="AO218"/>
      <c r="AP218"/>
      <c r="AQ218"/>
      <c r="AR218"/>
    </row>
    <row r="219" spans="28:44" x14ac:dyDescent="0.25">
      <c r="AJ219"/>
      <c r="AK219"/>
      <c r="AL219"/>
      <c r="AM219"/>
      <c r="AN219"/>
      <c r="AO219"/>
      <c r="AP219"/>
      <c r="AQ219"/>
      <c r="AR219"/>
    </row>
    <row r="220" spans="28:44" x14ac:dyDescent="0.25">
      <c r="AJ220"/>
      <c r="AK220"/>
      <c r="AL220"/>
      <c r="AM220"/>
      <c r="AN220"/>
      <c r="AO220"/>
      <c r="AP220"/>
      <c r="AQ220"/>
      <c r="AR220"/>
    </row>
    <row r="221" spans="28:44" x14ac:dyDescent="0.25">
      <c r="AJ221"/>
      <c r="AK221"/>
      <c r="AL221"/>
      <c r="AM221"/>
      <c r="AN221"/>
      <c r="AO221"/>
      <c r="AP221"/>
      <c r="AQ221"/>
      <c r="AR221"/>
    </row>
    <row r="222" spans="28:44" x14ac:dyDescent="0.25">
      <c r="AJ222"/>
      <c r="AK222"/>
      <c r="AL222"/>
      <c r="AM222"/>
      <c r="AN222"/>
      <c r="AO222"/>
      <c r="AP222"/>
      <c r="AQ222"/>
      <c r="AR222"/>
    </row>
    <row r="223" spans="28:44" x14ac:dyDescent="0.25">
      <c r="AJ223"/>
      <c r="AK223"/>
      <c r="AL223"/>
      <c r="AM223"/>
      <c r="AN223"/>
      <c r="AO223"/>
      <c r="AP223"/>
      <c r="AQ223"/>
      <c r="AR223"/>
    </row>
    <row r="224" spans="28:44" x14ac:dyDescent="0.25">
      <c r="AJ224"/>
      <c r="AK224"/>
      <c r="AL224"/>
      <c r="AM224"/>
      <c r="AN224"/>
      <c r="AO224"/>
      <c r="AP224"/>
      <c r="AQ224"/>
      <c r="AR224"/>
    </row>
    <row r="225" spans="36:44" x14ac:dyDescent="0.25">
      <c r="AJ225"/>
      <c r="AK225"/>
      <c r="AL225"/>
      <c r="AM225"/>
      <c r="AN225"/>
      <c r="AO225"/>
      <c r="AP225"/>
      <c r="AQ225"/>
      <c r="AR225"/>
    </row>
    <row r="226" spans="36:44" x14ac:dyDescent="0.25">
      <c r="AJ226"/>
      <c r="AK226"/>
      <c r="AL226"/>
      <c r="AM226"/>
      <c r="AN226"/>
      <c r="AO226"/>
      <c r="AP226"/>
      <c r="AQ226"/>
      <c r="AR226"/>
    </row>
    <row r="227" spans="36:44" x14ac:dyDescent="0.25">
      <c r="AJ227"/>
      <c r="AK227"/>
      <c r="AL227"/>
      <c r="AM227"/>
      <c r="AN227"/>
      <c r="AO227"/>
      <c r="AP227"/>
      <c r="AQ227"/>
      <c r="AR227"/>
    </row>
    <row r="228" spans="36:44" x14ac:dyDescent="0.25">
      <c r="AJ228"/>
      <c r="AK228"/>
      <c r="AL228"/>
      <c r="AM228"/>
      <c r="AN228"/>
      <c r="AO228"/>
      <c r="AP228"/>
      <c r="AQ228"/>
      <c r="AR228"/>
    </row>
    <row r="229" spans="36:44" x14ac:dyDescent="0.25">
      <c r="AJ229"/>
      <c r="AK229"/>
      <c r="AL229"/>
      <c r="AM229"/>
      <c r="AN229"/>
      <c r="AO229"/>
      <c r="AP229"/>
      <c r="AQ229"/>
      <c r="AR229"/>
    </row>
    <row r="230" spans="36:44" x14ac:dyDescent="0.25">
      <c r="AJ230"/>
      <c r="AK230"/>
      <c r="AL230"/>
      <c r="AM230"/>
      <c r="AN230"/>
      <c r="AO230"/>
      <c r="AP230"/>
      <c r="AQ230"/>
      <c r="AR230"/>
    </row>
    <row r="231" spans="36:44" x14ac:dyDescent="0.25">
      <c r="AJ231"/>
      <c r="AK231"/>
      <c r="AL231"/>
      <c r="AM231"/>
      <c r="AN231"/>
      <c r="AO231"/>
      <c r="AP231"/>
      <c r="AQ231"/>
      <c r="AR231"/>
    </row>
    <row r="232" spans="36:44" x14ac:dyDescent="0.25">
      <c r="AJ232"/>
      <c r="AK232"/>
      <c r="AL232"/>
      <c r="AM232"/>
      <c r="AN232"/>
      <c r="AO232"/>
      <c r="AP232"/>
      <c r="AQ232"/>
      <c r="AR232"/>
    </row>
    <row r="233" spans="36:44" x14ac:dyDescent="0.25">
      <c r="AJ233"/>
      <c r="AK233"/>
      <c r="AL233"/>
      <c r="AM233"/>
      <c r="AN233"/>
      <c r="AO233"/>
      <c r="AP233"/>
      <c r="AQ233"/>
      <c r="AR233"/>
    </row>
    <row r="234" spans="36:44" x14ac:dyDescent="0.25">
      <c r="AJ234"/>
      <c r="AK234"/>
      <c r="AL234"/>
      <c r="AM234"/>
      <c r="AN234"/>
      <c r="AO234"/>
      <c r="AP234"/>
      <c r="AQ234"/>
      <c r="AR234"/>
    </row>
    <row r="235" spans="36:44" x14ac:dyDescent="0.25">
      <c r="AJ235"/>
      <c r="AK235"/>
      <c r="AL235"/>
      <c r="AM235"/>
      <c r="AN235"/>
      <c r="AO235"/>
      <c r="AP235"/>
      <c r="AQ235"/>
      <c r="AR235"/>
    </row>
    <row r="236" spans="36:44" x14ac:dyDescent="0.25">
      <c r="AJ236"/>
      <c r="AK236"/>
      <c r="AL236"/>
      <c r="AM236"/>
      <c r="AN236"/>
      <c r="AO236"/>
      <c r="AP236"/>
      <c r="AQ236"/>
      <c r="AR236"/>
    </row>
    <row r="237" spans="36:44" x14ac:dyDescent="0.25">
      <c r="AJ237"/>
      <c r="AK237"/>
      <c r="AL237"/>
      <c r="AM237"/>
      <c r="AN237"/>
      <c r="AO237"/>
      <c r="AP237"/>
      <c r="AQ237"/>
      <c r="AR237"/>
    </row>
    <row r="238" spans="36:44" x14ac:dyDescent="0.25">
      <c r="AJ238"/>
      <c r="AK238"/>
      <c r="AL238"/>
      <c r="AM238"/>
      <c r="AN238"/>
      <c r="AO238"/>
      <c r="AP238"/>
      <c r="AQ238"/>
      <c r="AR238"/>
    </row>
    <row r="239" spans="36:44" x14ac:dyDescent="0.25">
      <c r="AJ239"/>
      <c r="AK239"/>
      <c r="AL239"/>
      <c r="AM239"/>
      <c r="AN239"/>
      <c r="AO239"/>
      <c r="AP239"/>
      <c r="AQ239"/>
      <c r="AR239"/>
    </row>
    <row r="240" spans="36:44" x14ac:dyDescent="0.25">
      <c r="AJ240"/>
      <c r="AK240"/>
      <c r="AL240"/>
      <c r="AM240"/>
      <c r="AN240"/>
      <c r="AO240"/>
      <c r="AP240"/>
      <c r="AQ240"/>
      <c r="AR240"/>
    </row>
    <row r="241" spans="36:44" x14ac:dyDescent="0.25">
      <c r="AJ241"/>
      <c r="AK241"/>
      <c r="AL241"/>
      <c r="AM241"/>
      <c r="AN241"/>
      <c r="AO241"/>
      <c r="AP241"/>
      <c r="AQ241"/>
      <c r="AR241"/>
    </row>
    <row r="242" spans="36:44" x14ac:dyDescent="0.25">
      <c r="AJ242"/>
      <c r="AK242"/>
      <c r="AL242"/>
      <c r="AM242"/>
      <c r="AN242"/>
      <c r="AO242"/>
      <c r="AP242"/>
      <c r="AQ242"/>
      <c r="AR242"/>
    </row>
    <row r="243" spans="36:44" x14ac:dyDescent="0.25">
      <c r="AJ243"/>
      <c r="AK243"/>
      <c r="AL243"/>
      <c r="AM243"/>
      <c r="AN243"/>
      <c r="AO243"/>
      <c r="AP243"/>
      <c r="AQ243"/>
      <c r="AR243"/>
    </row>
    <row r="244" spans="36:44" x14ac:dyDescent="0.25">
      <c r="AJ244"/>
      <c r="AK244"/>
      <c r="AL244"/>
      <c r="AM244"/>
      <c r="AN244"/>
      <c r="AO244"/>
      <c r="AP244"/>
      <c r="AQ244"/>
      <c r="AR244"/>
    </row>
    <row r="245" spans="36:44" x14ac:dyDescent="0.25">
      <c r="AJ245"/>
      <c r="AK245"/>
      <c r="AL245"/>
      <c r="AM245"/>
      <c r="AN245"/>
      <c r="AO245"/>
      <c r="AP245"/>
      <c r="AQ245"/>
      <c r="AR245"/>
    </row>
    <row r="246" spans="36:44" x14ac:dyDescent="0.25">
      <c r="AJ246"/>
      <c r="AK246"/>
      <c r="AL246"/>
      <c r="AM246"/>
      <c r="AN246"/>
      <c r="AO246"/>
      <c r="AP246"/>
      <c r="AQ246"/>
      <c r="AR246"/>
    </row>
    <row r="247" spans="36:44" x14ac:dyDescent="0.25">
      <c r="AJ247"/>
      <c r="AK247"/>
      <c r="AL247"/>
      <c r="AM247"/>
      <c r="AN247"/>
      <c r="AO247"/>
      <c r="AP247"/>
      <c r="AQ247"/>
      <c r="AR247"/>
    </row>
    <row r="248" spans="36:44" x14ac:dyDescent="0.25">
      <c r="AJ248"/>
      <c r="AK248"/>
      <c r="AL248"/>
      <c r="AM248"/>
      <c r="AN248"/>
      <c r="AO248"/>
      <c r="AP248"/>
      <c r="AQ248"/>
      <c r="AR248"/>
    </row>
    <row r="249" spans="36:44" x14ac:dyDescent="0.25">
      <c r="AJ249"/>
      <c r="AK249"/>
      <c r="AL249"/>
      <c r="AM249"/>
      <c r="AN249"/>
      <c r="AO249"/>
      <c r="AP249"/>
      <c r="AQ249"/>
      <c r="AR249"/>
    </row>
    <row r="250" spans="36:44" x14ac:dyDescent="0.25">
      <c r="AJ250"/>
      <c r="AK250"/>
      <c r="AL250"/>
      <c r="AM250"/>
      <c r="AN250"/>
      <c r="AO250"/>
      <c r="AP250"/>
      <c r="AQ250"/>
      <c r="AR250"/>
    </row>
    <row r="251" spans="36:44" x14ac:dyDescent="0.25">
      <c r="AJ251"/>
      <c r="AK251"/>
      <c r="AL251"/>
      <c r="AM251"/>
      <c r="AN251"/>
      <c r="AO251"/>
      <c r="AP251"/>
      <c r="AQ251"/>
      <c r="AR251"/>
    </row>
    <row r="252" spans="36:44" x14ac:dyDescent="0.25">
      <c r="AJ252"/>
      <c r="AK252"/>
      <c r="AL252"/>
      <c r="AM252"/>
      <c r="AN252"/>
      <c r="AO252"/>
      <c r="AP252"/>
      <c r="AQ252"/>
      <c r="AR252"/>
    </row>
    <row r="253" spans="36:44" x14ac:dyDescent="0.25">
      <c r="AJ253"/>
      <c r="AK253"/>
      <c r="AL253"/>
      <c r="AM253"/>
      <c r="AN253"/>
      <c r="AO253"/>
      <c r="AP253"/>
      <c r="AQ253"/>
      <c r="AR253"/>
    </row>
    <row r="254" spans="36:44" x14ac:dyDescent="0.25">
      <c r="AJ254"/>
      <c r="AK254"/>
      <c r="AL254"/>
      <c r="AM254"/>
      <c r="AN254"/>
      <c r="AO254"/>
      <c r="AP254"/>
      <c r="AQ254"/>
      <c r="AR254"/>
    </row>
    <row r="255" spans="36:44" x14ac:dyDescent="0.25">
      <c r="AJ255"/>
      <c r="AK255"/>
      <c r="AL255"/>
      <c r="AM255"/>
      <c r="AN255"/>
      <c r="AO255"/>
      <c r="AP255"/>
      <c r="AQ255"/>
      <c r="AR255"/>
    </row>
    <row r="256" spans="36:44" x14ac:dyDescent="0.25">
      <c r="AJ256"/>
      <c r="AK256"/>
      <c r="AL256"/>
      <c r="AM256"/>
      <c r="AN256"/>
      <c r="AO256"/>
      <c r="AP256"/>
      <c r="AQ256"/>
      <c r="AR256"/>
    </row>
    <row r="257" spans="36:44" x14ac:dyDescent="0.25">
      <c r="AJ257"/>
      <c r="AK257"/>
      <c r="AL257"/>
      <c r="AM257"/>
      <c r="AN257"/>
      <c r="AO257"/>
      <c r="AP257"/>
      <c r="AQ257"/>
      <c r="AR257"/>
    </row>
    <row r="258" spans="36:44" x14ac:dyDescent="0.25">
      <c r="AJ258"/>
      <c r="AK258"/>
      <c r="AL258"/>
      <c r="AM258"/>
      <c r="AN258"/>
      <c r="AO258"/>
      <c r="AP258"/>
      <c r="AQ258"/>
      <c r="AR258"/>
    </row>
    <row r="259" spans="36:44" x14ac:dyDescent="0.25">
      <c r="AJ259"/>
      <c r="AK259"/>
      <c r="AL259"/>
      <c r="AM259"/>
      <c r="AN259"/>
      <c r="AO259"/>
      <c r="AP259"/>
      <c r="AQ259"/>
      <c r="AR259"/>
    </row>
    <row r="260" spans="36:44" x14ac:dyDescent="0.25">
      <c r="AJ260"/>
      <c r="AK260"/>
      <c r="AL260"/>
      <c r="AM260"/>
      <c r="AN260"/>
      <c r="AO260"/>
      <c r="AP260"/>
      <c r="AQ260"/>
      <c r="AR260"/>
    </row>
    <row r="261" spans="36:44" x14ac:dyDescent="0.25">
      <c r="AJ261"/>
      <c r="AK261"/>
      <c r="AL261"/>
      <c r="AM261"/>
      <c r="AN261"/>
      <c r="AO261"/>
      <c r="AP261"/>
      <c r="AQ261"/>
      <c r="AR261"/>
    </row>
    <row r="262" spans="36:44" x14ac:dyDescent="0.25">
      <c r="AJ262"/>
      <c r="AK262"/>
      <c r="AL262"/>
      <c r="AM262"/>
      <c r="AN262"/>
      <c r="AO262"/>
      <c r="AP262"/>
      <c r="AQ262"/>
      <c r="AR262"/>
    </row>
    <row r="263" spans="36:44" x14ac:dyDescent="0.25">
      <c r="AJ263"/>
      <c r="AK263"/>
      <c r="AL263"/>
      <c r="AM263"/>
      <c r="AN263"/>
      <c r="AO263"/>
      <c r="AP263"/>
      <c r="AQ263"/>
      <c r="AR263"/>
    </row>
    <row r="264" spans="36:44" x14ac:dyDescent="0.25">
      <c r="AJ264"/>
      <c r="AK264"/>
      <c r="AL264"/>
      <c r="AM264"/>
      <c r="AN264"/>
      <c r="AO264"/>
      <c r="AP264"/>
      <c r="AQ264"/>
      <c r="AR264"/>
    </row>
    <row r="265" spans="36:44" x14ac:dyDescent="0.25">
      <c r="AJ265"/>
      <c r="AK265"/>
      <c r="AL265"/>
      <c r="AM265"/>
      <c r="AN265"/>
      <c r="AO265"/>
      <c r="AP265"/>
      <c r="AQ265"/>
      <c r="AR265"/>
    </row>
    <row r="266" spans="36:44" x14ac:dyDescent="0.25">
      <c r="AJ266"/>
      <c r="AK266"/>
      <c r="AL266"/>
      <c r="AM266"/>
      <c r="AN266"/>
      <c r="AO266"/>
      <c r="AP266"/>
      <c r="AQ266"/>
      <c r="AR266"/>
    </row>
    <row r="267" spans="36:44" x14ac:dyDescent="0.25">
      <c r="AJ267"/>
      <c r="AK267"/>
      <c r="AL267"/>
      <c r="AM267"/>
      <c r="AN267"/>
      <c r="AO267"/>
      <c r="AP267"/>
      <c r="AQ267"/>
      <c r="AR267"/>
    </row>
    <row r="268" spans="36:44" x14ac:dyDescent="0.25">
      <c r="AJ268"/>
      <c r="AK268"/>
      <c r="AL268"/>
      <c r="AM268"/>
      <c r="AN268"/>
      <c r="AO268"/>
      <c r="AP268"/>
      <c r="AQ268"/>
      <c r="AR268"/>
    </row>
    <row r="269" spans="36:44" x14ac:dyDescent="0.25">
      <c r="AJ269"/>
      <c r="AK269"/>
      <c r="AL269"/>
      <c r="AM269"/>
      <c r="AN269"/>
      <c r="AO269"/>
      <c r="AP269"/>
      <c r="AQ269"/>
      <c r="AR269"/>
    </row>
    <row r="270" spans="36:44" x14ac:dyDescent="0.25">
      <c r="AJ270"/>
      <c r="AK270"/>
      <c r="AL270"/>
      <c r="AM270"/>
      <c r="AN270"/>
      <c r="AO270"/>
      <c r="AP270"/>
      <c r="AQ270"/>
      <c r="AR270"/>
    </row>
    <row r="271" spans="36:44" x14ac:dyDescent="0.25">
      <c r="AJ271"/>
      <c r="AK271"/>
      <c r="AL271"/>
      <c r="AM271"/>
      <c r="AN271"/>
      <c r="AO271"/>
      <c r="AP271"/>
      <c r="AQ271"/>
      <c r="AR271"/>
    </row>
    <row r="272" spans="36:44" x14ac:dyDescent="0.25">
      <c r="AJ272"/>
      <c r="AK272"/>
      <c r="AL272"/>
      <c r="AM272"/>
      <c r="AN272"/>
      <c r="AO272"/>
      <c r="AP272"/>
      <c r="AQ272"/>
      <c r="AR272"/>
    </row>
    <row r="273" spans="36:44" x14ac:dyDescent="0.25">
      <c r="AJ273"/>
      <c r="AK273"/>
      <c r="AL273"/>
      <c r="AM273"/>
      <c r="AN273"/>
      <c r="AO273"/>
      <c r="AP273"/>
      <c r="AQ273"/>
      <c r="AR273"/>
    </row>
    <row r="274" spans="36:44" x14ac:dyDescent="0.25">
      <c r="AJ274"/>
      <c r="AK274"/>
      <c r="AL274"/>
      <c r="AM274"/>
      <c r="AN274"/>
      <c r="AO274"/>
      <c r="AP274"/>
      <c r="AQ274"/>
      <c r="AR274"/>
    </row>
    <row r="275" spans="36:44" x14ac:dyDescent="0.25">
      <c r="AJ275"/>
      <c r="AK275"/>
      <c r="AL275"/>
      <c r="AM275"/>
      <c r="AN275"/>
      <c r="AO275"/>
      <c r="AP275"/>
      <c r="AQ275"/>
      <c r="AR275"/>
    </row>
    <row r="276" spans="36:44" x14ac:dyDescent="0.25">
      <c r="AJ276"/>
      <c r="AK276"/>
      <c r="AL276"/>
      <c r="AM276"/>
      <c r="AN276"/>
      <c r="AO276"/>
      <c r="AP276"/>
      <c r="AQ276"/>
      <c r="AR276"/>
    </row>
    <row r="277" spans="36:44" x14ac:dyDescent="0.25">
      <c r="AJ277"/>
      <c r="AK277"/>
      <c r="AL277"/>
      <c r="AM277"/>
      <c r="AN277"/>
      <c r="AO277"/>
      <c r="AP277"/>
      <c r="AQ277"/>
      <c r="AR277"/>
    </row>
    <row r="278" spans="36:44" x14ac:dyDescent="0.25">
      <c r="AJ278"/>
      <c r="AK278"/>
      <c r="AL278"/>
      <c r="AM278"/>
      <c r="AN278"/>
      <c r="AO278"/>
      <c r="AP278"/>
      <c r="AQ278"/>
      <c r="AR278"/>
    </row>
    <row r="279" spans="36:44" x14ac:dyDescent="0.25">
      <c r="AJ279"/>
      <c r="AK279"/>
      <c r="AL279"/>
      <c r="AM279"/>
      <c r="AN279"/>
      <c r="AO279"/>
      <c r="AP279"/>
      <c r="AQ279"/>
      <c r="AR279"/>
    </row>
    <row r="280" spans="36:44" x14ac:dyDescent="0.25">
      <c r="AJ280"/>
      <c r="AK280"/>
      <c r="AL280"/>
      <c r="AM280"/>
      <c r="AN280"/>
      <c r="AO280"/>
      <c r="AP280"/>
      <c r="AQ280"/>
      <c r="AR280"/>
    </row>
    <row r="281" spans="36:44" x14ac:dyDescent="0.25">
      <c r="AJ281"/>
      <c r="AK281"/>
      <c r="AL281"/>
      <c r="AM281"/>
      <c r="AN281"/>
      <c r="AO281"/>
      <c r="AP281"/>
      <c r="AQ281"/>
      <c r="AR281"/>
    </row>
    <row r="282" spans="36:44" x14ac:dyDescent="0.25">
      <c r="AJ282"/>
      <c r="AK282"/>
      <c r="AL282"/>
      <c r="AM282"/>
      <c r="AN282"/>
      <c r="AO282"/>
      <c r="AP282"/>
      <c r="AQ282"/>
      <c r="AR282"/>
    </row>
    <row r="283" spans="36:44" x14ac:dyDescent="0.25">
      <c r="AJ283"/>
      <c r="AK283"/>
      <c r="AL283"/>
      <c r="AM283"/>
      <c r="AN283"/>
      <c r="AO283"/>
      <c r="AP283"/>
      <c r="AQ283"/>
      <c r="AR283"/>
    </row>
    <row r="284" spans="36:44" x14ac:dyDescent="0.25">
      <c r="AJ284"/>
      <c r="AK284"/>
      <c r="AL284"/>
      <c r="AM284"/>
      <c r="AN284"/>
      <c r="AO284"/>
      <c r="AP284"/>
      <c r="AQ284"/>
      <c r="AR284"/>
    </row>
    <row r="285" spans="36:44" x14ac:dyDescent="0.25">
      <c r="AJ285"/>
      <c r="AK285"/>
      <c r="AL285"/>
      <c r="AM285"/>
      <c r="AN285"/>
      <c r="AO285"/>
      <c r="AP285"/>
      <c r="AQ285"/>
      <c r="AR285"/>
    </row>
    <row r="286" spans="36:44" x14ac:dyDescent="0.25">
      <c r="AJ286"/>
      <c r="AK286"/>
      <c r="AL286"/>
      <c r="AM286"/>
      <c r="AN286"/>
      <c r="AO286"/>
      <c r="AP286"/>
      <c r="AQ286"/>
      <c r="AR286"/>
    </row>
    <row r="287" spans="36:44" x14ac:dyDescent="0.25">
      <c r="AJ287"/>
      <c r="AK287"/>
      <c r="AL287"/>
      <c r="AM287"/>
      <c r="AN287"/>
      <c r="AO287"/>
      <c r="AP287"/>
      <c r="AQ287"/>
      <c r="AR287"/>
    </row>
    <row r="288" spans="36:44" x14ac:dyDescent="0.25">
      <c r="AJ288"/>
      <c r="AK288"/>
      <c r="AL288"/>
      <c r="AM288"/>
      <c r="AN288"/>
      <c r="AO288"/>
      <c r="AP288"/>
      <c r="AQ288"/>
      <c r="AR288"/>
    </row>
    <row r="289" spans="36:44" x14ac:dyDescent="0.25">
      <c r="AJ289"/>
      <c r="AK289"/>
      <c r="AL289"/>
      <c r="AM289"/>
      <c r="AN289"/>
      <c r="AO289"/>
      <c r="AP289"/>
      <c r="AQ289"/>
      <c r="AR289"/>
    </row>
    <row r="290" spans="36:44" x14ac:dyDescent="0.25">
      <c r="AJ290"/>
      <c r="AK290"/>
      <c r="AL290"/>
      <c r="AM290"/>
      <c r="AN290"/>
      <c r="AO290"/>
      <c r="AP290"/>
      <c r="AQ290"/>
      <c r="AR290"/>
    </row>
    <row r="291" spans="36:44" x14ac:dyDescent="0.25">
      <c r="AJ291"/>
      <c r="AK291"/>
      <c r="AL291"/>
      <c r="AM291"/>
      <c r="AN291"/>
      <c r="AO291"/>
      <c r="AP291"/>
      <c r="AQ291"/>
      <c r="AR291"/>
    </row>
    <row r="292" spans="36:44" x14ac:dyDescent="0.25">
      <c r="AJ292"/>
      <c r="AK292"/>
      <c r="AL292"/>
      <c r="AM292"/>
      <c r="AN292"/>
      <c r="AO292"/>
      <c r="AP292"/>
      <c r="AQ292"/>
      <c r="AR292"/>
    </row>
    <row r="293" spans="36:44" x14ac:dyDescent="0.25">
      <c r="AJ293"/>
      <c r="AK293"/>
      <c r="AL293"/>
      <c r="AM293"/>
      <c r="AN293"/>
      <c r="AO293"/>
      <c r="AP293"/>
      <c r="AQ293"/>
      <c r="AR293"/>
    </row>
    <row r="294" spans="36:44" x14ac:dyDescent="0.25">
      <c r="AJ294"/>
      <c r="AK294"/>
      <c r="AL294"/>
      <c r="AM294"/>
      <c r="AN294"/>
      <c r="AO294"/>
      <c r="AP294"/>
      <c r="AQ294"/>
      <c r="AR294"/>
    </row>
    <row r="295" spans="36:44" x14ac:dyDescent="0.25">
      <c r="AJ295"/>
      <c r="AK295"/>
      <c r="AL295"/>
      <c r="AM295"/>
      <c r="AN295"/>
      <c r="AO295"/>
      <c r="AP295"/>
      <c r="AQ295"/>
      <c r="AR295"/>
    </row>
    <row r="296" spans="36:44" x14ac:dyDescent="0.25">
      <c r="AJ296"/>
      <c r="AK296"/>
      <c r="AL296"/>
      <c r="AM296"/>
      <c r="AN296"/>
      <c r="AO296"/>
      <c r="AP296"/>
      <c r="AQ296"/>
      <c r="AR296"/>
    </row>
    <row r="297" spans="36:44" x14ac:dyDescent="0.25">
      <c r="AJ297"/>
      <c r="AK297"/>
      <c r="AL297"/>
      <c r="AM297"/>
      <c r="AN297"/>
      <c r="AO297"/>
      <c r="AP297"/>
      <c r="AQ297"/>
      <c r="AR297"/>
    </row>
    <row r="298" spans="36:44" x14ac:dyDescent="0.25">
      <c r="AJ298"/>
      <c r="AK298"/>
      <c r="AL298"/>
      <c r="AM298"/>
      <c r="AN298"/>
      <c r="AO298"/>
      <c r="AP298"/>
      <c r="AQ298"/>
      <c r="AR298"/>
    </row>
    <row r="299" spans="36:44" x14ac:dyDescent="0.25">
      <c r="AJ299"/>
      <c r="AK299"/>
      <c r="AL299"/>
      <c r="AM299"/>
      <c r="AN299"/>
      <c r="AO299"/>
      <c r="AP299"/>
      <c r="AQ299"/>
      <c r="AR299"/>
    </row>
    <row r="300" spans="36:44" x14ac:dyDescent="0.25">
      <c r="AJ300"/>
      <c r="AK300"/>
      <c r="AL300"/>
      <c r="AM300"/>
      <c r="AN300"/>
      <c r="AO300"/>
      <c r="AP300"/>
      <c r="AQ300"/>
      <c r="AR300"/>
    </row>
    <row r="301" spans="36:44" x14ac:dyDescent="0.25">
      <c r="AJ301"/>
      <c r="AK301"/>
      <c r="AL301"/>
      <c r="AM301"/>
      <c r="AN301"/>
      <c r="AO301"/>
      <c r="AP301"/>
      <c r="AQ301"/>
      <c r="AR301"/>
    </row>
    <row r="302" spans="36:44" x14ac:dyDescent="0.25">
      <c r="AJ302"/>
      <c r="AK302"/>
      <c r="AL302"/>
      <c r="AM302"/>
      <c r="AN302"/>
      <c r="AO302"/>
      <c r="AP302"/>
      <c r="AQ302"/>
      <c r="AR302"/>
    </row>
    <row r="303" spans="36:44" x14ac:dyDescent="0.25">
      <c r="AJ303"/>
      <c r="AK303"/>
      <c r="AL303"/>
      <c r="AM303"/>
      <c r="AN303"/>
      <c r="AO303"/>
      <c r="AP303"/>
      <c r="AQ303"/>
      <c r="AR303"/>
    </row>
    <row r="304" spans="36:44" x14ac:dyDescent="0.25">
      <c r="AJ304"/>
      <c r="AK304"/>
      <c r="AL304"/>
      <c r="AM304"/>
      <c r="AN304"/>
      <c r="AO304"/>
      <c r="AP304"/>
      <c r="AQ304"/>
      <c r="AR304"/>
    </row>
    <row r="305" spans="36:44" x14ac:dyDescent="0.25">
      <c r="AJ305"/>
      <c r="AK305"/>
      <c r="AL305"/>
      <c r="AM305"/>
      <c r="AN305"/>
      <c r="AO305"/>
      <c r="AP305"/>
      <c r="AQ305"/>
      <c r="AR305"/>
    </row>
    <row r="306" spans="36:44" x14ac:dyDescent="0.25">
      <c r="AJ306"/>
      <c r="AK306"/>
      <c r="AL306"/>
      <c r="AM306"/>
      <c r="AN306"/>
      <c r="AO306"/>
      <c r="AP306"/>
      <c r="AQ306"/>
      <c r="AR306"/>
    </row>
    <row r="307" spans="36:44" x14ac:dyDescent="0.25">
      <c r="AJ307"/>
      <c r="AK307"/>
      <c r="AL307"/>
      <c r="AM307"/>
      <c r="AN307"/>
      <c r="AO307"/>
      <c r="AP307"/>
      <c r="AQ307"/>
      <c r="AR307"/>
    </row>
    <row r="308" spans="36:44" x14ac:dyDescent="0.25">
      <c r="AJ308"/>
      <c r="AK308"/>
      <c r="AL308"/>
      <c r="AM308"/>
      <c r="AN308"/>
      <c r="AO308"/>
      <c r="AP308"/>
      <c r="AQ308"/>
      <c r="AR308"/>
    </row>
    <row r="309" spans="36:44" x14ac:dyDescent="0.25">
      <c r="AJ309"/>
      <c r="AK309"/>
      <c r="AL309"/>
      <c r="AM309"/>
      <c r="AN309"/>
      <c r="AO309"/>
      <c r="AP309"/>
      <c r="AQ309"/>
      <c r="AR309"/>
    </row>
    <row r="310" spans="36:44" x14ac:dyDescent="0.25">
      <c r="AJ310"/>
      <c r="AK310"/>
      <c r="AL310"/>
      <c r="AM310"/>
      <c r="AN310"/>
      <c r="AO310"/>
      <c r="AP310"/>
      <c r="AQ310"/>
      <c r="AR310"/>
    </row>
    <row r="311" spans="36:44" x14ac:dyDescent="0.25">
      <c r="AJ311"/>
      <c r="AK311"/>
      <c r="AL311"/>
      <c r="AM311"/>
      <c r="AN311"/>
      <c r="AO311"/>
      <c r="AP311"/>
      <c r="AQ311"/>
      <c r="AR311"/>
    </row>
    <row r="312" spans="36:44" x14ac:dyDescent="0.25">
      <c r="AJ312"/>
      <c r="AK312"/>
      <c r="AL312"/>
      <c r="AM312"/>
      <c r="AN312"/>
      <c r="AO312"/>
      <c r="AP312"/>
      <c r="AQ312"/>
      <c r="AR312"/>
    </row>
    <row r="313" spans="36:44" x14ac:dyDescent="0.25">
      <c r="AJ313"/>
      <c r="AK313"/>
      <c r="AL313"/>
      <c r="AM313"/>
      <c r="AN313"/>
      <c r="AO313"/>
      <c r="AP313"/>
      <c r="AQ313"/>
      <c r="AR313"/>
    </row>
    <row r="314" spans="36:44" x14ac:dyDescent="0.25">
      <c r="AJ314"/>
      <c r="AK314"/>
      <c r="AL314"/>
      <c r="AM314"/>
      <c r="AN314"/>
      <c r="AO314"/>
      <c r="AP314"/>
      <c r="AQ314"/>
      <c r="AR314"/>
    </row>
    <row r="315" spans="36:44" x14ac:dyDescent="0.25">
      <c r="AJ315"/>
      <c r="AK315"/>
      <c r="AL315"/>
      <c r="AM315"/>
      <c r="AN315"/>
      <c r="AO315"/>
      <c r="AP315"/>
      <c r="AQ315"/>
      <c r="AR315"/>
    </row>
    <row r="316" spans="36:44" x14ac:dyDescent="0.25">
      <c r="AJ316"/>
      <c r="AK316"/>
      <c r="AL316"/>
      <c r="AM316"/>
      <c r="AN316"/>
      <c r="AO316"/>
      <c r="AP316"/>
      <c r="AQ316"/>
      <c r="AR316"/>
    </row>
    <row r="317" spans="36:44" x14ac:dyDescent="0.25">
      <c r="AJ317"/>
      <c r="AK317"/>
      <c r="AL317"/>
      <c r="AM317"/>
      <c r="AN317"/>
      <c r="AO317"/>
      <c r="AP317"/>
      <c r="AQ317"/>
      <c r="AR317"/>
    </row>
    <row r="318" spans="36:44" x14ac:dyDescent="0.25">
      <c r="AJ318"/>
      <c r="AK318"/>
      <c r="AL318"/>
      <c r="AM318"/>
      <c r="AN318"/>
      <c r="AO318"/>
      <c r="AP318"/>
      <c r="AQ318"/>
      <c r="AR318"/>
    </row>
    <row r="319" spans="36:44" x14ac:dyDescent="0.25">
      <c r="AJ319"/>
      <c r="AK319"/>
      <c r="AL319"/>
      <c r="AM319"/>
      <c r="AN319"/>
      <c r="AO319"/>
      <c r="AP319"/>
      <c r="AQ319"/>
      <c r="AR319"/>
    </row>
    <row r="320" spans="36:44" x14ac:dyDescent="0.25">
      <c r="AJ320"/>
      <c r="AK320"/>
      <c r="AL320"/>
      <c r="AM320"/>
      <c r="AN320"/>
      <c r="AO320"/>
      <c r="AP320"/>
      <c r="AQ320"/>
      <c r="AR320"/>
    </row>
    <row r="321" spans="36:44" x14ac:dyDescent="0.25">
      <c r="AJ321"/>
      <c r="AK321"/>
      <c r="AL321"/>
      <c r="AM321"/>
      <c r="AN321"/>
      <c r="AO321"/>
      <c r="AP321"/>
      <c r="AQ321"/>
      <c r="AR321"/>
    </row>
    <row r="322" spans="36:44" x14ac:dyDescent="0.25">
      <c r="AJ322"/>
      <c r="AK322"/>
      <c r="AL322"/>
      <c r="AM322"/>
      <c r="AN322"/>
      <c r="AO322"/>
      <c r="AP322"/>
      <c r="AQ322"/>
      <c r="AR322"/>
    </row>
    <row r="323" spans="36:44" x14ac:dyDescent="0.25">
      <c r="AJ323"/>
      <c r="AK323"/>
      <c r="AL323"/>
      <c r="AM323"/>
      <c r="AN323"/>
      <c r="AO323"/>
      <c r="AP323"/>
      <c r="AQ323"/>
      <c r="AR323"/>
    </row>
    <row r="324" spans="36:44" x14ac:dyDescent="0.25">
      <c r="AJ324"/>
      <c r="AK324"/>
      <c r="AL324"/>
      <c r="AM324"/>
      <c r="AN324"/>
      <c r="AO324"/>
      <c r="AP324"/>
      <c r="AQ324"/>
      <c r="AR324"/>
    </row>
    <row r="325" spans="36:44" x14ac:dyDescent="0.25">
      <c r="AJ325"/>
      <c r="AK325"/>
      <c r="AL325"/>
      <c r="AM325"/>
      <c r="AN325"/>
      <c r="AO325"/>
      <c r="AP325"/>
      <c r="AQ325"/>
      <c r="AR325"/>
    </row>
    <row r="326" spans="36:44" x14ac:dyDescent="0.25">
      <c r="AJ326"/>
      <c r="AK326"/>
      <c r="AL326"/>
      <c r="AM326"/>
      <c r="AN326"/>
      <c r="AO326"/>
      <c r="AP326"/>
      <c r="AQ326"/>
      <c r="AR326"/>
    </row>
    <row r="327" spans="36:44" x14ac:dyDescent="0.25">
      <c r="AJ327"/>
      <c r="AK327"/>
      <c r="AL327"/>
      <c r="AM327"/>
      <c r="AN327"/>
      <c r="AO327"/>
      <c r="AP327"/>
      <c r="AQ327"/>
      <c r="AR327"/>
    </row>
    <row r="328" spans="36:44" x14ac:dyDescent="0.25">
      <c r="AJ328"/>
      <c r="AK328"/>
      <c r="AL328"/>
      <c r="AM328"/>
      <c r="AN328"/>
      <c r="AO328"/>
      <c r="AP328"/>
      <c r="AQ328"/>
      <c r="AR328"/>
    </row>
    <row r="329" spans="36:44" x14ac:dyDescent="0.25">
      <c r="AJ329"/>
      <c r="AK329"/>
      <c r="AL329"/>
      <c r="AM329"/>
      <c r="AN329"/>
      <c r="AO329"/>
      <c r="AP329"/>
      <c r="AQ329"/>
      <c r="AR329"/>
    </row>
    <row r="330" spans="36:44" x14ac:dyDescent="0.25">
      <c r="AJ330"/>
      <c r="AK330"/>
      <c r="AL330"/>
      <c r="AM330"/>
      <c r="AN330"/>
      <c r="AO330"/>
      <c r="AP330"/>
      <c r="AQ330"/>
      <c r="AR330"/>
    </row>
    <row r="331" spans="36:44" x14ac:dyDescent="0.25">
      <c r="AJ331"/>
      <c r="AK331"/>
      <c r="AL331"/>
      <c r="AM331"/>
      <c r="AN331"/>
      <c r="AO331"/>
      <c r="AP331"/>
      <c r="AQ331"/>
      <c r="AR331"/>
    </row>
    <row r="332" spans="36:44" x14ac:dyDescent="0.25">
      <c r="AJ332"/>
      <c r="AK332"/>
      <c r="AL332"/>
      <c r="AM332"/>
      <c r="AN332"/>
      <c r="AO332"/>
      <c r="AP332"/>
      <c r="AQ332"/>
      <c r="AR332"/>
    </row>
    <row r="333" spans="36:44" x14ac:dyDescent="0.25">
      <c r="AJ333"/>
      <c r="AK333"/>
      <c r="AL333"/>
      <c r="AM333"/>
      <c r="AN333"/>
      <c r="AO333"/>
      <c r="AP333"/>
      <c r="AQ333"/>
      <c r="AR333"/>
    </row>
    <row r="334" spans="36:44" x14ac:dyDescent="0.25">
      <c r="AJ334"/>
      <c r="AK334"/>
      <c r="AL334"/>
      <c r="AM334"/>
      <c r="AN334"/>
      <c r="AO334"/>
      <c r="AP334"/>
      <c r="AQ334"/>
      <c r="AR334"/>
    </row>
    <row r="335" spans="36:44" x14ac:dyDescent="0.25">
      <c r="AJ335"/>
      <c r="AK335"/>
      <c r="AL335"/>
      <c r="AM335"/>
      <c r="AN335"/>
      <c r="AO335"/>
      <c r="AP335"/>
      <c r="AQ335"/>
      <c r="AR335"/>
    </row>
    <row r="336" spans="36:44" x14ac:dyDescent="0.25">
      <c r="AJ336"/>
      <c r="AK336"/>
      <c r="AL336"/>
      <c r="AM336"/>
      <c r="AN336"/>
      <c r="AO336"/>
      <c r="AP336"/>
      <c r="AQ336"/>
      <c r="AR336"/>
    </row>
    <row r="337" spans="36:44" x14ac:dyDescent="0.25">
      <c r="AJ337"/>
      <c r="AK337"/>
      <c r="AL337"/>
      <c r="AM337"/>
      <c r="AN337"/>
      <c r="AO337"/>
      <c r="AP337"/>
      <c r="AQ337"/>
      <c r="AR337"/>
    </row>
    <row r="338" spans="36:44" x14ac:dyDescent="0.25">
      <c r="AJ338"/>
      <c r="AK338"/>
      <c r="AL338"/>
      <c r="AM338"/>
      <c r="AN338"/>
      <c r="AO338"/>
      <c r="AP338"/>
      <c r="AQ338"/>
      <c r="AR338"/>
    </row>
    <row r="339" spans="36:44" x14ac:dyDescent="0.25">
      <c r="AJ339"/>
      <c r="AK339"/>
      <c r="AL339"/>
      <c r="AM339"/>
      <c r="AN339"/>
      <c r="AO339"/>
      <c r="AP339"/>
      <c r="AQ339"/>
      <c r="AR339"/>
    </row>
    <row r="340" spans="36:44" x14ac:dyDescent="0.25">
      <c r="AJ340"/>
      <c r="AK340"/>
      <c r="AL340"/>
      <c r="AM340"/>
      <c r="AN340"/>
      <c r="AO340"/>
      <c r="AP340"/>
      <c r="AQ340"/>
      <c r="AR340"/>
    </row>
    <row r="341" spans="36:44" x14ac:dyDescent="0.25">
      <c r="AJ341"/>
      <c r="AK341"/>
      <c r="AL341"/>
      <c r="AM341"/>
      <c r="AN341"/>
      <c r="AO341"/>
      <c r="AP341"/>
      <c r="AQ341"/>
      <c r="AR341"/>
    </row>
    <row r="342" spans="36:44" x14ac:dyDescent="0.25">
      <c r="AJ342"/>
      <c r="AK342"/>
      <c r="AL342"/>
      <c r="AM342"/>
      <c r="AN342"/>
      <c r="AO342"/>
      <c r="AP342"/>
      <c r="AQ342"/>
      <c r="AR342"/>
    </row>
    <row r="343" spans="36:44" x14ac:dyDescent="0.25">
      <c r="AJ343"/>
      <c r="AK343"/>
      <c r="AL343"/>
      <c r="AM343"/>
      <c r="AN343"/>
      <c r="AO343"/>
      <c r="AP343"/>
      <c r="AQ343"/>
      <c r="AR343"/>
    </row>
    <row r="344" spans="36:44" x14ac:dyDescent="0.25">
      <c r="AJ344"/>
      <c r="AK344"/>
      <c r="AL344"/>
      <c r="AM344"/>
      <c r="AN344"/>
      <c r="AO344"/>
      <c r="AP344"/>
      <c r="AQ344"/>
      <c r="AR344"/>
    </row>
    <row r="345" spans="36:44" x14ac:dyDescent="0.25">
      <c r="AJ345"/>
      <c r="AK345"/>
      <c r="AL345"/>
      <c r="AM345"/>
      <c r="AN345"/>
      <c r="AO345"/>
      <c r="AP345"/>
      <c r="AQ345"/>
      <c r="AR345"/>
    </row>
    <row r="346" spans="36:44" x14ac:dyDescent="0.25">
      <c r="AJ346"/>
      <c r="AK346"/>
      <c r="AL346"/>
      <c r="AM346"/>
      <c r="AN346"/>
      <c r="AO346"/>
      <c r="AP346"/>
      <c r="AQ346"/>
      <c r="AR346"/>
    </row>
    <row r="347" spans="36:44" x14ac:dyDescent="0.25">
      <c r="AJ347"/>
      <c r="AK347"/>
      <c r="AL347"/>
      <c r="AM347"/>
      <c r="AN347"/>
      <c r="AO347"/>
      <c r="AP347"/>
      <c r="AQ347"/>
      <c r="AR347"/>
    </row>
    <row r="348" spans="36:44" x14ac:dyDescent="0.25">
      <c r="AJ348"/>
      <c r="AK348"/>
      <c r="AL348"/>
      <c r="AM348"/>
      <c r="AN348"/>
      <c r="AO348"/>
      <c r="AP348"/>
      <c r="AQ348"/>
      <c r="AR348"/>
    </row>
    <row r="349" spans="36:44" x14ac:dyDescent="0.25">
      <c r="AJ349"/>
      <c r="AK349"/>
      <c r="AL349"/>
      <c r="AM349"/>
      <c r="AN349"/>
      <c r="AO349"/>
      <c r="AP349"/>
      <c r="AQ349"/>
      <c r="AR349"/>
    </row>
    <row r="350" spans="36:44" x14ac:dyDescent="0.25">
      <c r="AJ350"/>
      <c r="AK350"/>
      <c r="AL350"/>
      <c r="AM350"/>
      <c r="AN350"/>
      <c r="AO350"/>
      <c r="AP350"/>
      <c r="AQ350"/>
      <c r="AR350"/>
    </row>
    <row r="351" spans="36:44" x14ac:dyDescent="0.25">
      <c r="AJ351"/>
      <c r="AK351"/>
      <c r="AL351"/>
      <c r="AM351"/>
      <c r="AN351"/>
      <c r="AO351"/>
      <c r="AP351"/>
      <c r="AQ351"/>
      <c r="AR351"/>
    </row>
    <row r="352" spans="36:44" x14ac:dyDescent="0.25">
      <c r="AJ352"/>
      <c r="AK352"/>
      <c r="AL352"/>
      <c r="AM352"/>
      <c r="AN352"/>
      <c r="AO352"/>
      <c r="AP352"/>
      <c r="AQ352"/>
      <c r="AR352"/>
    </row>
    <row r="353" spans="36:44" x14ac:dyDescent="0.25">
      <c r="AJ353"/>
      <c r="AK353"/>
      <c r="AL353"/>
      <c r="AM353"/>
      <c r="AN353"/>
      <c r="AO353"/>
      <c r="AP353"/>
      <c r="AQ353"/>
      <c r="AR353"/>
    </row>
    <row r="354" spans="36:44" x14ac:dyDescent="0.25">
      <c r="AJ354"/>
      <c r="AK354"/>
      <c r="AL354"/>
      <c r="AM354"/>
      <c r="AN354"/>
      <c r="AO354"/>
      <c r="AP354"/>
      <c r="AQ354"/>
      <c r="AR354"/>
    </row>
    <row r="355" spans="36:44" x14ac:dyDescent="0.25">
      <c r="AJ355"/>
      <c r="AK355"/>
      <c r="AL355"/>
      <c r="AM355"/>
      <c r="AN355"/>
      <c r="AO355"/>
      <c r="AP355"/>
      <c r="AQ355"/>
      <c r="AR355"/>
    </row>
    <row r="356" spans="36:44" x14ac:dyDescent="0.25">
      <c r="AJ356"/>
      <c r="AK356"/>
      <c r="AL356"/>
      <c r="AM356"/>
      <c r="AN356"/>
      <c r="AO356"/>
      <c r="AP356"/>
      <c r="AQ356"/>
      <c r="AR356"/>
    </row>
    <row r="357" spans="36:44" x14ac:dyDescent="0.25">
      <c r="AJ357"/>
      <c r="AK357"/>
      <c r="AL357"/>
      <c r="AM357"/>
      <c r="AN357"/>
      <c r="AO357"/>
      <c r="AP357"/>
      <c r="AQ357"/>
      <c r="AR357"/>
    </row>
    <row r="358" spans="36:44" x14ac:dyDescent="0.25">
      <c r="AJ358"/>
      <c r="AK358"/>
      <c r="AL358"/>
      <c r="AM358"/>
      <c r="AN358"/>
      <c r="AO358"/>
      <c r="AP358"/>
      <c r="AQ358"/>
      <c r="AR358"/>
    </row>
    <row r="359" spans="36:44" x14ac:dyDescent="0.25">
      <c r="AJ359"/>
      <c r="AK359"/>
      <c r="AL359"/>
      <c r="AM359"/>
      <c r="AN359"/>
      <c r="AO359"/>
      <c r="AP359"/>
      <c r="AQ359"/>
      <c r="AR359"/>
    </row>
    <row r="360" spans="36:44" x14ac:dyDescent="0.25">
      <c r="AJ360"/>
      <c r="AK360"/>
      <c r="AL360"/>
      <c r="AM360"/>
      <c r="AN360"/>
      <c r="AO360"/>
      <c r="AP360"/>
      <c r="AQ360"/>
      <c r="AR360"/>
    </row>
    <row r="361" spans="36:44" x14ac:dyDescent="0.25">
      <c r="AJ361"/>
      <c r="AK361"/>
      <c r="AL361"/>
      <c r="AM361"/>
      <c r="AN361"/>
      <c r="AO361"/>
      <c r="AP361"/>
      <c r="AQ361"/>
      <c r="AR361"/>
    </row>
    <row r="362" spans="36:44" x14ac:dyDescent="0.25">
      <c r="AJ362"/>
      <c r="AK362"/>
      <c r="AL362"/>
      <c r="AM362"/>
      <c r="AN362"/>
      <c r="AO362"/>
      <c r="AP362"/>
      <c r="AQ362"/>
      <c r="AR362"/>
    </row>
    <row r="363" spans="36:44" x14ac:dyDescent="0.25">
      <c r="AJ363"/>
      <c r="AK363"/>
      <c r="AL363"/>
      <c r="AM363"/>
      <c r="AN363"/>
      <c r="AO363"/>
      <c r="AP363"/>
      <c r="AQ363"/>
      <c r="AR363"/>
    </row>
    <row r="364" spans="36:44" x14ac:dyDescent="0.25">
      <c r="AJ364"/>
      <c r="AK364"/>
      <c r="AL364"/>
      <c r="AM364"/>
      <c r="AN364"/>
      <c r="AO364"/>
      <c r="AP364"/>
      <c r="AQ364"/>
      <c r="AR364"/>
    </row>
    <row r="365" spans="36:44" x14ac:dyDescent="0.25">
      <c r="AJ365"/>
      <c r="AK365"/>
      <c r="AL365"/>
      <c r="AM365"/>
      <c r="AN365"/>
      <c r="AO365"/>
      <c r="AP365"/>
      <c r="AQ365"/>
      <c r="AR365"/>
    </row>
    <row r="366" spans="36:44" x14ac:dyDescent="0.25">
      <c r="AJ366"/>
      <c r="AK366"/>
      <c r="AL366"/>
      <c r="AM366"/>
      <c r="AN366"/>
      <c r="AO366"/>
      <c r="AP366"/>
      <c r="AQ366"/>
      <c r="AR366"/>
    </row>
    <row r="367" spans="36:44" x14ac:dyDescent="0.25">
      <c r="AJ367"/>
      <c r="AK367"/>
      <c r="AL367"/>
      <c r="AM367"/>
      <c r="AN367"/>
      <c r="AO367"/>
      <c r="AP367"/>
      <c r="AQ367"/>
      <c r="AR367"/>
    </row>
    <row r="368" spans="36:44" x14ac:dyDescent="0.25">
      <c r="AJ368"/>
      <c r="AK368"/>
      <c r="AL368"/>
      <c r="AM368"/>
      <c r="AN368"/>
      <c r="AO368"/>
      <c r="AP368"/>
      <c r="AQ368"/>
      <c r="AR368"/>
    </row>
    <row r="369" spans="36:44" x14ac:dyDescent="0.25">
      <c r="AJ369"/>
      <c r="AK369"/>
      <c r="AL369"/>
      <c r="AM369"/>
      <c r="AN369"/>
      <c r="AO369"/>
      <c r="AP369"/>
      <c r="AQ369"/>
      <c r="AR369"/>
    </row>
    <row r="370" spans="36:44" x14ac:dyDescent="0.25">
      <c r="AJ370"/>
      <c r="AK370"/>
      <c r="AL370"/>
      <c r="AM370"/>
      <c r="AN370"/>
      <c r="AO370"/>
      <c r="AP370"/>
      <c r="AQ370"/>
      <c r="AR370"/>
    </row>
    <row r="371" spans="36:44" x14ac:dyDescent="0.25">
      <c r="AJ371"/>
      <c r="AK371"/>
      <c r="AL371"/>
      <c r="AM371"/>
      <c r="AN371"/>
      <c r="AO371"/>
      <c r="AP371"/>
      <c r="AQ371"/>
      <c r="AR371"/>
    </row>
    <row r="372" spans="36:44" x14ac:dyDescent="0.25">
      <c r="AJ372"/>
      <c r="AK372"/>
      <c r="AL372"/>
      <c r="AM372"/>
      <c r="AN372"/>
      <c r="AO372"/>
      <c r="AP372"/>
      <c r="AQ372"/>
      <c r="AR372"/>
    </row>
    <row r="373" spans="36:44" x14ac:dyDescent="0.25">
      <c r="AJ373"/>
      <c r="AK373"/>
      <c r="AL373"/>
      <c r="AM373"/>
      <c r="AN373"/>
      <c r="AO373"/>
      <c r="AP373"/>
      <c r="AQ373"/>
      <c r="AR373"/>
    </row>
    <row r="374" spans="36:44" x14ac:dyDescent="0.25">
      <c r="AJ374"/>
      <c r="AK374"/>
      <c r="AL374"/>
      <c r="AM374"/>
      <c r="AN374"/>
      <c r="AO374"/>
      <c r="AP374"/>
      <c r="AQ374"/>
      <c r="AR374"/>
    </row>
    <row r="375" spans="36:44" x14ac:dyDescent="0.25">
      <c r="AJ375"/>
      <c r="AK375"/>
      <c r="AL375"/>
      <c r="AM375"/>
      <c r="AN375"/>
      <c r="AO375"/>
      <c r="AP375"/>
      <c r="AQ375"/>
      <c r="AR375"/>
    </row>
    <row r="376" spans="36:44" x14ac:dyDescent="0.25">
      <c r="AJ376"/>
      <c r="AK376"/>
      <c r="AL376"/>
      <c r="AM376"/>
      <c r="AN376"/>
      <c r="AO376"/>
      <c r="AP376"/>
      <c r="AQ376"/>
      <c r="AR376"/>
    </row>
    <row r="377" spans="36:44" x14ac:dyDescent="0.25">
      <c r="AJ377"/>
      <c r="AK377"/>
      <c r="AL377"/>
      <c r="AM377"/>
      <c r="AN377"/>
      <c r="AO377"/>
      <c r="AP377"/>
      <c r="AQ377"/>
      <c r="AR377"/>
    </row>
    <row r="378" spans="36:44" x14ac:dyDescent="0.25">
      <c r="AJ378"/>
      <c r="AK378"/>
      <c r="AL378"/>
      <c r="AM378"/>
      <c r="AN378"/>
      <c r="AO378"/>
      <c r="AP378"/>
      <c r="AQ378"/>
      <c r="AR378"/>
    </row>
    <row r="379" spans="36:44" x14ac:dyDescent="0.25">
      <c r="AJ379"/>
      <c r="AK379"/>
      <c r="AL379"/>
      <c r="AM379"/>
      <c r="AN379"/>
      <c r="AO379"/>
      <c r="AP379"/>
      <c r="AQ379"/>
      <c r="AR379"/>
    </row>
    <row r="380" spans="36:44" x14ac:dyDescent="0.25">
      <c r="AJ380"/>
      <c r="AK380"/>
      <c r="AL380"/>
      <c r="AM380"/>
      <c r="AN380"/>
      <c r="AO380"/>
      <c r="AP380"/>
      <c r="AQ380"/>
      <c r="AR380"/>
    </row>
    <row r="381" spans="36:44" x14ac:dyDescent="0.25">
      <c r="AJ381"/>
      <c r="AK381"/>
      <c r="AL381"/>
      <c r="AM381"/>
      <c r="AN381"/>
      <c r="AO381"/>
      <c r="AP381"/>
      <c r="AQ381"/>
      <c r="AR381"/>
    </row>
    <row r="382" spans="36:44" x14ac:dyDescent="0.25">
      <c r="AJ382"/>
      <c r="AK382"/>
      <c r="AL382"/>
      <c r="AM382"/>
      <c r="AN382"/>
      <c r="AO382"/>
      <c r="AP382"/>
      <c r="AQ382"/>
      <c r="AR382"/>
    </row>
    <row r="383" spans="36:44" x14ac:dyDescent="0.25">
      <c r="AJ383"/>
      <c r="AK383"/>
      <c r="AL383"/>
      <c r="AM383"/>
      <c r="AN383"/>
      <c r="AO383"/>
      <c r="AP383"/>
      <c r="AQ383"/>
      <c r="AR383"/>
    </row>
    <row r="384" spans="36:44" x14ac:dyDescent="0.25">
      <c r="AJ384"/>
      <c r="AK384"/>
      <c r="AL384"/>
      <c r="AM384"/>
      <c r="AN384"/>
      <c r="AO384"/>
      <c r="AP384"/>
      <c r="AQ384"/>
      <c r="AR384"/>
    </row>
    <row r="385" spans="36:44" x14ac:dyDescent="0.25">
      <c r="AJ385"/>
      <c r="AK385"/>
      <c r="AL385"/>
      <c r="AM385"/>
      <c r="AN385"/>
      <c r="AO385"/>
      <c r="AP385"/>
      <c r="AQ385"/>
      <c r="AR385"/>
    </row>
    <row r="386" spans="36:44" x14ac:dyDescent="0.25">
      <c r="AJ386"/>
      <c r="AK386"/>
      <c r="AL386"/>
      <c r="AM386"/>
      <c r="AN386"/>
      <c r="AO386"/>
      <c r="AP386"/>
      <c r="AQ386"/>
      <c r="AR386"/>
    </row>
    <row r="387" spans="36:44" x14ac:dyDescent="0.25">
      <c r="AJ387"/>
      <c r="AK387"/>
      <c r="AL387"/>
      <c r="AM387"/>
      <c r="AN387"/>
      <c r="AO387"/>
      <c r="AP387"/>
      <c r="AQ387"/>
      <c r="AR387"/>
    </row>
    <row r="388" spans="36:44" x14ac:dyDescent="0.25">
      <c r="AJ388"/>
      <c r="AK388"/>
      <c r="AL388"/>
      <c r="AM388"/>
      <c r="AN388"/>
      <c r="AO388"/>
      <c r="AP388"/>
      <c r="AQ388"/>
      <c r="AR388"/>
    </row>
    <row r="389" spans="36:44" x14ac:dyDescent="0.25">
      <c r="AJ389"/>
      <c r="AK389"/>
      <c r="AL389"/>
      <c r="AM389"/>
      <c r="AN389"/>
      <c r="AO389"/>
      <c r="AP389"/>
      <c r="AQ389"/>
      <c r="AR389"/>
    </row>
    <row r="390" spans="36:44" x14ac:dyDescent="0.25">
      <c r="AJ390"/>
      <c r="AK390"/>
      <c r="AL390"/>
      <c r="AM390"/>
      <c r="AN390"/>
      <c r="AO390"/>
      <c r="AP390"/>
      <c r="AQ390"/>
      <c r="AR390"/>
    </row>
    <row r="391" spans="36:44" x14ac:dyDescent="0.25">
      <c r="AJ391"/>
      <c r="AK391"/>
      <c r="AL391"/>
      <c r="AM391"/>
      <c r="AN391"/>
      <c r="AO391"/>
      <c r="AP391"/>
      <c r="AQ391"/>
      <c r="AR391"/>
    </row>
    <row r="392" spans="36:44" x14ac:dyDescent="0.25">
      <c r="AJ392"/>
      <c r="AK392"/>
      <c r="AL392"/>
      <c r="AM392"/>
      <c r="AN392"/>
      <c r="AO392"/>
      <c r="AP392"/>
      <c r="AQ392"/>
      <c r="AR392"/>
    </row>
    <row r="393" spans="36:44" x14ac:dyDescent="0.25">
      <c r="AJ393"/>
      <c r="AK393"/>
      <c r="AL393"/>
      <c r="AM393"/>
      <c r="AN393"/>
      <c r="AO393"/>
      <c r="AP393"/>
      <c r="AQ393"/>
      <c r="AR393"/>
    </row>
    <row r="394" spans="36:44" x14ac:dyDescent="0.25">
      <c r="AJ394"/>
      <c r="AK394"/>
      <c r="AL394"/>
      <c r="AM394"/>
      <c r="AN394"/>
      <c r="AO394"/>
      <c r="AP394"/>
      <c r="AQ394"/>
      <c r="AR394"/>
    </row>
    <row r="395" spans="36:44" x14ac:dyDescent="0.25">
      <c r="AJ395"/>
      <c r="AK395"/>
      <c r="AL395"/>
      <c r="AM395"/>
      <c r="AN395"/>
      <c r="AO395"/>
      <c r="AP395"/>
      <c r="AQ395"/>
      <c r="AR395"/>
    </row>
    <row r="396" spans="36:44" x14ac:dyDescent="0.25">
      <c r="AJ396"/>
      <c r="AK396"/>
      <c r="AL396"/>
      <c r="AM396"/>
      <c r="AN396"/>
      <c r="AO396"/>
      <c r="AP396"/>
      <c r="AQ396"/>
      <c r="AR396"/>
    </row>
    <row r="397" spans="36:44" x14ac:dyDescent="0.25">
      <c r="AJ397"/>
      <c r="AK397"/>
      <c r="AL397"/>
      <c r="AM397"/>
      <c r="AN397"/>
      <c r="AO397"/>
      <c r="AP397"/>
      <c r="AQ397"/>
      <c r="AR397"/>
    </row>
    <row r="398" spans="36:44" x14ac:dyDescent="0.25">
      <c r="AJ398"/>
      <c r="AK398"/>
      <c r="AL398"/>
      <c r="AM398"/>
      <c r="AN398"/>
      <c r="AO398"/>
      <c r="AP398"/>
      <c r="AQ398"/>
      <c r="AR398"/>
    </row>
    <row r="399" spans="36:44" x14ac:dyDescent="0.25">
      <c r="AJ399"/>
      <c r="AK399"/>
      <c r="AL399"/>
      <c r="AM399"/>
      <c r="AN399"/>
      <c r="AO399"/>
      <c r="AP399"/>
      <c r="AQ399"/>
      <c r="AR399"/>
    </row>
    <row r="400" spans="36:44" x14ac:dyDescent="0.25">
      <c r="AJ400"/>
      <c r="AK400"/>
      <c r="AL400"/>
      <c r="AM400"/>
      <c r="AN400"/>
      <c r="AO400"/>
      <c r="AP400"/>
      <c r="AQ400"/>
      <c r="AR400"/>
    </row>
    <row r="401" spans="36:44" x14ac:dyDescent="0.25">
      <c r="AJ401"/>
      <c r="AK401"/>
      <c r="AL401"/>
      <c r="AM401"/>
      <c r="AN401"/>
      <c r="AO401"/>
      <c r="AP401"/>
      <c r="AQ401"/>
      <c r="AR401"/>
    </row>
    <row r="402" spans="36:44" x14ac:dyDescent="0.25">
      <c r="AJ402"/>
      <c r="AK402"/>
      <c r="AL402"/>
      <c r="AM402"/>
      <c r="AN402"/>
      <c r="AO402"/>
      <c r="AP402"/>
      <c r="AQ402"/>
      <c r="AR402"/>
    </row>
    <row r="403" spans="36:44" x14ac:dyDescent="0.25">
      <c r="AJ403"/>
      <c r="AK403"/>
      <c r="AL403"/>
      <c r="AM403"/>
      <c r="AN403"/>
      <c r="AO403"/>
      <c r="AP403"/>
      <c r="AQ403"/>
      <c r="AR403"/>
    </row>
    <row r="404" spans="36:44" x14ac:dyDescent="0.25">
      <c r="AJ404"/>
      <c r="AK404"/>
      <c r="AL404"/>
      <c r="AM404"/>
      <c r="AN404"/>
      <c r="AO404"/>
      <c r="AP404"/>
      <c r="AQ404"/>
      <c r="AR404"/>
    </row>
    <row r="405" spans="36:44" x14ac:dyDescent="0.25">
      <c r="AJ405"/>
      <c r="AK405"/>
      <c r="AL405"/>
      <c r="AM405"/>
      <c r="AN405"/>
      <c r="AO405"/>
      <c r="AP405"/>
      <c r="AQ405"/>
      <c r="AR405"/>
    </row>
    <row r="406" spans="36:44" x14ac:dyDescent="0.25">
      <c r="AJ406"/>
      <c r="AK406"/>
      <c r="AL406"/>
      <c r="AM406"/>
      <c r="AN406"/>
      <c r="AO406"/>
      <c r="AP406"/>
      <c r="AQ406"/>
      <c r="AR406"/>
    </row>
    <row r="407" spans="36:44" x14ac:dyDescent="0.25">
      <c r="AJ407"/>
      <c r="AK407"/>
      <c r="AL407"/>
      <c r="AM407"/>
      <c r="AN407"/>
      <c r="AO407"/>
      <c r="AP407"/>
      <c r="AQ407"/>
      <c r="AR407"/>
    </row>
    <row r="408" spans="36:44" x14ac:dyDescent="0.25">
      <c r="AJ408"/>
      <c r="AK408"/>
      <c r="AL408"/>
      <c r="AM408"/>
      <c r="AN408"/>
      <c r="AO408"/>
      <c r="AP408"/>
      <c r="AQ408"/>
      <c r="AR408"/>
    </row>
    <row r="409" spans="36:44" x14ac:dyDescent="0.25">
      <c r="AJ409"/>
      <c r="AK409"/>
      <c r="AL409"/>
      <c r="AM409"/>
      <c r="AN409"/>
      <c r="AO409"/>
      <c r="AP409"/>
      <c r="AQ409"/>
      <c r="AR409"/>
    </row>
    <row r="410" spans="36:44" x14ac:dyDescent="0.25">
      <c r="AJ410"/>
      <c r="AK410"/>
      <c r="AL410"/>
      <c r="AM410"/>
      <c r="AN410"/>
      <c r="AO410"/>
      <c r="AP410"/>
      <c r="AQ410"/>
      <c r="AR410"/>
    </row>
    <row r="411" spans="36:44" x14ac:dyDescent="0.25">
      <c r="AJ411"/>
      <c r="AK411"/>
      <c r="AL411"/>
      <c r="AM411"/>
      <c r="AN411"/>
      <c r="AO411"/>
      <c r="AP411"/>
      <c r="AQ411"/>
      <c r="AR411"/>
    </row>
    <row r="412" spans="36:44" x14ac:dyDescent="0.25">
      <c r="AJ412"/>
      <c r="AK412"/>
      <c r="AL412"/>
      <c r="AM412"/>
      <c r="AN412"/>
      <c r="AO412"/>
      <c r="AP412"/>
      <c r="AQ412"/>
      <c r="AR412"/>
    </row>
    <row r="413" spans="36:44" x14ac:dyDescent="0.25">
      <c r="AJ413"/>
      <c r="AK413"/>
      <c r="AL413"/>
      <c r="AM413"/>
      <c r="AN413"/>
      <c r="AO413"/>
      <c r="AP413"/>
      <c r="AQ413"/>
      <c r="AR413"/>
    </row>
    <row r="414" spans="36:44" x14ac:dyDescent="0.25">
      <c r="AJ414"/>
      <c r="AK414"/>
      <c r="AL414"/>
      <c r="AM414"/>
      <c r="AN414"/>
      <c r="AO414"/>
      <c r="AP414"/>
      <c r="AQ414"/>
      <c r="AR414"/>
    </row>
    <row r="415" spans="36:44" x14ac:dyDescent="0.25">
      <c r="AJ415"/>
      <c r="AK415"/>
      <c r="AL415"/>
      <c r="AM415"/>
      <c r="AN415"/>
      <c r="AO415"/>
      <c r="AP415"/>
      <c r="AQ415"/>
      <c r="AR415"/>
    </row>
    <row r="416" spans="36:44" x14ac:dyDescent="0.25">
      <c r="AJ416"/>
      <c r="AK416"/>
      <c r="AL416"/>
      <c r="AM416"/>
      <c r="AN416"/>
      <c r="AO416"/>
      <c r="AP416"/>
      <c r="AQ416"/>
      <c r="AR416"/>
    </row>
    <row r="417" spans="36:44" x14ac:dyDescent="0.25">
      <c r="AJ417"/>
      <c r="AK417"/>
      <c r="AL417"/>
      <c r="AM417"/>
      <c r="AN417"/>
      <c r="AO417"/>
      <c r="AP417"/>
      <c r="AQ417"/>
      <c r="AR417"/>
    </row>
    <row r="418" spans="36:44" x14ac:dyDescent="0.25">
      <c r="AJ418"/>
      <c r="AK418"/>
      <c r="AL418"/>
      <c r="AM418"/>
      <c r="AN418"/>
      <c r="AO418"/>
      <c r="AP418"/>
      <c r="AQ418"/>
      <c r="AR418"/>
    </row>
    <row r="419" spans="36:44" x14ac:dyDescent="0.25">
      <c r="AJ419"/>
      <c r="AK419"/>
      <c r="AL419"/>
      <c r="AM419"/>
      <c r="AN419"/>
      <c r="AO419"/>
      <c r="AP419"/>
      <c r="AQ419"/>
      <c r="AR419"/>
    </row>
    <row r="420" spans="36:44" x14ac:dyDescent="0.25">
      <c r="AJ420"/>
      <c r="AK420"/>
      <c r="AL420"/>
      <c r="AM420"/>
      <c r="AN420"/>
      <c r="AO420"/>
      <c r="AP420"/>
      <c r="AQ420"/>
      <c r="AR420"/>
    </row>
    <row r="421" spans="36:44" x14ac:dyDescent="0.25">
      <c r="AJ421"/>
      <c r="AK421"/>
      <c r="AL421"/>
      <c r="AM421"/>
      <c r="AN421"/>
      <c r="AO421"/>
      <c r="AP421"/>
      <c r="AQ421"/>
      <c r="AR421"/>
    </row>
    <row r="422" spans="36:44" x14ac:dyDescent="0.25">
      <c r="AJ422"/>
      <c r="AK422"/>
      <c r="AL422"/>
      <c r="AM422"/>
      <c r="AN422"/>
      <c r="AO422"/>
      <c r="AP422"/>
      <c r="AQ422"/>
      <c r="AR422"/>
    </row>
    <row r="423" spans="36:44" x14ac:dyDescent="0.25">
      <c r="AJ423"/>
      <c r="AK423"/>
      <c r="AL423"/>
      <c r="AM423"/>
      <c r="AN423"/>
      <c r="AO423"/>
      <c r="AP423"/>
      <c r="AQ423"/>
      <c r="AR423"/>
    </row>
    <row r="424" spans="36:44" x14ac:dyDescent="0.25">
      <c r="AJ424"/>
      <c r="AK424"/>
      <c r="AL424"/>
      <c r="AM424"/>
      <c r="AN424"/>
      <c r="AO424"/>
      <c r="AP424"/>
      <c r="AQ424"/>
      <c r="AR424"/>
    </row>
    <row r="425" spans="36:44" x14ac:dyDescent="0.25">
      <c r="AJ425"/>
      <c r="AK425"/>
      <c r="AL425"/>
      <c r="AM425"/>
      <c r="AN425"/>
      <c r="AO425"/>
      <c r="AP425"/>
      <c r="AQ425"/>
      <c r="AR425"/>
    </row>
    <row r="426" spans="36:44" x14ac:dyDescent="0.25">
      <c r="AJ426"/>
      <c r="AK426"/>
      <c r="AL426"/>
      <c r="AM426"/>
      <c r="AN426"/>
      <c r="AO426"/>
      <c r="AP426"/>
      <c r="AQ426"/>
      <c r="AR426"/>
    </row>
    <row r="427" spans="36:44" x14ac:dyDescent="0.25">
      <c r="AJ427"/>
      <c r="AK427"/>
      <c r="AL427"/>
      <c r="AM427"/>
      <c r="AN427"/>
      <c r="AO427"/>
      <c r="AP427"/>
      <c r="AQ427"/>
      <c r="AR427"/>
    </row>
    <row r="428" spans="36:44" x14ac:dyDescent="0.25">
      <c r="AJ428"/>
      <c r="AK428"/>
      <c r="AL428"/>
      <c r="AM428"/>
      <c r="AN428"/>
      <c r="AO428"/>
      <c r="AP428"/>
      <c r="AQ428"/>
      <c r="AR428"/>
    </row>
    <row r="429" spans="36:44" x14ac:dyDescent="0.25">
      <c r="AJ429"/>
      <c r="AK429"/>
      <c r="AL429"/>
      <c r="AM429"/>
      <c r="AN429"/>
      <c r="AO429"/>
      <c r="AP429"/>
      <c r="AQ429"/>
      <c r="AR429"/>
    </row>
    <row r="430" spans="36:44" x14ac:dyDescent="0.25">
      <c r="AJ430"/>
      <c r="AK430"/>
      <c r="AL430"/>
      <c r="AM430"/>
      <c r="AN430"/>
      <c r="AO430"/>
      <c r="AP430"/>
      <c r="AQ430"/>
      <c r="AR430"/>
    </row>
    <row r="431" spans="36:44" x14ac:dyDescent="0.25">
      <c r="AJ431"/>
      <c r="AK431"/>
      <c r="AL431"/>
      <c r="AM431"/>
      <c r="AN431"/>
      <c r="AO431"/>
      <c r="AP431"/>
      <c r="AQ431"/>
      <c r="AR431"/>
    </row>
    <row r="432" spans="36:44" x14ac:dyDescent="0.25">
      <c r="AJ432"/>
      <c r="AK432"/>
      <c r="AL432"/>
      <c r="AM432"/>
      <c r="AN432"/>
      <c r="AO432"/>
      <c r="AP432"/>
      <c r="AQ432"/>
      <c r="AR432"/>
    </row>
    <row r="433" spans="36:44" x14ac:dyDescent="0.25">
      <c r="AJ433"/>
      <c r="AK433"/>
      <c r="AL433"/>
      <c r="AM433"/>
      <c r="AN433"/>
      <c r="AO433"/>
      <c r="AP433"/>
      <c r="AQ433"/>
      <c r="AR433"/>
    </row>
    <row r="434" spans="36:44" x14ac:dyDescent="0.25">
      <c r="AJ434"/>
      <c r="AK434"/>
      <c r="AL434"/>
      <c r="AM434"/>
      <c r="AN434"/>
      <c r="AO434"/>
      <c r="AP434"/>
      <c r="AQ434"/>
      <c r="AR434"/>
    </row>
    <row r="435" spans="36:44" x14ac:dyDescent="0.25">
      <c r="AJ435"/>
      <c r="AK435"/>
      <c r="AL435"/>
      <c r="AM435"/>
      <c r="AN435"/>
      <c r="AO435"/>
      <c r="AP435"/>
      <c r="AQ435"/>
      <c r="AR435"/>
    </row>
    <row r="436" spans="36:44" x14ac:dyDescent="0.25">
      <c r="AJ436"/>
      <c r="AK436"/>
      <c r="AL436"/>
      <c r="AM436"/>
      <c r="AN436"/>
      <c r="AO436"/>
      <c r="AP436"/>
      <c r="AQ436"/>
      <c r="AR436"/>
    </row>
    <row r="437" spans="36:44" x14ac:dyDescent="0.25">
      <c r="AJ437"/>
      <c r="AK437"/>
      <c r="AL437"/>
      <c r="AM437"/>
      <c r="AN437"/>
      <c r="AO437"/>
      <c r="AP437"/>
      <c r="AQ437"/>
      <c r="AR437"/>
    </row>
    <row r="438" spans="36:44" x14ac:dyDescent="0.25">
      <c r="AJ438"/>
      <c r="AK438"/>
      <c r="AL438"/>
      <c r="AM438"/>
      <c r="AN438"/>
      <c r="AO438"/>
      <c r="AP438"/>
      <c r="AQ438"/>
      <c r="AR438"/>
    </row>
    <row r="439" spans="36:44" x14ac:dyDescent="0.25">
      <c r="AJ439"/>
      <c r="AK439"/>
      <c r="AL439"/>
      <c r="AM439"/>
      <c r="AN439"/>
      <c r="AO439"/>
      <c r="AP439"/>
      <c r="AQ439"/>
      <c r="AR439"/>
    </row>
    <row r="440" spans="36:44" x14ac:dyDescent="0.25">
      <c r="AJ440"/>
      <c r="AK440"/>
      <c r="AL440"/>
      <c r="AM440"/>
      <c r="AN440"/>
      <c r="AO440"/>
      <c r="AP440"/>
      <c r="AQ440"/>
      <c r="AR440"/>
    </row>
    <row r="441" spans="36:44" x14ac:dyDescent="0.25">
      <c r="AJ441"/>
      <c r="AK441"/>
      <c r="AL441"/>
      <c r="AM441"/>
      <c r="AN441"/>
      <c r="AO441"/>
      <c r="AP441"/>
      <c r="AQ441"/>
      <c r="AR441"/>
    </row>
    <row r="442" spans="36:44" x14ac:dyDescent="0.25">
      <c r="AJ442"/>
      <c r="AK442"/>
      <c r="AL442"/>
      <c r="AM442"/>
      <c r="AN442"/>
      <c r="AO442"/>
      <c r="AP442"/>
      <c r="AQ442"/>
      <c r="AR442"/>
    </row>
    <row r="443" spans="36:44" x14ac:dyDescent="0.25">
      <c r="AJ443"/>
      <c r="AK443"/>
      <c r="AL443"/>
      <c r="AM443"/>
      <c r="AN443"/>
      <c r="AO443"/>
      <c r="AP443"/>
      <c r="AQ443"/>
      <c r="AR443"/>
    </row>
    <row r="444" spans="36:44" x14ac:dyDescent="0.25">
      <c r="AJ444"/>
      <c r="AK444"/>
      <c r="AL444"/>
      <c r="AM444"/>
      <c r="AN444"/>
      <c r="AO444"/>
      <c r="AP444"/>
      <c r="AQ444"/>
      <c r="AR444"/>
    </row>
    <row r="445" spans="36:44" x14ac:dyDescent="0.25">
      <c r="AJ445"/>
      <c r="AK445"/>
      <c r="AL445"/>
      <c r="AM445"/>
      <c r="AN445"/>
      <c r="AO445"/>
      <c r="AP445"/>
      <c r="AQ445"/>
      <c r="AR445"/>
    </row>
    <row r="446" spans="36:44" x14ac:dyDescent="0.25">
      <c r="AJ446"/>
      <c r="AK446"/>
      <c r="AL446"/>
      <c r="AM446"/>
      <c r="AN446"/>
      <c r="AO446"/>
      <c r="AP446"/>
      <c r="AQ446"/>
      <c r="AR446"/>
    </row>
    <row r="447" spans="36:44" x14ac:dyDescent="0.25">
      <c r="AJ447"/>
      <c r="AK447"/>
      <c r="AL447"/>
      <c r="AM447"/>
      <c r="AN447"/>
      <c r="AO447"/>
      <c r="AP447"/>
      <c r="AQ447"/>
      <c r="AR447"/>
    </row>
    <row r="448" spans="36:44" x14ac:dyDescent="0.25">
      <c r="AJ448"/>
      <c r="AK448"/>
      <c r="AL448"/>
      <c r="AM448"/>
      <c r="AN448"/>
      <c r="AO448"/>
      <c r="AP448"/>
      <c r="AQ448"/>
      <c r="AR448"/>
    </row>
    <row r="449" spans="36:44" x14ac:dyDescent="0.25">
      <c r="AJ449"/>
      <c r="AK449"/>
      <c r="AL449"/>
      <c r="AM449"/>
      <c r="AN449"/>
      <c r="AO449"/>
      <c r="AP449"/>
      <c r="AQ449"/>
      <c r="AR449"/>
    </row>
    <row r="450" spans="36:44" x14ac:dyDescent="0.25">
      <c r="AJ450"/>
      <c r="AK450"/>
      <c r="AL450"/>
      <c r="AM450"/>
      <c r="AN450"/>
      <c r="AO450"/>
      <c r="AP450"/>
      <c r="AQ450"/>
      <c r="AR450"/>
    </row>
    <row r="451" spans="36:44" x14ac:dyDescent="0.25">
      <c r="AJ451"/>
      <c r="AK451"/>
      <c r="AL451"/>
      <c r="AM451"/>
      <c r="AN451"/>
      <c r="AO451"/>
      <c r="AP451"/>
      <c r="AQ451"/>
      <c r="AR451"/>
    </row>
    <row r="452" spans="36:44" x14ac:dyDescent="0.25">
      <c r="AJ452"/>
      <c r="AK452"/>
      <c r="AL452"/>
      <c r="AM452"/>
      <c r="AN452"/>
      <c r="AO452"/>
      <c r="AP452"/>
      <c r="AQ452"/>
      <c r="AR452"/>
    </row>
    <row r="453" spans="36:44" x14ac:dyDescent="0.25">
      <c r="AJ453"/>
      <c r="AK453"/>
      <c r="AL453"/>
      <c r="AM453"/>
      <c r="AN453"/>
      <c r="AO453"/>
      <c r="AP453"/>
      <c r="AQ453"/>
      <c r="AR453"/>
    </row>
    <row r="454" spans="36:44" x14ac:dyDescent="0.25">
      <c r="AJ454"/>
      <c r="AK454"/>
      <c r="AL454"/>
      <c r="AM454"/>
      <c r="AN454"/>
      <c r="AO454"/>
      <c r="AP454"/>
      <c r="AQ454"/>
      <c r="AR454"/>
    </row>
    <row r="455" spans="36:44" x14ac:dyDescent="0.25">
      <c r="AJ455"/>
      <c r="AK455"/>
      <c r="AL455"/>
      <c r="AM455"/>
      <c r="AN455"/>
      <c r="AO455"/>
      <c r="AP455"/>
      <c r="AQ455"/>
      <c r="AR455"/>
    </row>
    <row r="456" spans="36:44" x14ac:dyDescent="0.25">
      <c r="AJ456"/>
      <c r="AK456"/>
      <c r="AL456"/>
      <c r="AM456"/>
      <c r="AN456"/>
      <c r="AO456"/>
      <c r="AP456"/>
      <c r="AQ456"/>
      <c r="AR456"/>
    </row>
    <row r="457" spans="36:44" x14ac:dyDescent="0.25">
      <c r="AJ457"/>
      <c r="AK457"/>
      <c r="AL457"/>
      <c r="AM457"/>
      <c r="AN457"/>
      <c r="AO457"/>
      <c r="AP457"/>
      <c r="AQ457"/>
      <c r="AR457"/>
    </row>
    <row r="458" spans="36:44" x14ac:dyDescent="0.25">
      <c r="AJ458"/>
      <c r="AK458"/>
      <c r="AL458"/>
      <c r="AM458"/>
      <c r="AN458"/>
      <c r="AO458"/>
      <c r="AP458"/>
      <c r="AQ458"/>
      <c r="AR458"/>
    </row>
    <row r="459" spans="36:44" x14ac:dyDescent="0.25">
      <c r="AJ459"/>
      <c r="AK459"/>
      <c r="AL459"/>
      <c r="AM459"/>
      <c r="AN459"/>
      <c r="AO459"/>
      <c r="AP459"/>
      <c r="AQ459"/>
      <c r="AR459"/>
    </row>
    <row r="460" spans="36:44" x14ac:dyDescent="0.25">
      <c r="AJ460"/>
      <c r="AK460"/>
      <c r="AL460"/>
      <c r="AM460"/>
      <c r="AN460"/>
      <c r="AO460"/>
      <c r="AP460"/>
      <c r="AQ460"/>
      <c r="AR460"/>
    </row>
    <row r="461" spans="36:44" x14ac:dyDescent="0.25">
      <c r="AJ461"/>
      <c r="AK461"/>
      <c r="AL461"/>
      <c r="AM461"/>
      <c r="AN461"/>
      <c r="AO461"/>
      <c r="AP461"/>
      <c r="AQ461"/>
      <c r="AR461"/>
    </row>
    <row r="462" spans="36:44" x14ac:dyDescent="0.25">
      <c r="AJ462"/>
      <c r="AK462"/>
      <c r="AL462"/>
      <c r="AM462"/>
      <c r="AN462"/>
      <c r="AO462"/>
      <c r="AP462"/>
      <c r="AQ462"/>
      <c r="AR462"/>
    </row>
    <row r="463" spans="36:44" x14ac:dyDescent="0.25">
      <c r="AJ463"/>
      <c r="AK463"/>
      <c r="AL463"/>
      <c r="AM463"/>
      <c r="AN463"/>
      <c r="AO463"/>
      <c r="AP463"/>
      <c r="AQ463"/>
      <c r="AR463"/>
    </row>
    <row r="464" spans="36:44" x14ac:dyDescent="0.25">
      <c r="AJ464"/>
      <c r="AK464"/>
      <c r="AL464"/>
      <c r="AM464"/>
      <c r="AN464"/>
      <c r="AO464"/>
      <c r="AP464"/>
      <c r="AQ464"/>
      <c r="AR464"/>
    </row>
    <row r="465" spans="36:44" x14ac:dyDescent="0.25">
      <c r="AJ465"/>
      <c r="AK465"/>
      <c r="AL465"/>
      <c r="AM465"/>
      <c r="AN465"/>
      <c r="AO465"/>
      <c r="AP465"/>
      <c r="AQ465"/>
      <c r="AR465"/>
    </row>
    <row r="466" spans="36:44" x14ac:dyDescent="0.25">
      <c r="AJ466"/>
      <c r="AK466"/>
      <c r="AL466"/>
      <c r="AM466"/>
      <c r="AN466"/>
      <c r="AO466"/>
      <c r="AP466"/>
      <c r="AQ466"/>
      <c r="AR466"/>
    </row>
    <row r="467" spans="36:44" x14ac:dyDescent="0.25">
      <c r="AJ467"/>
      <c r="AK467"/>
      <c r="AL467"/>
      <c r="AM467"/>
      <c r="AN467"/>
      <c r="AO467"/>
      <c r="AP467"/>
      <c r="AQ467"/>
      <c r="AR467"/>
    </row>
    <row r="468" spans="36:44" x14ac:dyDescent="0.25">
      <c r="AJ468"/>
      <c r="AK468"/>
      <c r="AL468"/>
      <c r="AM468"/>
      <c r="AN468"/>
      <c r="AO468"/>
      <c r="AP468"/>
      <c r="AQ468"/>
      <c r="AR468"/>
    </row>
    <row r="469" spans="36:44" x14ac:dyDescent="0.25">
      <c r="AJ469"/>
      <c r="AK469"/>
      <c r="AL469"/>
      <c r="AM469"/>
      <c r="AN469"/>
      <c r="AO469"/>
      <c r="AP469"/>
      <c r="AQ469"/>
      <c r="AR469"/>
    </row>
    <row r="470" spans="36:44" x14ac:dyDescent="0.25">
      <c r="AJ470"/>
      <c r="AK470"/>
      <c r="AL470"/>
      <c r="AM470"/>
      <c r="AN470"/>
      <c r="AO470"/>
      <c r="AP470"/>
      <c r="AQ470"/>
      <c r="AR470"/>
    </row>
    <row r="471" spans="36:44" x14ac:dyDescent="0.25">
      <c r="AJ471"/>
      <c r="AK471"/>
      <c r="AL471"/>
      <c r="AM471"/>
      <c r="AN471"/>
      <c r="AO471"/>
      <c r="AP471"/>
      <c r="AQ471"/>
      <c r="AR471"/>
    </row>
    <row r="472" spans="36:44" x14ac:dyDescent="0.25">
      <c r="AJ472"/>
      <c r="AK472"/>
      <c r="AL472"/>
      <c r="AM472"/>
      <c r="AN472"/>
      <c r="AO472"/>
      <c r="AP472"/>
      <c r="AQ472"/>
      <c r="AR472"/>
    </row>
    <row r="473" spans="36:44" x14ac:dyDescent="0.25">
      <c r="AJ473"/>
      <c r="AK473"/>
      <c r="AL473"/>
      <c r="AM473"/>
      <c r="AN473"/>
      <c r="AO473"/>
      <c r="AP473"/>
      <c r="AQ473"/>
      <c r="AR473"/>
    </row>
    <row r="474" spans="36:44" x14ac:dyDescent="0.25">
      <c r="AJ474"/>
      <c r="AK474"/>
      <c r="AL474"/>
      <c r="AM474"/>
      <c r="AN474"/>
      <c r="AO474"/>
      <c r="AP474"/>
      <c r="AQ474"/>
      <c r="AR474"/>
    </row>
    <row r="475" spans="36:44" x14ac:dyDescent="0.25">
      <c r="AJ475"/>
      <c r="AK475"/>
      <c r="AL475"/>
      <c r="AM475"/>
      <c r="AN475"/>
      <c r="AO475"/>
      <c r="AP475"/>
      <c r="AQ475"/>
      <c r="AR475"/>
    </row>
    <row r="476" spans="36:44" x14ac:dyDescent="0.25">
      <c r="AJ476"/>
      <c r="AK476"/>
      <c r="AL476"/>
      <c r="AM476"/>
      <c r="AN476"/>
      <c r="AO476"/>
      <c r="AP476"/>
      <c r="AQ476"/>
      <c r="AR476"/>
    </row>
    <row r="477" spans="36:44" x14ac:dyDescent="0.25">
      <c r="AJ477"/>
      <c r="AK477"/>
      <c r="AL477"/>
      <c r="AM477"/>
      <c r="AN477"/>
      <c r="AO477"/>
      <c r="AP477"/>
      <c r="AQ477"/>
      <c r="AR477"/>
    </row>
    <row r="478" spans="36:44" x14ac:dyDescent="0.25">
      <c r="AJ478"/>
      <c r="AK478"/>
      <c r="AL478"/>
      <c r="AM478"/>
      <c r="AN478"/>
      <c r="AO478"/>
      <c r="AP478"/>
      <c r="AQ478"/>
      <c r="AR478"/>
    </row>
    <row r="479" spans="36:44" x14ac:dyDescent="0.25">
      <c r="AJ479"/>
      <c r="AK479"/>
      <c r="AL479"/>
      <c r="AM479"/>
      <c r="AN479"/>
      <c r="AO479"/>
      <c r="AP479"/>
      <c r="AQ479"/>
      <c r="AR479"/>
    </row>
    <row r="480" spans="36:44" x14ac:dyDescent="0.25">
      <c r="AJ480"/>
      <c r="AK480"/>
      <c r="AL480"/>
      <c r="AM480"/>
      <c r="AN480"/>
      <c r="AO480"/>
      <c r="AP480"/>
      <c r="AQ480"/>
      <c r="AR480"/>
    </row>
    <row r="481" spans="36:44" x14ac:dyDescent="0.25">
      <c r="AJ481"/>
      <c r="AK481"/>
      <c r="AL481"/>
      <c r="AM481"/>
      <c r="AN481"/>
      <c r="AO481"/>
      <c r="AP481"/>
      <c r="AQ481"/>
      <c r="AR481"/>
    </row>
    <row r="482" spans="36:44" x14ac:dyDescent="0.25">
      <c r="AJ482"/>
      <c r="AK482"/>
      <c r="AL482"/>
      <c r="AM482"/>
      <c r="AN482"/>
      <c r="AO482"/>
      <c r="AP482"/>
      <c r="AQ482"/>
      <c r="AR482"/>
    </row>
    <row r="483" spans="36:44" x14ac:dyDescent="0.25">
      <c r="AJ483"/>
      <c r="AK483"/>
      <c r="AL483"/>
      <c r="AM483"/>
      <c r="AN483"/>
      <c r="AO483"/>
      <c r="AP483"/>
      <c r="AQ483"/>
      <c r="AR483"/>
    </row>
    <row r="484" spans="36:44" x14ac:dyDescent="0.25">
      <c r="AJ484"/>
      <c r="AK484"/>
      <c r="AL484"/>
      <c r="AM484"/>
      <c r="AN484"/>
      <c r="AO484"/>
      <c r="AP484"/>
      <c r="AQ484"/>
      <c r="AR484"/>
    </row>
    <row r="485" spans="36:44" x14ac:dyDescent="0.25">
      <c r="AJ485"/>
      <c r="AK485"/>
      <c r="AL485"/>
      <c r="AM485"/>
      <c r="AN485"/>
      <c r="AO485"/>
      <c r="AP485"/>
      <c r="AQ485"/>
      <c r="AR485"/>
    </row>
    <row r="486" spans="36:44" x14ac:dyDescent="0.25">
      <c r="AJ486"/>
      <c r="AK486"/>
      <c r="AL486"/>
      <c r="AM486"/>
      <c r="AN486"/>
      <c r="AO486"/>
      <c r="AP486"/>
      <c r="AQ486"/>
      <c r="AR486"/>
    </row>
    <row r="487" spans="36:44" x14ac:dyDescent="0.25">
      <c r="AJ487"/>
      <c r="AK487"/>
      <c r="AL487"/>
      <c r="AM487"/>
      <c r="AN487"/>
      <c r="AO487"/>
      <c r="AP487"/>
      <c r="AQ487"/>
      <c r="AR487"/>
    </row>
    <row r="488" spans="36:44" x14ac:dyDescent="0.25">
      <c r="AJ488"/>
      <c r="AK488"/>
      <c r="AL488"/>
      <c r="AM488"/>
      <c r="AN488"/>
      <c r="AO488"/>
      <c r="AP488"/>
      <c r="AQ488"/>
      <c r="AR488"/>
    </row>
    <row r="489" spans="36:44" x14ac:dyDescent="0.25">
      <c r="AJ489"/>
      <c r="AK489"/>
      <c r="AL489"/>
      <c r="AM489"/>
      <c r="AN489"/>
      <c r="AO489"/>
      <c r="AP489"/>
      <c r="AQ489"/>
      <c r="AR489"/>
    </row>
    <row r="490" spans="36:44" x14ac:dyDescent="0.25">
      <c r="AJ490"/>
      <c r="AK490"/>
      <c r="AL490"/>
      <c r="AM490"/>
      <c r="AN490"/>
      <c r="AO490"/>
      <c r="AP490"/>
      <c r="AQ490"/>
      <c r="AR490"/>
    </row>
    <row r="491" spans="36:44" x14ac:dyDescent="0.25">
      <c r="AJ491"/>
      <c r="AK491"/>
      <c r="AL491"/>
      <c r="AM491"/>
      <c r="AN491"/>
      <c r="AO491"/>
      <c r="AP491"/>
      <c r="AQ491"/>
      <c r="AR491"/>
    </row>
    <row r="492" spans="36:44" x14ac:dyDescent="0.25">
      <c r="AJ492"/>
      <c r="AK492"/>
      <c r="AL492"/>
      <c r="AM492"/>
      <c r="AN492"/>
      <c r="AO492"/>
      <c r="AP492"/>
      <c r="AQ492"/>
      <c r="AR492"/>
    </row>
    <row r="493" spans="36:44" x14ac:dyDescent="0.25">
      <c r="AJ493"/>
      <c r="AK493"/>
      <c r="AL493"/>
      <c r="AM493"/>
      <c r="AN493"/>
      <c r="AO493"/>
      <c r="AP493"/>
      <c r="AQ493"/>
      <c r="AR493"/>
    </row>
    <row r="494" spans="36:44" x14ac:dyDescent="0.25">
      <c r="AJ494"/>
      <c r="AK494"/>
      <c r="AL494"/>
      <c r="AM494"/>
      <c r="AN494"/>
      <c r="AO494"/>
      <c r="AP494"/>
      <c r="AQ494"/>
      <c r="AR494"/>
    </row>
    <row r="495" spans="36:44" x14ac:dyDescent="0.25">
      <c r="AJ495"/>
      <c r="AK495"/>
      <c r="AL495"/>
      <c r="AM495"/>
      <c r="AN495"/>
      <c r="AO495"/>
      <c r="AP495"/>
      <c r="AQ495"/>
      <c r="AR495"/>
    </row>
    <row r="496" spans="36:44" x14ac:dyDescent="0.25">
      <c r="AJ496"/>
      <c r="AK496"/>
      <c r="AL496"/>
      <c r="AM496"/>
      <c r="AN496"/>
      <c r="AO496"/>
      <c r="AP496"/>
      <c r="AQ496"/>
      <c r="AR496"/>
    </row>
    <row r="497" spans="36:44" x14ac:dyDescent="0.25">
      <c r="AJ497"/>
      <c r="AK497"/>
      <c r="AL497"/>
      <c r="AM497"/>
      <c r="AN497"/>
      <c r="AO497"/>
      <c r="AP497"/>
      <c r="AQ497"/>
      <c r="AR497"/>
    </row>
    <row r="498" spans="36:44" x14ac:dyDescent="0.25">
      <c r="AJ498"/>
      <c r="AK498"/>
      <c r="AL498"/>
      <c r="AM498"/>
      <c r="AN498"/>
      <c r="AO498"/>
      <c r="AP498"/>
      <c r="AQ498"/>
      <c r="AR498"/>
    </row>
    <row r="499" spans="36:44" x14ac:dyDescent="0.25">
      <c r="AJ499"/>
      <c r="AK499"/>
      <c r="AL499"/>
      <c r="AM499"/>
      <c r="AN499"/>
      <c r="AO499"/>
      <c r="AP499"/>
      <c r="AQ499"/>
      <c r="AR499"/>
    </row>
    <row r="500" spans="36:44" x14ac:dyDescent="0.25">
      <c r="AJ500"/>
      <c r="AK500"/>
      <c r="AL500"/>
      <c r="AM500"/>
      <c r="AN500"/>
      <c r="AO500"/>
      <c r="AP500"/>
      <c r="AQ500"/>
      <c r="AR500"/>
    </row>
    <row r="501" spans="36:44" x14ac:dyDescent="0.25">
      <c r="AJ501"/>
      <c r="AK501"/>
      <c r="AL501"/>
      <c r="AM501"/>
      <c r="AN501"/>
      <c r="AO501"/>
      <c r="AP501"/>
      <c r="AQ501"/>
      <c r="AR501"/>
    </row>
    <row r="502" spans="36:44" x14ac:dyDescent="0.25">
      <c r="AJ502"/>
      <c r="AK502"/>
      <c r="AL502"/>
      <c r="AM502"/>
      <c r="AN502"/>
      <c r="AO502"/>
      <c r="AP502"/>
      <c r="AQ502"/>
      <c r="AR502"/>
    </row>
    <row r="503" spans="36:44" x14ac:dyDescent="0.25">
      <c r="AJ503"/>
      <c r="AK503"/>
      <c r="AL503"/>
      <c r="AM503"/>
      <c r="AN503"/>
      <c r="AO503"/>
      <c r="AP503"/>
      <c r="AQ503"/>
      <c r="AR503"/>
    </row>
    <row r="504" spans="36:44" x14ac:dyDescent="0.25">
      <c r="AJ504"/>
      <c r="AK504"/>
      <c r="AL504"/>
      <c r="AM504"/>
      <c r="AN504"/>
      <c r="AO504"/>
      <c r="AP504"/>
      <c r="AQ504"/>
      <c r="AR504"/>
    </row>
    <row r="505" spans="36:44" x14ac:dyDescent="0.25">
      <c r="AJ505"/>
      <c r="AK505"/>
      <c r="AL505"/>
      <c r="AM505"/>
      <c r="AN505"/>
      <c r="AO505"/>
      <c r="AP505"/>
      <c r="AQ505"/>
      <c r="AR505"/>
    </row>
    <row r="506" spans="36:44" x14ac:dyDescent="0.25">
      <c r="AJ506"/>
      <c r="AK506"/>
      <c r="AL506"/>
      <c r="AM506"/>
      <c r="AN506"/>
      <c r="AO506"/>
      <c r="AP506"/>
      <c r="AQ506"/>
      <c r="AR506"/>
    </row>
    <row r="507" spans="36:44" x14ac:dyDescent="0.25">
      <c r="AJ507"/>
      <c r="AK507"/>
      <c r="AL507"/>
      <c r="AM507"/>
      <c r="AN507"/>
      <c r="AO507"/>
      <c r="AP507"/>
      <c r="AQ507"/>
      <c r="AR507"/>
    </row>
    <row r="508" spans="36:44" x14ac:dyDescent="0.25">
      <c r="AJ508"/>
      <c r="AK508"/>
      <c r="AL508"/>
      <c r="AM508"/>
      <c r="AN508"/>
      <c r="AO508"/>
      <c r="AP508"/>
      <c r="AQ508"/>
      <c r="AR508"/>
    </row>
    <row r="509" spans="36:44" x14ac:dyDescent="0.25">
      <c r="AJ509"/>
      <c r="AK509"/>
      <c r="AL509"/>
      <c r="AM509"/>
      <c r="AN509"/>
      <c r="AO509"/>
      <c r="AP509"/>
      <c r="AQ509"/>
      <c r="AR509"/>
    </row>
    <row r="510" spans="36:44" x14ac:dyDescent="0.25">
      <c r="AJ510"/>
      <c r="AK510"/>
      <c r="AL510"/>
      <c r="AM510"/>
      <c r="AN510"/>
      <c r="AO510"/>
      <c r="AP510"/>
      <c r="AQ510"/>
      <c r="AR510"/>
    </row>
    <row r="511" spans="36:44" x14ac:dyDescent="0.25">
      <c r="AJ511"/>
      <c r="AK511"/>
      <c r="AL511"/>
      <c r="AM511"/>
      <c r="AN511"/>
      <c r="AO511"/>
      <c r="AP511"/>
      <c r="AQ511"/>
      <c r="AR511"/>
    </row>
    <row r="512" spans="36:44" x14ac:dyDescent="0.25">
      <c r="AJ512"/>
      <c r="AK512"/>
      <c r="AL512"/>
      <c r="AM512"/>
      <c r="AN512"/>
      <c r="AO512"/>
      <c r="AP512"/>
      <c r="AQ512"/>
      <c r="AR512"/>
    </row>
    <row r="513" spans="36:44" x14ac:dyDescent="0.25">
      <c r="AJ513"/>
      <c r="AK513"/>
      <c r="AL513"/>
      <c r="AM513"/>
      <c r="AN513"/>
      <c r="AO513"/>
      <c r="AP513"/>
      <c r="AQ513"/>
      <c r="AR513"/>
    </row>
    <row r="514" spans="36:44" x14ac:dyDescent="0.25">
      <c r="AJ514"/>
      <c r="AK514"/>
      <c r="AL514"/>
      <c r="AM514"/>
      <c r="AN514"/>
      <c r="AO514"/>
      <c r="AP514"/>
      <c r="AQ514"/>
      <c r="AR514"/>
    </row>
    <row r="515" spans="36:44" x14ac:dyDescent="0.25">
      <c r="AJ515"/>
      <c r="AK515"/>
      <c r="AL515"/>
      <c r="AM515"/>
      <c r="AN515"/>
      <c r="AO515"/>
      <c r="AP515"/>
      <c r="AQ515"/>
      <c r="AR515"/>
    </row>
    <row r="516" spans="36:44" x14ac:dyDescent="0.25">
      <c r="AJ516"/>
      <c r="AK516"/>
      <c r="AL516"/>
      <c r="AM516"/>
      <c r="AN516"/>
      <c r="AO516"/>
      <c r="AP516"/>
      <c r="AQ516"/>
      <c r="AR516"/>
    </row>
    <row r="517" spans="36:44" x14ac:dyDescent="0.25">
      <c r="AJ517"/>
      <c r="AK517"/>
      <c r="AL517"/>
      <c r="AM517"/>
      <c r="AN517"/>
      <c r="AO517"/>
      <c r="AP517"/>
      <c r="AQ517"/>
      <c r="AR517"/>
    </row>
    <row r="518" spans="36:44" x14ac:dyDescent="0.25">
      <c r="AJ518"/>
      <c r="AK518"/>
      <c r="AL518"/>
      <c r="AM518"/>
      <c r="AN518"/>
      <c r="AO518"/>
      <c r="AP518"/>
      <c r="AQ518"/>
      <c r="AR518"/>
    </row>
    <row r="519" spans="36:44" x14ac:dyDescent="0.25">
      <c r="AJ519"/>
      <c r="AK519"/>
      <c r="AL519"/>
      <c r="AM519"/>
      <c r="AN519"/>
      <c r="AO519"/>
      <c r="AP519"/>
      <c r="AQ519"/>
      <c r="AR519"/>
    </row>
    <row r="520" spans="36:44" x14ac:dyDescent="0.25">
      <c r="AJ520"/>
      <c r="AK520"/>
      <c r="AL520"/>
      <c r="AM520"/>
      <c r="AN520"/>
      <c r="AO520"/>
      <c r="AP520"/>
      <c r="AQ520"/>
      <c r="AR520"/>
    </row>
    <row r="521" spans="36:44" x14ac:dyDescent="0.25">
      <c r="AJ521"/>
      <c r="AK521"/>
      <c r="AL521"/>
      <c r="AM521"/>
      <c r="AN521"/>
      <c r="AO521"/>
      <c r="AP521"/>
      <c r="AQ521"/>
      <c r="AR521"/>
    </row>
    <row r="522" spans="36:44" x14ac:dyDescent="0.25">
      <c r="AJ522"/>
      <c r="AK522"/>
      <c r="AL522"/>
      <c r="AM522"/>
      <c r="AN522"/>
      <c r="AO522"/>
      <c r="AP522"/>
      <c r="AQ522"/>
      <c r="AR522"/>
    </row>
    <row r="523" spans="36:44" x14ac:dyDescent="0.25">
      <c r="AJ523"/>
      <c r="AK523"/>
      <c r="AL523"/>
      <c r="AM523"/>
      <c r="AN523"/>
      <c r="AO523"/>
      <c r="AP523"/>
      <c r="AQ523"/>
      <c r="AR523"/>
    </row>
    <row r="524" spans="36:44" x14ac:dyDescent="0.25">
      <c r="AJ524"/>
      <c r="AK524"/>
      <c r="AL524"/>
      <c r="AM524"/>
      <c r="AN524"/>
      <c r="AO524"/>
      <c r="AP524"/>
      <c r="AQ524"/>
      <c r="AR524"/>
    </row>
    <row r="525" spans="36:44" x14ac:dyDescent="0.25">
      <c r="AJ525"/>
      <c r="AK525"/>
      <c r="AL525"/>
      <c r="AM525"/>
      <c r="AN525"/>
      <c r="AO525"/>
      <c r="AP525"/>
      <c r="AQ525"/>
      <c r="AR525"/>
    </row>
    <row r="526" spans="36:44" x14ac:dyDescent="0.25">
      <c r="AJ526"/>
      <c r="AK526"/>
      <c r="AL526"/>
      <c r="AM526"/>
      <c r="AN526"/>
      <c r="AO526"/>
      <c r="AP526"/>
      <c r="AQ526"/>
      <c r="AR526"/>
    </row>
    <row r="527" spans="36:44" x14ac:dyDescent="0.25">
      <c r="AJ527"/>
      <c r="AK527"/>
      <c r="AL527"/>
      <c r="AM527"/>
      <c r="AN527"/>
      <c r="AO527"/>
      <c r="AP527"/>
      <c r="AQ527"/>
      <c r="AR527"/>
    </row>
    <row r="528" spans="36:44" x14ac:dyDescent="0.25">
      <c r="AJ528"/>
      <c r="AK528"/>
      <c r="AL528"/>
      <c r="AM528"/>
      <c r="AN528"/>
      <c r="AO528"/>
      <c r="AP528"/>
      <c r="AQ528"/>
      <c r="AR528"/>
    </row>
    <row r="529" spans="36:44" x14ac:dyDescent="0.25">
      <c r="AJ529"/>
      <c r="AK529"/>
      <c r="AL529"/>
      <c r="AM529"/>
      <c r="AN529"/>
      <c r="AO529"/>
      <c r="AP529"/>
      <c r="AQ529"/>
      <c r="AR529"/>
    </row>
    <row r="530" spans="36:44" x14ac:dyDescent="0.25">
      <c r="AJ530"/>
      <c r="AK530"/>
      <c r="AL530"/>
      <c r="AM530"/>
      <c r="AN530"/>
      <c r="AO530"/>
      <c r="AP530"/>
      <c r="AQ530"/>
      <c r="AR530"/>
    </row>
    <row r="531" spans="36:44" x14ac:dyDescent="0.25">
      <c r="AJ531"/>
      <c r="AK531"/>
      <c r="AL531"/>
      <c r="AM531"/>
      <c r="AN531"/>
      <c r="AO531"/>
      <c r="AP531"/>
      <c r="AQ531"/>
      <c r="AR531"/>
    </row>
    <row r="532" spans="36:44" x14ac:dyDescent="0.25">
      <c r="AJ532"/>
      <c r="AK532"/>
      <c r="AL532"/>
      <c r="AM532"/>
      <c r="AN532"/>
      <c r="AO532"/>
      <c r="AP532"/>
      <c r="AQ532"/>
      <c r="AR532"/>
    </row>
    <row r="533" spans="36:44" x14ac:dyDescent="0.25">
      <c r="AJ533"/>
      <c r="AK533"/>
      <c r="AL533"/>
      <c r="AM533"/>
      <c r="AN533"/>
      <c r="AO533"/>
      <c r="AP533"/>
      <c r="AQ533"/>
      <c r="AR533"/>
    </row>
    <row r="534" spans="36:44" x14ac:dyDescent="0.25">
      <c r="AJ534"/>
      <c r="AK534"/>
      <c r="AL534"/>
      <c r="AM534"/>
      <c r="AN534"/>
      <c r="AO534"/>
      <c r="AP534"/>
      <c r="AQ534"/>
      <c r="AR534"/>
    </row>
    <row r="535" spans="36:44" x14ac:dyDescent="0.25">
      <c r="AJ535"/>
      <c r="AK535"/>
      <c r="AL535"/>
      <c r="AM535"/>
      <c r="AN535"/>
      <c r="AO535"/>
      <c r="AP535"/>
      <c r="AQ535"/>
      <c r="AR535"/>
    </row>
    <row r="536" spans="36:44" x14ac:dyDescent="0.25">
      <c r="AJ536"/>
      <c r="AK536"/>
      <c r="AL536"/>
      <c r="AM536"/>
      <c r="AN536"/>
      <c r="AO536"/>
      <c r="AP536"/>
      <c r="AQ536"/>
      <c r="AR536"/>
    </row>
    <row r="537" spans="36:44" x14ac:dyDescent="0.25">
      <c r="AJ537"/>
      <c r="AK537"/>
      <c r="AL537"/>
      <c r="AM537"/>
      <c r="AN537"/>
      <c r="AO537"/>
      <c r="AP537"/>
      <c r="AQ537"/>
      <c r="AR537"/>
    </row>
    <row r="538" spans="36:44" x14ac:dyDescent="0.25">
      <c r="AJ538"/>
      <c r="AK538"/>
      <c r="AL538"/>
      <c r="AM538"/>
      <c r="AN538"/>
      <c r="AO538"/>
      <c r="AP538"/>
      <c r="AQ538"/>
      <c r="AR538"/>
    </row>
    <row r="539" spans="36:44" x14ac:dyDescent="0.25">
      <c r="AJ539"/>
      <c r="AK539"/>
      <c r="AL539"/>
      <c r="AM539"/>
      <c r="AN539"/>
      <c r="AO539"/>
      <c r="AP539"/>
      <c r="AQ539"/>
      <c r="AR539"/>
    </row>
    <row r="540" spans="36:44" x14ac:dyDescent="0.25">
      <c r="AJ540"/>
      <c r="AK540"/>
      <c r="AL540"/>
      <c r="AM540"/>
      <c r="AN540"/>
      <c r="AO540"/>
      <c r="AP540"/>
      <c r="AQ540"/>
      <c r="AR540"/>
    </row>
    <row r="541" spans="36:44" x14ac:dyDescent="0.25">
      <c r="AJ541"/>
      <c r="AK541"/>
      <c r="AL541"/>
      <c r="AM541"/>
      <c r="AN541"/>
      <c r="AO541"/>
      <c r="AP541"/>
      <c r="AQ541"/>
      <c r="AR541"/>
    </row>
    <row r="542" spans="36:44" x14ac:dyDescent="0.25">
      <c r="AJ542"/>
      <c r="AK542"/>
      <c r="AL542"/>
      <c r="AM542"/>
      <c r="AN542"/>
      <c r="AO542"/>
      <c r="AP542"/>
      <c r="AQ542"/>
      <c r="AR542"/>
    </row>
    <row r="543" spans="36:44" x14ac:dyDescent="0.25">
      <c r="AJ543"/>
      <c r="AK543"/>
      <c r="AL543"/>
      <c r="AM543"/>
      <c r="AN543"/>
      <c r="AO543"/>
      <c r="AP543"/>
      <c r="AQ543"/>
      <c r="AR543"/>
    </row>
    <row r="544" spans="36:44" x14ac:dyDescent="0.25">
      <c r="AJ544"/>
      <c r="AK544"/>
      <c r="AL544"/>
      <c r="AM544"/>
      <c r="AN544"/>
      <c r="AO544"/>
      <c r="AP544"/>
      <c r="AQ544"/>
      <c r="AR544"/>
    </row>
    <row r="545" spans="36:44" x14ac:dyDescent="0.25">
      <c r="AJ545"/>
      <c r="AK545"/>
      <c r="AL545"/>
      <c r="AM545"/>
      <c r="AN545"/>
      <c r="AO545"/>
      <c r="AP545"/>
      <c r="AQ545"/>
      <c r="AR545"/>
    </row>
    <row r="546" spans="36:44" x14ac:dyDescent="0.25">
      <c r="AJ546"/>
      <c r="AK546"/>
      <c r="AL546"/>
      <c r="AM546"/>
      <c r="AN546"/>
      <c r="AO546"/>
      <c r="AP546"/>
      <c r="AQ546"/>
      <c r="AR546"/>
    </row>
    <row r="547" spans="36:44" x14ac:dyDescent="0.25">
      <c r="AJ547"/>
      <c r="AK547"/>
      <c r="AL547"/>
      <c r="AM547"/>
      <c r="AN547"/>
      <c r="AO547"/>
      <c r="AP547"/>
      <c r="AQ547"/>
      <c r="AR547"/>
    </row>
    <row r="548" spans="36:44" x14ac:dyDescent="0.25">
      <c r="AJ548"/>
      <c r="AK548"/>
      <c r="AL548"/>
      <c r="AM548"/>
      <c r="AN548"/>
      <c r="AO548"/>
      <c r="AP548"/>
      <c r="AQ548"/>
      <c r="AR548"/>
    </row>
    <row r="549" spans="36:44" x14ac:dyDescent="0.25">
      <c r="AJ549"/>
      <c r="AK549"/>
      <c r="AL549"/>
      <c r="AM549"/>
      <c r="AN549"/>
      <c r="AO549"/>
      <c r="AP549"/>
      <c r="AQ549"/>
      <c r="AR549"/>
    </row>
    <row r="550" spans="36:44" x14ac:dyDescent="0.25">
      <c r="AJ550"/>
      <c r="AK550"/>
      <c r="AL550"/>
      <c r="AM550"/>
      <c r="AN550"/>
      <c r="AO550"/>
      <c r="AP550"/>
      <c r="AQ550"/>
      <c r="AR550"/>
    </row>
    <row r="551" spans="36:44" x14ac:dyDescent="0.25">
      <c r="AJ551"/>
      <c r="AK551"/>
      <c r="AL551"/>
      <c r="AM551"/>
      <c r="AN551"/>
      <c r="AO551"/>
      <c r="AP551"/>
      <c r="AQ551"/>
      <c r="AR551"/>
    </row>
    <row r="552" spans="36:44" x14ac:dyDescent="0.25">
      <c r="AJ552"/>
      <c r="AK552"/>
      <c r="AL552"/>
      <c r="AM552"/>
      <c r="AN552"/>
      <c r="AO552"/>
      <c r="AP552"/>
      <c r="AQ552"/>
      <c r="AR552"/>
    </row>
    <row r="553" spans="36:44" x14ac:dyDescent="0.25">
      <c r="AJ553"/>
      <c r="AK553"/>
      <c r="AL553"/>
      <c r="AM553"/>
      <c r="AN553"/>
      <c r="AO553"/>
      <c r="AP553"/>
      <c r="AQ553"/>
      <c r="AR553"/>
    </row>
    <row r="554" spans="36:44" x14ac:dyDescent="0.25">
      <c r="AJ554"/>
      <c r="AK554"/>
      <c r="AL554"/>
      <c r="AM554"/>
      <c r="AN554"/>
      <c r="AO554"/>
      <c r="AP554"/>
      <c r="AQ554"/>
      <c r="AR554"/>
    </row>
    <row r="555" spans="36:44" x14ac:dyDescent="0.25">
      <c r="AJ555"/>
      <c r="AK555"/>
      <c r="AL555"/>
      <c r="AM555"/>
      <c r="AN555"/>
      <c r="AO555"/>
      <c r="AP555"/>
      <c r="AQ555"/>
      <c r="AR555"/>
    </row>
    <row r="556" spans="36:44" x14ac:dyDescent="0.25">
      <c r="AJ556"/>
      <c r="AK556"/>
      <c r="AL556"/>
      <c r="AM556"/>
      <c r="AN556"/>
      <c r="AO556"/>
      <c r="AP556"/>
      <c r="AQ556"/>
      <c r="AR556"/>
    </row>
    <row r="557" spans="36:44" x14ac:dyDescent="0.25">
      <c r="AJ557"/>
      <c r="AK557"/>
      <c r="AL557"/>
      <c r="AM557"/>
      <c r="AN557"/>
      <c r="AO557"/>
      <c r="AP557"/>
      <c r="AQ557"/>
      <c r="AR557"/>
    </row>
    <row r="558" spans="36:44" x14ac:dyDescent="0.25">
      <c r="AJ558"/>
      <c r="AK558"/>
      <c r="AL558"/>
      <c r="AM558"/>
      <c r="AN558"/>
      <c r="AO558"/>
      <c r="AP558"/>
      <c r="AQ558"/>
      <c r="AR558"/>
    </row>
    <row r="559" spans="36:44" x14ac:dyDescent="0.25">
      <c r="AJ559"/>
      <c r="AK559"/>
      <c r="AL559"/>
      <c r="AM559"/>
      <c r="AN559"/>
      <c r="AO559"/>
      <c r="AP559"/>
      <c r="AQ559"/>
      <c r="AR559"/>
    </row>
    <row r="560" spans="36:44" x14ac:dyDescent="0.25">
      <c r="AJ560"/>
      <c r="AK560"/>
      <c r="AL560"/>
      <c r="AM560"/>
      <c r="AN560"/>
      <c r="AO560"/>
      <c r="AP560"/>
      <c r="AQ560"/>
      <c r="AR560"/>
    </row>
    <row r="561" spans="36:44" x14ac:dyDescent="0.25">
      <c r="AJ561"/>
      <c r="AK561"/>
      <c r="AL561"/>
      <c r="AM561"/>
      <c r="AN561"/>
      <c r="AO561"/>
      <c r="AP561"/>
      <c r="AQ561"/>
      <c r="AR561"/>
    </row>
    <row r="562" spans="36:44" x14ac:dyDescent="0.25">
      <c r="AJ562"/>
      <c r="AK562"/>
      <c r="AL562"/>
      <c r="AM562"/>
      <c r="AN562"/>
      <c r="AO562"/>
      <c r="AP562"/>
      <c r="AQ562"/>
      <c r="AR562"/>
    </row>
    <row r="563" spans="36:44" x14ac:dyDescent="0.25">
      <c r="AJ563"/>
      <c r="AK563"/>
      <c r="AL563"/>
      <c r="AM563"/>
      <c r="AN563"/>
      <c r="AO563"/>
      <c r="AP563"/>
      <c r="AQ563"/>
      <c r="AR563"/>
    </row>
    <row r="564" spans="36:44" x14ac:dyDescent="0.25">
      <c r="AJ564"/>
      <c r="AK564"/>
      <c r="AL564"/>
      <c r="AM564"/>
      <c r="AN564"/>
      <c r="AO564"/>
      <c r="AP564"/>
      <c r="AQ564"/>
      <c r="AR564"/>
    </row>
    <row r="565" spans="36:44" x14ac:dyDescent="0.25">
      <c r="AJ565"/>
      <c r="AK565"/>
      <c r="AL565"/>
      <c r="AM565"/>
      <c r="AN565"/>
      <c r="AO565"/>
      <c r="AP565"/>
      <c r="AQ565"/>
      <c r="AR565"/>
    </row>
    <row r="566" spans="36:44" x14ac:dyDescent="0.25">
      <c r="AJ566"/>
      <c r="AK566"/>
      <c r="AL566"/>
      <c r="AM566"/>
      <c r="AN566"/>
      <c r="AO566"/>
      <c r="AP566"/>
      <c r="AQ566"/>
      <c r="AR566"/>
    </row>
    <row r="567" spans="36:44" x14ac:dyDescent="0.25">
      <c r="AJ567"/>
      <c r="AK567"/>
      <c r="AL567"/>
      <c r="AM567"/>
      <c r="AN567"/>
      <c r="AO567"/>
      <c r="AP567"/>
      <c r="AQ567"/>
      <c r="AR567"/>
    </row>
    <row r="568" spans="36:44" x14ac:dyDescent="0.25">
      <c r="AJ568"/>
      <c r="AK568"/>
      <c r="AL568"/>
      <c r="AM568"/>
      <c r="AN568"/>
      <c r="AO568"/>
      <c r="AP568"/>
      <c r="AQ568"/>
      <c r="AR568"/>
    </row>
    <row r="569" spans="36:44" x14ac:dyDescent="0.25">
      <c r="AJ569"/>
      <c r="AK569"/>
      <c r="AL569"/>
      <c r="AM569"/>
      <c r="AN569"/>
      <c r="AO569"/>
      <c r="AP569"/>
      <c r="AQ569"/>
      <c r="AR569"/>
    </row>
    <row r="570" spans="36:44" x14ac:dyDescent="0.25">
      <c r="AJ570"/>
      <c r="AK570"/>
      <c r="AL570"/>
      <c r="AM570"/>
      <c r="AN570"/>
      <c r="AO570"/>
      <c r="AP570"/>
      <c r="AQ570"/>
      <c r="AR570"/>
    </row>
    <row r="571" spans="36:44" x14ac:dyDescent="0.25">
      <c r="AJ571"/>
      <c r="AK571"/>
      <c r="AL571"/>
      <c r="AM571"/>
      <c r="AN571"/>
      <c r="AO571"/>
      <c r="AP571"/>
      <c r="AQ571"/>
      <c r="AR571"/>
    </row>
    <row r="572" spans="36:44" x14ac:dyDescent="0.25">
      <c r="AJ572"/>
      <c r="AK572"/>
      <c r="AL572"/>
      <c r="AM572"/>
      <c r="AN572"/>
      <c r="AO572"/>
      <c r="AP572"/>
      <c r="AQ572"/>
      <c r="AR572"/>
    </row>
    <row r="573" spans="36:44" x14ac:dyDescent="0.25">
      <c r="AJ573"/>
      <c r="AK573"/>
      <c r="AL573"/>
      <c r="AM573"/>
      <c r="AN573"/>
      <c r="AO573"/>
      <c r="AP573"/>
      <c r="AQ573"/>
      <c r="AR573"/>
    </row>
    <row r="574" spans="36:44" x14ac:dyDescent="0.25">
      <c r="AJ574"/>
      <c r="AK574"/>
      <c r="AL574"/>
      <c r="AM574"/>
      <c r="AN574"/>
      <c r="AO574"/>
      <c r="AP574"/>
      <c r="AQ574"/>
      <c r="AR574"/>
    </row>
    <row r="575" spans="36:44" x14ac:dyDescent="0.25">
      <c r="AJ575"/>
      <c r="AK575"/>
      <c r="AL575"/>
      <c r="AM575"/>
      <c r="AN575"/>
      <c r="AO575"/>
      <c r="AP575"/>
      <c r="AQ575"/>
      <c r="AR575"/>
    </row>
    <row r="576" spans="36:44" x14ac:dyDescent="0.25">
      <c r="AJ576"/>
      <c r="AK576"/>
      <c r="AL576"/>
      <c r="AM576"/>
      <c r="AN576"/>
      <c r="AO576"/>
      <c r="AP576"/>
      <c r="AQ576"/>
      <c r="AR576"/>
    </row>
    <row r="577" spans="36:44" x14ac:dyDescent="0.25">
      <c r="AJ577"/>
      <c r="AK577"/>
      <c r="AL577"/>
      <c r="AM577"/>
      <c r="AN577"/>
      <c r="AO577"/>
      <c r="AP577"/>
      <c r="AQ577"/>
      <c r="AR577"/>
    </row>
    <row r="578" spans="36:44" x14ac:dyDescent="0.25">
      <c r="AJ578"/>
      <c r="AK578"/>
      <c r="AL578"/>
      <c r="AM578"/>
      <c r="AN578"/>
      <c r="AO578"/>
      <c r="AP578"/>
      <c r="AQ578"/>
      <c r="AR578"/>
    </row>
    <row r="579" spans="36:44" x14ac:dyDescent="0.25">
      <c r="AJ579"/>
      <c r="AK579"/>
      <c r="AL579"/>
      <c r="AM579"/>
      <c r="AN579"/>
      <c r="AO579"/>
      <c r="AP579"/>
      <c r="AQ579"/>
      <c r="AR579"/>
    </row>
    <row r="580" spans="36:44" x14ac:dyDescent="0.25">
      <c r="AJ580"/>
      <c r="AK580"/>
      <c r="AL580"/>
      <c r="AM580"/>
      <c r="AN580"/>
      <c r="AO580"/>
      <c r="AP580"/>
      <c r="AQ580"/>
      <c r="AR580"/>
    </row>
    <row r="581" spans="36:44" x14ac:dyDescent="0.25">
      <c r="AJ581"/>
      <c r="AK581"/>
      <c r="AL581"/>
      <c r="AM581"/>
      <c r="AN581"/>
      <c r="AO581"/>
      <c r="AP581"/>
      <c r="AQ581"/>
      <c r="AR581"/>
    </row>
    <row r="582" spans="36:44" x14ac:dyDescent="0.25">
      <c r="AJ582"/>
      <c r="AK582"/>
      <c r="AL582"/>
      <c r="AM582"/>
      <c r="AN582"/>
      <c r="AO582"/>
      <c r="AP582"/>
      <c r="AQ582"/>
      <c r="AR582"/>
    </row>
    <row r="583" spans="36:44" x14ac:dyDescent="0.25">
      <c r="AJ583"/>
      <c r="AK583"/>
      <c r="AL583"/>
      <c r="AM583"/>
      <c r="AN583"/>
      <c r="AO583"/>
      <c r="AP583"/>
      <c r="AQ583"/>
      <c r="AR583"/>
    </row>
    <row r="584" spans="36:44" x14ac:dyDescent="0.25">
      <c r="AJ584"/>
      <c r="AK584"/>
      <c r="AL584"/>
      <c r="AM584"/>
      <c r="AN584"/>
      <c r="AO584"/>
      <c r="AP584"/>
      <c r="AQ584"/>
      <c r="AR584"/>
    </row>
    <row r="585" spans="36:44" x14ac:dyDescent="0.25">
      <c r="AJ585"/>
      <c r="AK585"/>
      <c r="AL585"/>
      <c r="AM585"/>
      <c r="AN585"/>
      <c r="AO585"/>
      <c r="AP585"/>
      <c r="AQ585"/>
      <c r="AR585"/>
    </row>
    <row r="586" spans="36:44" x14ac:dyDescent="0.25">
      <c r="AJ586"/>
      <c r="AK586"/>
      <c r="AL586"/>
      <c r="AM586"/>
      <c r="AN586"/>
      <c r="AO586"/>
      <c r="AP586"/>
      <c r="AQ586"/>
      <c r="AR586"/>
    </row>
    <row r="587" spans="36:44" x14ac:dyDescent="0.25">
      <c r="AJ587"/>
      <c r="AK587"/>
      <c r="AL587"/>
      <c r="AM587"/>
      <c r="AN587"/>
      <c r="AO587"/>
      <c r="AP587"/>
      <c r="AQ587"/>
      <c r="AR587"/>
    </row>
    <row r="588" spans="36:44" x14ac:dyDescent="0.25">
      <c r="AJ588"/>
      <c r="AK588"/>
      <c r="AL588"/>
      <c r="AM588"/>
      <c r="AN588"/>
      <c r="AO588"/>
      <c r="AP588"/>
      <c r="AQ588"/>
      <c r="AR588"/>
    </row>
    <row r="589" spans="36:44" x14ac:dyDescent="0.25">
      <c r="AJ589"/>
      <c r="AK589"/>
      <c r="AL589"/>
      <c r="AM589"/>
      <c r="AN589"/>
      <c r="AO589"/>
      <c r="AP589"/>
      <c r="AQ589"/>
      <c r="AR589"/>
    </row>
    <row r="590" spans="36:44" x14ac:dyDescent="0.25">
      <c r="AJ590"/>
      <c r="AK590"/>
      <c r="AL590"/>
      <c r="AM590"/>
      <c r="AN590"/>
      <c r="AO590"/>
      <c r="AP590"/>
      <c r="AQ590"/>
      <c r="AR590"/>
    </row>
    <row r="591" spans="36:44" x14ac:dyDescent="0.25">
      <c r="AJ591"/>
      <c r="AK591"/>
      <c r="AL591"/>
      <c r="AM591"/>
      <c r="AN591"/>
      <c r="AO591"/>
      <c r="AP591"/>
      <c r="AQ591"/>
      <c r="AR591"/>
    </row>
    <row r="592" spans="36:44" x14ac:dyDescent="0.25">
      <c r="AJ592"/>
      <c r="AK592"/>
      <c r="AL592"/>
      <c r="AM592"/>
      <c r="AN592"/>
      <c r="AO592"/>
      <c r="AP592"/>
      <c r="AQ592"/>
      <c r="AR592"/>
    </row>
    <row r="593" spans="36:44" x14ac:dyDescent="0.25">
      <c r="AJ593"/>
      <c r="AK593"/>
      <c r="AL593"/>
      <c r="AM593"/>
      <c r="AN593"/>
      <c r="AO593"/>
      <c r="AP593"/>
      <c r="AQ593"/>
      <c r="AR593"/>
    </row>
    <row r="594" spans="36:44" x14ac:dyDescent="0.25">
      <c r="AJ594"/>
      <c r="AK594"/>
      <c r="AL594"/>
      <c r="AM594"/>
      <c r="AN594"/>
      <c r="AO594"/>
      <c r="AP594"/>
      <c r="AQ594"/>
      <c r="AR594"/>
    </row>
    <row r="595" spans="36:44" x14ac:dyDescent="0.25">
      <c r="AJ595"/>
      <c r="AK595"/>
      <c r="AL595"/>
      <c r="AM595"/>
      <c r="AN595"/>
      <c r="AO595"/>
      <c r="AP595"/>
      <c r="AQ595"/>
      <c r="AR595"/>
    </row>
    <row r="596" spans="36:44" x14ac:dyDescent="0.25">
      <c r="AJ596"/>
      <c r="AK596"/>
      <c r="AL596"/>
      <c r="AM596"/>
      <c r="AN596"/>
      <c r="AO596"/>
      <c r="AP596"/>
      <c r="AQ596"/>
      <c r="AR596"/>
    </row>
    <row r="597" spans="36:44" x14ac:dyDescent="0.25">
      <c r="AJ597"/>
      <c r="AK597"/>
      <c r="AL597"/>
      <c r="AM597"/>
      <c r="AN597"/>
      <c r="AO597"/>
      <c r="AP597"/>
      <c r="AQ597"/>
      <c r="AR597"/>
    </row>
    <row r="598" spans="36:44" x14ac:dyDescent="0.25">
      <c r="AJ598"/>
      <c r="AK598"/>
      <c r="AL598"/>
      <c r="AM598"/>
      <c r="AN598"/>
      <c r="AO598"/>
      <c r="AP598"/>
      <c r="AQ598"/>
      <c r="AR598"/>
    </row>
    <row r="599" spans="36:44" x14ac:dyDescent="0.25">
      <c r="AJ599"/>
      <c r="AK599"/>
      <c r="AL599"/>
      <c r="AM599"/>
      <c r="AN599"/>
      <c r="AO599"/>
      <c r="AP599"/>
      <c r="AQ599"/>
      <c r="AR599"/>
    </row>
    <row r="600" spans="36:44" x14ac:dyDescent="0.25">
      <c r="AJ600"/>
      <c r="AK600"/>
      <c r="AL600"/>
      <c r="AM600"/>
      <c r="AN600"/>
      <c r="AO600"/>
      <c r="AP600"/>
      <c r="AQ600"/>
      <c r="AR600"/>
    </row>
    <row r="601" spans="36:44" x14ac:dyDescent="0.25">
      <c r="AJ601"/>
      <c r="AK601"/>
      <c r="AL601"/>
      <c r="AM601"/>
      <c r="AN601"/>
      <c r="AO601"/>
      <c r="AP601"/>
      <c r="AQ601"/>
      <c r="AR601"/>
    </row>
    <row r="602" spans="36:44" x14ac:dyDescent="0.25">
      <c r="AJ602"/>
      <c r="AK602"/>
      <c r="AL602"/>
      <c r="AM602"/>
      <c r="AN602"/>
      <c r="AO602"/>
      <c r="AP602"/>
      <c r="AQ602"/>
      <c r="AR602"/>
    </row>
    <row r="603" spans="36:44" x14ac:dyDescent="0.25">
      <c r="AJ603"/>
      <c r="AK603"/>
      <c r="AL603"/>
      <c r="AM603"/>
      <c r="AN603"/>
      <c r="AO603"/>
      <c r="AP603"/>
      <c r="AQ603"/>
      <c r="AR603"/>
    </row>
    <row r="604" spans="36:44" x14ac:dyDescent="0.25">
      <c r="AJ604"/>
      <c r="AK604"/>
      <c r="AL604"/>
      <c r="AM604"/>
      <c r="AN604"/>
      <c r="AO604"/>
      <c r="AP604"/>
      <c r="AQ604"/>
      <c r="AR604"/>
    </row>
    <row r="605" spans="36:44" x14ac:dyDescent="0.25">
      <c r="AJ605"/>
      <c r="AK605"/>
      <c r="AL605"/>
      <c r="AM605"/>
      <c r="AN605"/>
      <c r="AO605"/>
      <c r="AP605"/>
      <c r="AQ605"/>
      <c r="AR605"/>
    </row>
    <row r="606" spans="36:44" x14ac:dyDescent="0.25">
      <c r="AJ606"/>
      <c r="AK606"/>
      <c r="AL606"/>
      <c r="AM606"/>
      <c r="AN606"/>
      <c r="AO606"/>
      <c r="AP606"/>
      <c r="AQ606"/>
      <c r="AR606"/>
    </row>
    <row r="607" spans="36:44" x14ac:dyDescent="0.25">
      <c r="AJ607"/>
      <c r="AK607"/>
      <c r="AL607"/>
      <c r="AM607"/>
      <c r="AN607"/>
      <c r="AO607"/>
      <c r="AP607"/>
      <c r="AQ607"/>
      <c r="AR607"/>
    </row>
    <row r="608" spans="36:44" x14ac:dyDescent="0.25">
      <c r="AJ608"/>
      <c r="AK608"/>
      <c r="AL608"/>
      <c r="AM608"/>
      <c r="AN608"/>
      <c r="AO608"/>
      <c r="AP608"/>
      <c r="AQ608"/>
      <c r="AR608"/>
    </row>
    <row r="609" spans="36:44" x14ac:dyDescent="0.25">
      <c r="AJ609"/>
      <c r="AK609"/>
      <c r="AL609"/>
      <c r="AM609"/>
      <c r="AN609"/>
      <c r="AO609"/>
      <c r="AP609"/>
      <c r="AQ609"/>
      <c r="AR609"/>
    </row>
    <row r="610" spans="36:44" x14ac:dyDescent="0.25">
      <c r="AJ610"/>
      <c r="AK610"/>
      <c r="AL610"/>
      <c r="AM610"/>
      <c r="AN610"/>
      <c r="AO610"/>
      <c r="AP610"/>
      <c r="AQ610"/>
      <c r="AR610"/>
    </row>
    <row r="611" spans="36:44" x14ac:dyDescent="0.25">
      <c r="AJ611"/>
      <c r="AK611"/>
      <c r="AL611"/>
      <c r="AM611"/>
      <c r="AN611"/>
      <c r="AO611"/>
      <c r="AP611"/>
      <c r="AQ611"/>
      <c r="AR611"/>
    </row>
    <row r="612" spans="36:44" x14ac:dyDescent="0.25">
      <c r="AJ612"/>
      <c r="AK612"/>
      <c r="AL612"/>
      <c r="AM612"/>
      <c r="AN612"/>
      <c r="AO612"/>
      <c r="AP612"/>
      <c r="AQ612"/>
      <c r="AR612"/>
    </row>
    <row r="613" spans="36:44" x14ac:dyDescent="0.25">
      <c r="AJ613"/>
      <c r="AK613"/>
      <c r="AL613"/>
      <c r="AM613"/>
      <c r="AN613"/>
      <c r="AO613"/>
      <c r="AP613"/>
      <c r="AQ613"/>
      <c r="AR613"/>
    </row>
    <row r="614" spans="36:44" x14ac:dyDescent="0.25">
      <c r="AJ614"/>
      <c r="AK614"/>
      <c r="AL614"/>
      <c r="AM614"/>
      <c r="AN614"/>
      <c r="AO614"/>
      <c r="AP614"/>
      <c r="AQ614"/>
      <c r="AR614"/>
    </row>
    <row r="615" spans="36:44" x14ac:dyDescent="0.25">
      <c r="AJ615"/>
      <c r="AK615"/>
      <c r="AL615"/>
      <c r="AM615"/>
      <c r="AN615"/>
      <c r="AO615"/>
      <c r="AP615"/>
      <c r="AQ615"/>
      <c r="AR615"/>
    </row>
    <row r="616" spans="36:44" x14ac:dyDescent="0.25">
      <c r="AJ616"/>
      <c r="AK616"/>
      <c r="AL616"/>
      <c r="AM616"/>
      <c r="AN616"/>
      <c r="AO616"/>
      <c r="AP616"/>
      <c r="AQ616"/>
      <c r="AR616"/>
    </row>
    <row r="617" spans="36:44" x14ac:dyDescent="0.25">
      <c r="AJ617"/>
      <c r="AK617"/>
      <c r="AL617"/>
      <c r="AM617"/>
      <c r="AN617"/>
      <c r="AO617"/>
      <c r="AP617"/>
      <c r="AQ617"/>
      <c r="AR617"/>
    </row>
    <row r="618" spans="36:44" x14ac:dyDescent="0.25">
      <c r="AJ618"/>
      <c r="AK618"/>
      <c r="AL618"/>
      <c r="AM618"/>
      <c r="AN618"/>
      <c r="AO618"/>
      <c r="AP618"/>
      <c r="AQ618"/>
      <c r="AR618"/>
    </row>
    <row r="619" spans="36:44" x14ac:dyDescent="0.25">
      <c r="AJ619"/>
      <c r="AK619"/>
      <c r="AL619"/>
      <c r="AM619"/>
      <c r="AN619"/>
      <c r="AO619"/>
      <c r="AP619"/>
      <c r="AQ619"/>
      <c r="AR619"/>
    </row>
    <row r="620" spans="36:44" x14ac:dyDescent="0.25">
      <c r="AJ620"/>
      <c r="AK620"/>
      <c r="AL620"/>
      <c r="AM620"/>
      <c r="AN620"/>
      <c r="AO620"/>
      <c r="AP620"/>
      <c r="AQ620"/>
      <c r="AR620"/>
    </row>
    <row r="621" spans="36:44" x14ac:dyDescent="0.25">
      <c r="AJ621"/>
      <c r="AK621"/>
      <c r="AL621"/>
      <c r="AM621"/>
      <c r="AN621"/>
      <c r="AO621"/>
      <c r="AP621"/>
      <c r="AQ621"/>
      <c r="AR621"/>
    </row>
    <row r="622" spans="36:44" x14ac:dyDescent="0.25">
      <c r="AJ622"/>
      <c r="AK622"/>
      <c r="AL622"/>
      <c r="AM622"/>
      <c r="AN622"/>
      <c r="AO622"/>
      <c r="AP622"/>
      <c r="AQ622"/>
      <c r="AR622"/>
    </row>
    <row r="623" spans="36:44" x14ac:dyDescent="0.25">
      <c r="AJ623"/>
      <c r="AK623"/>
      <c r="AL623"/>
      <c r="AM623"/>
      <c r="AN623"/>
      <c r="AO623"/>
      <c r="AP623"/>
      <c r="AQ623"/>
      <c r="AR623"/>
    </row>
    <row r="624" spans="36:44" x14ac:dyDescent="0.25">
      <c r="AJ624"/>
      <c r="AK624"/>
      <c r="AL624"/>
      <c r="AM624"/>
      <c r="AN624"/>
      <c r="AO624"/>
      <c r="AP624"/>
      <c r="AQ624"/>
      <c r="AR624"/>
    </row>
    <row r="625" spans="36:44" x14ac:dyDescent="0.25">
      <c r="AJ625"/>
      <c r="AK625"/>
      <c r="AL625"/>
      <c r="AM625"/>
      <c r="AN625"/>
      <c r="AO625"/>
      <c r="AP625"/>
      <c r="AQ625"/>
      <c r="AR625"/>
    </row>
    <row r="626" spans="36:44" x14ac:dyDescent="0.25">
      <c r="AJ626"/>
      <c r="AK626"/>
      <c r="AL626"/>
      <c r="AM626"/>
      <c r="AN626"/>
      <c r="AO626"/>
      <c r="AP626"/>
      <c r="AQ626"/>
      <c r="AR626"/>
    </row>
    <row r="627" spans="36:44" x14ac:dyDescent="0.25">
      <c r="AJ627"/>
      <c r="AK627"/>
      <c r="AL627"/>
      <c r="AM627"/>
      <c r="AN627"/>
      <c r="AO627"/>
      <c r="AP627"/>
      <c r="AQ627"/>
      <c r="AR627"/>
    </row>
    <row r="628" spans="36:44" x14ac:dyDescent="0.25">
      <c r="AJ628"/>
      <c r="AK628"/>
      <c r="AL628"/>
      <c r="AM628"/>
      <c r="AN628"/>
      <c r="AO628"/>
      <c r="AP628"/>
      <c r="AQ628"/>
      <c r="AR628"/>
    </row>
    <row r="629" spans="36:44" x14ac:dyDescent="0.25">
      <c r="AJ629"/>
      <c r="AK629"/>
      <c r="AL629"/>
      <c r="AM629"/>
      <c r="AN629"/>
      <c r="AO629"/>
      <c r="AP629"/>
      <c r="AQ629"/>
      <c r="AR629"/>
    </row>
    <row r="630" spans="36:44" x14ac:dyDescent="0.25">
      <c r="AJ630"/>
      <c r="AK630"/>
      <c r="AL630"/>
      <c r="AM630"/>
      <c r="AN630"/>
      <c r="AO630"/>
      <c r="AP630"/>
      <c r="AQ630"/>
      <c r="AR630"/>
    </row>
    <row r="631" spans="36:44" x14ac:dyDescent="0.25">
      <c r="AJ631"/>
      <c r="AK631"/>
      <c r="AL631"/>
      <c r="AM631"/>
      <c r="AN631"/>
      <c r="AO631"/>
      <c r="AP631"/>
      <c r="AQ631"/>
      <c r="AR631"/>
    </row>
    <row r="632" spans="36:44" x14ac:dyDescent="0.25">
      <c r="AJ632"/>
      <c r="AK632"/>
      <c r="AL632"/>
      <c r="AM632"/>
      <c r="AN632"/>
      <c r="AO632"/>
      <c r="AP632"/>
      <c r="AQ632"/>
      <c r="AR632"/>
    </row>
    <row r="633" spans="36:44" x14ac:dyDescent="0.25">
      <c r="AJ633"/>
      <c r="AK633"/>
      <c r="AL633"/>
      <c r="AM633"/>
      <c r="AN633"/>
      <c r="AO633"/>
      <c r="AP633"/>
      <c r="AQ633"/>
      <c r="AR633"/>
    </row>
    <row r="634" spans="36:44" x14ac:dyDescent="0.25">
      <c r="AJ634"/>
      <c r="AK634"/>
      <c r="AL634"/>
      <c r="AM634"/>
      <c r="AN634"/>
      <c r="AO634"/>
      <c r="AP634"/>
      <c r="AQ634"/>
      <c r="AR634"/>
    </row>
    <row r="635" spans="36:44" x14ac:dyDescent="0.25">
      <c r="AJ635"/>
      <c r="AK635"/>
      <c r="AL635"/>
      <c r="AM635"/>
      <c r="AN635"/>
      <c r="AO635"/>
      <c r="AP635"/>
      <c r="AQ635"/>
      <c r="AR635"/>
    </row>
    <row r="636" spans="36:44" x14ac:dyDescent="0.25">
      <c r="AJ636"/>
      <c r="AK636"/>
      <c r="AL636"/>
      <c r="AM636"/>
      <c r="AN636"/>
      <c r="AO636"/>
      <c r="AP636"/>
      <c r="AQ636"/>
      <c r="AR636"/>
    </row>
    <row r="637" spans="36:44" x14ac:dyDescent="0.25">
      <c r="AJ637"/>
      <c r="AK637"/>
      <c r="AL637"/>
      <c r="AM637"/>
      <c r="AN637"/>
      <c r="AO637"/>
      <c r="AP637"/>
      <c r="AQ637"/>
      <c r="AR637"/>
    </row>
    <row r="638" spans="36:44" x14ac:dyDescent="0.25">
      <c r="AJ638"/>
      <c r="AK638"/>
      <c r="AL638"/>
      <c r="AM638"/>
      <c r="AN638"/>
      <c r="AO638"/>
      <c r="AP638"/>
      <c r="AQ638"/>
      <c r="AR638"/>
    </row>
    <row r="639" spans="36:44" x14ac:dyDescent="0.25">
      <c r="AJ639"/>
      <c r="AK639"/>
      <c r="AL639"/>
      <c r="AM639"/>
      <c r="AN639"/>
      <c r="AO639"/>
      <c r="AP639"/>
      <c r="AQ639"/>
      <c r="AR639"/>
    </row>
    <row r="640" spans="36:44" x14ac:dyDescent="0.25">
      <c r="AJ640"/>
      <c r="AK640"/>
      <c r="AL640"/>
      <c r="AM640"/>
      <c r="AN640"/>
      <c r="AO640"/>
      <c r="AP640"/>
      <c r="AQ640"/>
      <c r="AR640"/>
    </row>
    <row r="641" spans="36:44" x14ac:dyDescent="0.25">
      <c r="AJ641"/>
      <c r="AK641"/>
      <c r="AL641"/>
      <c r="AM641"/>
      <c r="AN641"/>
      <c r="AO641"/>
      <c r="AP641"/>
      <c r="AQ641"/>
      <c r="AR641"/>
    </row>
    <row r="642" spans="36:44" x14ac:dyDescent="0.25">
      <c r="AJ642"/>
      <c r="AK642"/>
      <c r="AL642"/>
      <c r="AM642"/>
      <c r="AN642"/>
      <c r="AO642"/>
      <c r="AP642"/>
      <c r="AQ642"/>
      <c r="AR642"/>
    </row>
    <row r="643" spans="36:44" x14ac:dyDescent="0.25">
      <c r="AJ643"/>
      <c r="AK643"/>
      <c r="AL643"/>
      <c r="AM643"/>
      <c r="AN643"/>
      <c r="AO643"/>
      <c r="AP643"/>
      <c r="AQ643"/>
      <c r="AR643"/>
    </row>
    <row r="644" spans="36:44" x14ac:dyDescent="0.25">
      <c r="AJ644"/>
      <c r="AK644"/>
      <c r="AL644"/>
      <c r="AM644"/>
      <c r="AN644"/>
      <c r="AO644"/>
      <c r="AP644"/>
      <c r="AQ644"/>
      <c r="AR644"/>
    </row>
    <row r="645" spans="36:44" x14ac:dyDescent="0.25">
      <c r="AJ645"/>
      <c r="AK645"/>
      <c r="AL645"/>
      <c r="AM645"/>
      <c r="AN645"/>
      <c r="AO645"/>
      <c r="AP645"/>
      <c r="AQ645"/>
      <c r="AR645"/>
    </row>
    <row r="646" spans="36:44" x14ac:dyDescent="0.25">
      <c r="AJ646"/>
      <c r="AK646"/>
      <c r="AL646"/>
      <c r="AM646"/>
      <c r="AN646"/>
      <c r="AO646"/>
      <c r="AP646"/>
      <c r="AQ646"/>
      <c r="AR646"/>
    </row>
    <row r="647" spans="36:44" x14ac:dyDescent="0.25">
      <c r="AJ647"/>
      <c r="AK647"/>
      <c r="AL647"/>
      <c r="AM647"/>
      <c r="AN647"/>
      <c r="AO647"/>
      <c r="AP647"/>
      <c r="AQ647"/>
      <c r="AR647"/>
    </row>
    <row r="648" spans="36:44" x14ac:dyDescent="0.25">
      <c r="AJ648"/>
      <c r="AK648"/>
      <c r="AL648"/>
      <c r="AM648"/>
      <c r="AN648"/>
      <c r="AO648"/>
      <c r="AP648"/>
      <c r="AQ648"/>
      <c r="AR648"/>
    </row>
    <row r="649" spans="36:44" x14ac:dyDescent="0.25">
      <c r="AJ649"/>
      <c r="AK649"/>
      <c r="AL649"/>
      <c r="AM649"/>
      <c r="AN649"/>
      <c r="AO649"/>
      <c r="AP649"/>
      <c r="AQ649"/>
      <c r="AR649"/>
    </row>
    <row r="650" spans="36:44" x14ac:dyDescent="0.25">
      <c r="AJ650"/>
      <c r="AK650"/>
      <c r="AL650"/>
      <c r="AM650"/>
      <c r="AN650"/>
      <c r="AO650"/>
      <c r="AP650"/>
      <c r="AQ650"/>
      <c r="AR650"/>
    </row>
    <row r="651" spans="36:44" x14ac:dyDescent="0.25">
      <c r="AJ651"/>
      <c r="AK651"/>
      <c r="AL651"/>
      <c r="AM651"/>
      <c r="AN651"/>
      <c r="AO651"/>
      <c r="AP651"/>
      <c r="AQ651"/>
      <c r="AR651"/>
    </row>
    <row r="652" spans="36:44" x14ac:dyDescent="0.25">
      <c r="AJ652"/>
      <c r="AK652"/>
      <c r="AL652"/>
      <c r="AM652"/>
      <c r="AN652"/>
      <c r="AO652"/>
      <c r="AP652"/>
      <c r="AQ652"/>
      <c r="AR652"/>
    </row>
    <row r="653" spans="36:44" x14ac:dyDescent="0.25">
      <c r="AJ653"/>
      <c r="AK653"/>
      <c r="AL653"/>
      <c r="AM653"/>
      <c r="AN653"/>
      <c r="AO653"/>
      <c r="AP653"/>
      <c r="AQ653"/>
      <c r="AR653"/>
    </row>
    <row r="654" spans="36:44" x14ac:dyDescent="0.25">
      <c r="AJ654"/>
      <c r="AK654"/>
      <c r="AL654"/>
      <c r="AM654"/>
      <c r="AN654"/>
      <c r="AO654"/>
      <c r="AP654"/>
      <c r="AQ654"/>
      <c r="AR654"/>
    </row>
    <row r="655" spans="36:44" x14ac:dyDescent="0.25">
      <c r="AJ655"/>
      <c r="AK655"/>
      <c r="AL655"/>
      <c r="AM655"/>
      <c r="AN655"/>
      <c r="AO655"/>
      <c r="AP655"/>
      <c r="AQ655"/>
      <c r="AR655"/>
    </row>
    <row r="656" spans="36:44" x14ac:dyDescent="0.25">
      <c r="AJ656"/>
      <c r="AK656"/>
      <c r="AL656"/>
      <c r="AM656"/>
      <c r="AN656"/>
      <c r="AO656"/>
      <c r="AP656"/>
      <c r="AQ656"/>
      <c r="AR656"/>
    </row>
    <row r="657" spans="36:44" x14ac:dyDescent="0.25">
      <c r="AJ657"/>
      <c r="AK657"/>
      <c r="AL657"/>
      <c r="AM657"/>
      <c r="AN657"/>
      <c r="AO657"/>
      <c r="AP657"/>
      <c r="AQ657"/>
      <c r="AR657"/>
    </row>
    <row r="658" spans="36:44" x14ac:dyDescent="0.25">
      <c r="AJ658"/>
      <c r="AK658"/>
      <c r="AL658"/>
      <c r="AM658"/>
      <c r="AN658"/>
      <c r="AO658"/>
      <c r="AP658"/>
      <c r="AQ658"/>
      <c r="AR658"/>
    </row>
    <row r="659" spans="36:44" x14ac:dyDescent="0.25">
      <c r="AJ659"/>
      <c r="AK659"/>
      <c r="AL659"/>
      <c r="AM659"/>
      <c r="AN659"/>
      <c r="AO659"/>
      <c r="AP659"/>
      <c r="AQ659"/>
      <c r="AR659"/>
    </row>
    <row r="660" spans="36:44" x14ac:dyDescent="0.25">
      <c r="AJ660"/>
      <c r="AK660"/>
      <c r="AL660"/>
      <c r="AM660"/>
      <c r="AN660"/>
      <c r="AO660"/>
      <c r="AP660"/>
      <c r="AQ660"/>
      <c r="AR660"/>
    </row>
    <row r="661" spans="36:44" x14ac:dyDescent="0.25">
      <c r="AJ661"/>
      <c r="AK661"/>
      <c r="AL661"/>
      <c r="AM661"/>
      <c r="AN661"/>
      <c r="AO661"/>
      <c r="AP661"/>
      <c r="AQ661"/>
      <c r="AR661"/>
    </row>
    <row r="662" spans="36:44" x14ac:dyDescent="0.25">
      <c r="AJ662"/>
      <c r="AK662"/>
      <c r="AL662"/>
      <c r="AM662"/>
      <c r="AN662"/>
      <c r="AO662"/>
      <c r="AP662"/>
      <c r="AQ662"/>
      <c r="AR662"/>
    </row>
    <row r="663" spans="36:44" x14ac:dyDescent="0.25">
      <c r="AJ663"/>
      <c r="AK663"/>
      <c r="AL663"/>
      <c r="AM663"/>
      <c r="AN663"/>
      <c r="AO663"/>
      <c r="AP663"/>
      <c r="AQ663"/>
      <c r="AR663"/>
    </row>
    <row r="664" spans="36:44" x14ac:dyDescent="0.25">
      <c r="AJ664"/>
      <c r="AK664"/>
      <c r="AL664"/>
      <c r="AM664"/>
      <c r="AN664"/>
      <c r="AO664"/>
      <c r="AP664"/>
      <c r="AQ664"/>
      <c r="AR664"/>
    </row>
    <row r="665" spans="36:44" x14ac:dyDescent="0.25">
      <c r="AJ665"/>
      <c r="AK665"/>
      <c r="AL665"/>
      <c r="AM665"/>
      <c r="AN665"/>
      <c r="AO665"/>
      <c r="AP665"/>
      <c r="AQ665"/>
      <c r="AR665"/>
    </row>
    <row r="666" spans="36:44" x14ac:dyDescent="0.25">
      <c r="AJ666"/>
      <c r="AK666"/>
      <c r="AL666"/>
      <c r="AM666"/>
      <c r="AN666"/>
      <c r="AO666"/>
      <c r="AP666"/>
      <c r="AQ666"/>
      <c r="AR666"/>
    </row>
    <row r="667" spans="36:44" x14ac:dyDescent="0.25">
      <c r="AJ667"/>
      <c r="AK667"/>
      <c r="AL667"/>
      <c r="AM667"/>
      <c r="AN667"/>
      <c r="AO667"/>
      <c r="AP667"/>
      <c r="AQ667"/>
      <c r="AR667"/>
    </row>
    <row r="668" spans="36:44" x14ac:dyDescent="0.25">
      <c r="AJ668"/>
      <c r="AK668"/>
      <c r="AL668"/>
      <c r="AM668"/>
      <c r="AN668"/>
      <c r="AO668"/>
      <c r="AP668"/>
      <c r="AQ668"/>
      <c r="AR668"/>
    </row>
    <row r="669" spans="36:44" x14ac:dyDescent="0.25">
      <c r="AJ669"/>
      <c r="AK669"/>
      <c r="AL669"/>
      <c r="AM669"/>
      <c r="AN669"/>
      <c r="AO669"/>
      <c r="AP669"/>
      <c r="AQ669"/>
      <c r="AR669"/>
    </row>
    <row r="670" spans="36:44" x14ac:dyDescent="0.25">
      <c r="AJ670"/>
      <c r="AK670"/>
      <c r="AL670"/>
      <c r="AM670"/>
      <c r="AN670"/>
      <c r="AO670"/>
      <c r="AP670"/>
      <c r="AQ670"/>
      <c r="AR670"/>
    </row>
    <row r="671" spans="36:44" x14ac:dyDescent="0.25">
      <c r="AJ671"/>
      <c r="AK671"/>
      <c r="AL671"/>
      <c r="AM671"/>
      <c r="AN671"/>
      <c r="AO671"/>
      <c r="AP671"/>
      <c r="AQ671"/>
      <c r="AR671"/>
    </row>
    <row r="672" spans="36:44" x14ac:dyDescent="0.25">
      <c r="AJ672"/>
      <c r="AK672"/>
      <c r="AL672"/>
      <c r="AM672"/>
      <c r="AN672"/>
      <c r="AO672"/>
      <c r="AP672"/>
      <c r="AQ672"/>
      <c r="AR672"/>
    </row>
    <row r="673" spans="36:44" x14ac:dyDescent="0.25">
      <c r="AJ673"/>
      <c r="AK673"/>
      <c r="AL673"/>
      <c r="AM673"/>
      <c r="AN673"/>
      <c r="AO673"/>
      <c r="AP673"/>
      <c r="AQ673"/>
      <c r="AR673"/>
    </row>
    <row r="674" spans="36:44" x14ac:dyDescent="0.25">
      <c r="AJ674"/>
      <c r="AK674"/>
      <c r="AL674"/>
      <c r="AM674"/>
      <c r="AN674"/>
      <c r="AO674"/>
      <c r="AP674"/>
      <c r="AQ674"/>
      <c r="AR674"/>
    </row>
    <row r="675" spans="36:44" x14ac:dyDescent="0.25">
      <c r="AJ675"/>
      <c r="AK675"/>
      <c r="AL675"/>
      <c r="AM675"/>
      <c r="AN675"/>
      <c r="AO675"/>
      <c r="AP675"/>
      <c r="AQ675"/>
      <c r="AR675"/>
    </row>
    <row r="676" spans="36:44" x14ac:dyDescent="0.25">
      <c r="AJ676"/>
      <c r="AK676"/>
      <c r="AL676"/>
      <c r="AM676"/>
      <c r="AN676"/>
      <c r="AO676"/>
      <c r="AP676"/>
      <c r="AQ676"/>
      <c r="AR676"/>
    </row>
    <row r="677" spans="36:44" x14ac:dyDescent="0.25">
      <c r="AJ677"/>
      <c r="AK677"/>
      <c r="AL677"/>
      <c r="AM677"/>
      <c r="AN677"/>
      <c r="AO677"/>
      <c r="AP677"/>
      <c r="AQ677"/>
      <c r="AR677"/>
    </row>
    <row r="678" spans="36:44" x14ac:dyDescent="0.25">
      <c r="AJ678"/>
      <c r="AK678"/>
      <c r="AL678"/>
      <c r="AM678"/>
      <c r="AN678"/>
      <c r="AO678"/>
      <c r="AP678"/>
      <c r="AQ678"/>
      <c r="AR678"/>
    </row>
    <row r="679" spans="36:44" x14ac:dyDescent="0.25">
      <c r="AJ679"/>
      <c r="AK679"/>
      <c r="AL679"/>
      <c r="AM679"/>
      <c r="AN679"/>
      <c r="AO679"/>
      <c r="AP679"/>
      <c r="AQ679"/>
      <c r="AR679"/>
    </row>
    <row r="680" spans="36:44" x14ac:dyDescent="0.25">
      <c r="AJ680"/>
      <c r="AK680"/>
      <c r="AL680"/>
      <c r="AM680"/>
      <c r="AN680"/>
      <c r="AO680"/>
      <c r="AP680"/>
      <c r="AQ680"/>
      <c r="AR680"/>
    </row>
    <row r="681" spans="36:44" x14ac:dyDescent="0.25">
      <c r="AJ681"/>
      <c r="AK681"/>
      <c r="AL681"/>
      <c r="AM681"/>
      <c r="AN681"/>
      <c r="AO681"/>
      <c r="AP681"/>
      <c r="AQ681"/>
      <c r="AR681"/>
    </row>
    <row r="682" spans="36:44" x14ac:dyDescent="0.25">
      <c r="AJ682"/>
      <c r="AK682"/>
      <c r="AL682"/>
      <c r="AM682"/>
      <c r="AN682"/>
      <c r="AO682"/>
      <c r="AP682"/>
      <c r="AQ682"/>
      <c r="AR682"/>
    </row>
    <row r="683" spans="36:44" x14ac:dyDescent="0.25">
      <c r="AJ683"/>
      <c r="AK683"/>
      <c r="AL683"/>
      <c r="AM683"/>
      <c r="AN683"/>
      <c r="AO683"/>
      <c r="AP683"/>
      <c r="AQ683"/>
      <c r="AR683"/>
    </row>
    <row r="684" spans="36:44" x14ac:dyDescent="0.25">
      <c r="AJ684"/>
      <c r="AK684"/>
      <c r="AL684"/>
      <c r="AM684"/>
      <c r="AN684"/>
      <c r="AO684"/>
      <c r="AP684"/>
      <c r="AQ684"/>
      <c r="AR684"/>
    </row>
    <row r="685" spans="36:44" x14ac:dyDescent="0.25">
      <c r="AJ685"/>
      <c r="AK685"/>
      <c r="AL685"/>
      <c r="AM685"/>
      <c r="AN685"/>
      <c r="AO685"/>
      <c r="AP685"/>
      <c r="AQ685"/>
      <c r="AR685"/>
    </row>
    <row r="686" spans="36:44" x14ac:dyDescent="0.25">
      <c r="AJ686"/>
      <c r="AK686"/>
      <c r="AL686"/>
      <c r="AM686"/>
      <c r="AN686"/>
      <c r="AO686"/>
      <c r="AP686"/>
      <c r="AQ686"/>
      <c r="AR686"/>
    </row>
    <row r="687" spans="36:44" x14ac:dyDescent="0.25">
      <c r="AJ687"/>
      <c r="AK687"/>
      <c r="AL687"/>
      <c r="AM687"/>
      <c r="AN687"/>
      <c r="AO687"/>
      <c r="AP687"/>
      <c r="AQ687"/>
      <c r="AR687"/>
    </row>
    <row r="688" spans="36:44" x14ac:dyDescent="0.25">
      <c r="AJ688"/>
      <c r="AK688"/>
      <c r="AL688"/>
      <c r="AM688"/>
      <c r="AN688"/>
      <c r="AO688"/>
      <c r="AP688"/>
      <c r="AQ688"/>
      <c r="AR688"/>
    </row>
    <row r="689" spans="36:44" x14ac:dyDescent="0.25">
      <c r="AJ689"/>
      <c r="AK689"/>
      <c r="AL689"/>
      <c r="AM689"/>
      <c r="AN689"/>
      <c r="AO689"/>
      <c r="AP689"/>
      <c r="AQ689"/>
      <c r="AR689"/>
    </row>
    <row r="690" spans="36:44" x14ac:dyDescent="0.25">
      <c r="AJ690"/>
      <c r="AK690"/>
      <c r="AL690"/>
      <c r="AM690"/>
      <c r="AN690"/>
      <c r="AO690"/>
      <c r="AP690"/>
      <c r="AQ690"/>
      <c r="AR690"/>
    </row>
    <row r="691" spans="36:44" x14ac:dyDescent="0.25">
      <c r="AJ691"/>
      <c r="AK691"/>
      <c r="AL691"/>
      <c r="AM691"/>
      <c r="AN691"/>
      <c r="AO691"/>
      <c r="AP691"/>
      <c r="AQ691"/>
      <c r="AR691"/>
    </row>
    <row r="692" spans="36:44" x14ac:dyDescent="0.25">
      <c r="AJ692"/>
      <c r="AK692"/>
      <c r="AL692"/>
      <c r="AM692"/>
      <c r="AN692"/>
      <c r="AO692"/>
      <c r="AP692"/>
      <c r="AQ692"/>
      <c r="AR692"/>
    </row>
    <row r="693" spans="36:44" x14ac:dyDescent="0.25">
      <c r="AJ693"/>
      <c r="AK693"/>
      <c r="AL693"/>
      <c r="AM693"/>
      <c r="AN693"/>
      <c r="AO693"/>
      <c r="AP693"/>
      <c r="AQ693"/>
      <c r="AR693"/>
    </row>
    <row r="694" spans="36:44" x14ac:dyDescent="0.25">
      <c r="AJ694"/>
      <c r="AK694"/>
      <c r="AL694"/>
      <c r="AM694"/>
      <c r="AN694"/>
      <c r="AO694"/>
      <c r="AP694"/>
      <c r="AQ694"/>
      <c r="AR694"/>
    </row>
    <row r="695" spans="36:44" x14ac:dyDescent="0.25">
      <c r="AJ695"/>
      <c r="AK695"/>
      <c r="AL695"/>
      <c r="AM695"/>
      <c r="AN695"/>
      <c r="AO695"/>
      <c r="AP695"/>
      <c r="AQ695"/>
      <c r="AR695"/>
    </row>
    <row r="696" spans="36:44" x14ac:dyDescent="0.25">
      <c r="AJ696"/>
      <c r="AK696"/>
      <c r="AL696"/>
      <c r="AM696"/>
      <c r="AN696"/>
      <c r="AO696"/>
      <c r="AP696"/>
      <c r="AQ696"/>
      <c r="AR696"/>
    </row>
    <row r="697" spans="36:44" x14ac:dyDescent="0.25">
      <c r="AJ697"/>
      <c r="AK697"/>
      <c r="AL697"/>
      <c r="AM697"/>
      <c r="AN697"/>
      <c r="AO697"/>
      <c r="AP697"/>
      <c r="AQ697"/>
      <c r="AR697"/>
    </row>
    <row r="698" spans="36:44" x14ac:dyDescent="0.25">
      <c r="AJ698"/>
      <c r="AK698"/>
      <c r="AL698"/>
      <c r="AM698"/>
      <c r="AN698"/>
      <c r="AO698"/>
      <c r="AP698"/>
      <c r="AQ698"/>
      <c r="AR698"/>
    </row>
    <row r="699" spans="36:44" x14ac:dyDescent="0.25">
      <c r="AJ699"/>
      <c r="AK699"/>
      <c r="AL699"/>
      <c r="AM699"/>
      <c r="AN699"/>
      <c r="AO699"/>
      <c r="AP699"/>
      <c r="AQ699"/>
      <c r="AR699"/>
    </row>
    <row r="700" spans="36:44" x14ac:dyDescent="0.25">
      <c r="AJ700"/>
      <c r="AK700"/>
      <c r="AL700"/>
      <c r="AM700"/>
      <c r="AN700"/>
      <c r="AO700"/>
      <c r="AP700"/>
      <c r="AQ700"/>
      <c r="AR700"/>
    </row>
    <row r="701" spans="36:44" x14ac:dyDescent="0.25">
      <c r="AJ701"/>
      <c r="AK701"/>
      <c r="AL701"/>
      <c r="AM701"/>
      <c r="AN701"/>
      <c r="AO701"/>
      <c r="AP701"/>
      <c r="AQ701"/>
      <c r="AR701"/>
    </row>
    <row r="702" spans="36:44" x14ac:dyDescent="0.25">
      <c r="AJ702"/>
      <c r="AK702"/>
      <c r="AL702"/>
      <c r="AM702"/>
      <c r="AN702"/>
      <c r="AO702"/>
      <c r="AP702"/>
      <c r="AQ702"/>
      <c r="AR702"/>
    </row>
    <row r="703" spans="36:44" x14ac:dyDescent="0.25">
      <c r="AJ703"/>
      <c r="AK703"/>
      <c r="AL703"/>
      <c r="AM703"/>
      <c r="AN703"/>
      <c r="AO703"/>
      <c r="AP703"/>
      <c r="AQ703"/>
      <c r="AR703"/>
    </row>
    <row r="704" spans="36:44" x14ac:dyDescent="0.25">
      <c r="AJ704"/>
      <c r="AK704"/>
      <c r="AL704"/>
      <c r="AM704"/>
      <c r="AN704"/>
      <c r="AO704"/>
      <c r="AP704"/>
      <c r="AQ704"/>
      <c r="AR704"/>
    </row>
    <row r="705" spans="36:44" x14ac:dyDescent="0.25">
      <c r="AJ705"/>
      <c r="AK705"/>
      <c r="AL705"/>
      <c r="AM705"/>
      <c r="AN705"/>
      <c r="AO705"/>
      <c r="AP705"/>
      <c r="AQ705"/>
      <c r="AR705"/>
    </row>
    <row r="706" spans="36:44" x14ac:dyDescent="0.25">
      <c r="AJ706"/>
      <c r="AK706"/>
      <c r="AL706"/>
      <c r="AM706"/>
      <c r="AN706"/>
      <c r="AO706"/>
      <c r="AP706"/>
      <c r="AQ706"/>
      <c r="AR706"/>
    </row>
    <row r="707" spans="36:44" x14ac:dyDescent="0.25">
      <c r="AJ707"/>
      <c r="AK707"/>
      <c r="AL707"/>
      <c r="AM707"/>
      <c r="AN707"/>
      <c r="AO707"/>
      <c r="AP707"/>
      <c r="AQ707"/>
      <c r="AR707"/>
    </row>
    <row r="708" spans="36:44" x14ac:dyDescent="0.25">
      <c r="AJ708"/>
      <c r="AK708"/>
      <c r="AL708"/>
      <c r="AM708"/>
      <c r="AN708"/>
      <c r="AO708"/>
      <c r="AP708"/>
      <c r="AQ708"/>
      <c r="AR708"/>
    </row>
    <row r="709" spans="36:44" x14ac:dyDescent="0.25">
      <c r="AJ709"/>
      <c r="AK709"/>
      <c r="AL709"/>
      <c r="AM709"/>
      <c r="AN709"/>
      <c r="AO709"/>
      <c r="AP709"/>
      <c r="AQ709"/>
      <c r="AR709"/>
    </row>
    <row r="710" spans="36:44" x14ac:dyDescent="0.25">
      <c r="AJ710"/>
      <c r="AK710"/>
      <c r="AL710"/>
      <c r="AM710"/>
      <c r="AN710"/>
      <c r="AO710"/>
      <c r="AP710"/>
      <c r="AQ710"/>
      <c r="AR710"/>
    </row>
    <row r="711" spans="36:44" x14ac:dyDescent="0.25">
      <c r="AJ711"/>
      <c r="AK711"/>
      <c r="AL711"/>
      <c r="AM711"/>
      <c r="AN711"/>
      <c r="AO711"/>
      <c r="AP711"/>
      <c r="AQ711"/>
      <c r="AR711"/>
    </row>
    <row r="712" spans="36:44" x14ac:dyDescent="0.25">
      <c r="AJ712"/>
      <c r="AK712"/>
      <c r="AL712"/>
      <c r="AM712"/>
      <c r="AN712"/>
      <c r="AO712"/>
      <c r="AP712"/>
      <c r="AQ712"/>
      <c r="AR712"/>
    </row>
    <row r="713" spans="36:44" x14ac:dyDescent="0.25">
      <c r="AJ713"/>
      <c r="AK713"/>
      <c r="AL713"/>
      <c r="AM713"/>
      <c r="AN713"/>
      <c r="AO713"/>
      <c r="AP713"/>
      <c r="AQ713"/>
      <c r="AR713"/>
    </row>
    <row r="714" spans="36:44" x14ac:dyDescent="0.25">
      <c r="AJ714"/>
      <c r="AK714"/>
      <c r="AL714"/>
      <c r="AM714"/>
      <c r="AN714"/>
      <c r="AO714"/>
      <c r="AP714"/>
      <c r="AQ714"/>
      <c r="AR714"/>
    </row>
    <row r="715" spans="36:44" x14ac:dyDescent="0.25">
      <c r="AJ715"/>
      <c r="AK715"/>
      <c r="AL715"/>
      <c r="AM715"/>
      <c r="AN715"/>
      <c r="AO715"/>
      <c r="AP715"/>
      <c r="AQ715"/>
      <c r="AR715"/>
    </row>
    <row r="716" spans="36:44" x14ac:dyDescent="0.25">
      <c r="AJ716"/>
      <c r="AK716"/>
      <c r="AL716"/>
      <c r="AM716"/>
      <c r="AN716"/>
      <c r="AO716"/>
      <c r="AP716"/>
      <c r="AQ716"/>
      <c r="AR716"/>
    </row>
    <row r="717" spans="36:44" x14ac:dyDescent="0.25">
      <c r="AJ717"/>
      <c r="AK717"/>
      <c r="AL717"/>
      <c r="AM717"/>
      <c r="AN717"/>
      <c r="AO717"/>
      <c r="AP717"/>
      <c r="AQ717"/>
      <c r="AR717"/>
    </row>
    <row r="718" spans="36:44" x14ac:dyDescent="0.25">
      <c r="AJ718"/>
      <c r="AK718"/>
      <c r="AL718"/>
      <c r="AM718"/>
      <c r="AN718"/>
      <c r="AO718"/>
      <c r="AP718"/>
      <c r="AQ718"/>
      <c r="AR718"/>
    </row>
    <row r="719" spans="36:44" x14ac:dyDescent="0.25">
      <c r="AJ719"/>
      <c r="AK719"/>
      <c r="AL719"/>
      <c r="AM719"/>
      <c r="AN719"/>
      <c r="AO719"/>
      <c r="AP719"/>
      <c r="AQ719"/>
      <c r="AR719"/>
    </row>
    <row r="720" spans="36:44" x14ac:dyDescent="0.25">
      <c r="AJ720"/>
      <c r="AK720"/>
      <c r="AL720"/>
      <c r="AM720"/>
      <c r="AN720"/>
      <c r="AO720"/>
      <c r="AP720"/>
      <c r="AQ720"/>
      <c r="AR720"/>
    </row>
    <row r="721" spans="36:44" x14ac:dyDescent="0.25">
      <c r="AJ721"/>
      <c r="AK721"/>
      <c r="AL721"/>
      <c r="AM721"/>
      <c r="AN721"/>
      <c r="AO721"/>
      <c r="AP721"/>
      <c r="AQ721"/>
      <c r="AR721"/>
    </row>
    <row r="722" spans="36:44" x14ac:dyDescent="0.25">
      <c r="AJ722"/>
      <c r="AK722"/>
      <c r="AL722"/>
      <c r="AM722"/>
      <c r="AN722"/>
      <c r="AO722"/>
      <c r="AP722"/>
      <c r="AQ722"/>
      <c r="AR722"/>
    </row>
    <row r="723" spans="36:44" x14ac:dyDescent="0.25">
      <c r="AJ723"/>
      <c r="AK723"/>
      <c r="AL723"/>
      <c r="AM723"/>
      <c r="AN723"/>
      <c r="AO723"/>
      <c r="AP723"/>
      <c r="AQ723"/>
      <c r="AR723"/>
    </row>
    <row r="724" spans="36:44" x14ac:dyDescent="0.25">
      <c r="AJ724"/>
      <c r="AK724"/>
      <c r="AL724"/>
      <c r="AM724"/>
      <c r="AN724"/>
      <c r="AO724"/>
      <c r="AP724"/>
      <c r="AQ724"/>
      <c r="AR724"/>
    </row>
    <row r="725" spans="36:44" x14ac:dyDescent="0.25">
      <c r="AJ725"/>
      <c r="AK725"/>
      <c r="AL725"/>
      <c r="AM725"/>
      <c r="AN725"/>
      <c r="AO725"/>
      <c r="AP725"/>
      <c r="AQ725"/>
      <c r="AR725"/>
    </row>
    <row r="726" spans="36:44" x14ac:dyDescent="0.25">
      <c r="AJ726"/>
      <c r="AK726"/>
      <c r="AL726"/>
      <c r="AM726"/>
      <c r="AN726"/>
      <c r="AO726"/>
      <c r="AP726"/>
      <c r="AQ726"/>
      <c r="AR726"/>
    </row>
    <row r="727" spans="36:44" x14ac:dyDescent="0.25">
      <c r="AJ727"/>
      <c r="AK727"/>
      <c r="AL727"/>
      <c r="AM727"/>
      <c r="AN727"/>
      <c r="AO727"/>
      <c r="AP727"/>
      <c r="AQ727"/>
      <c r="AR727"/>
    </row>
    <row r="728" spans="36:44" x14ac:dyDescent="0.25">
      <c r="AJ728"/>
      <c r="AK728"/>
      <c r="AL728"/>
      <c r="AM728"/>
      <c r="AN728"/>
      <c r="AO728"/>
      <c r="AP728"/>
      <c r="AQ728"/>
      <c r="AR728"/>
    </row>
    <row r="729" spans="36:44" x14ac:dyDescent="0.25">
      <c r="AJ729"/>
      <c r="AK729"/>
      <c r="AL729"/>
      <c r="AM729"/>
      <c r="AN729"/>
      <c r="AO729"/>
      <c r="AP729"/>
      <c r="AQ729"/>
      <c r="AR729"/>
    </row>
    <row r="730" spans="36:44" x14ac:dyDescent="0.25">
      <c r="AJ730"/>
      <c r="AK730"/>
      <c r="AL730"/>
      <c r="AM730"/>
      <c r="AN730"/>
      <c r="AO730"/>
      <c r="AP730"/>
      <c r="AQ730"/>
      <c r="AR730"/>
    </row>
    <row r="731" spans="36:44" x14ac:dyDescent="0.25">
      <c r="AJ731"/>
      <c r="AK731"/>
      <c r="AL731"/>
      <c r="AM731"/>
      <c r="AN731"/>
      <c r="AO731"/>
      <c r="AP731"/>
      <c r="AQ731"/>
      <c r="AR731"/>
    </row>
    <row r="732" spans="36:44" x14ac:dyDescent="0.25">
      <c r="AJ732"/>
      <c r="AK732"/>
      <c r="AL732"/>
      <c r="AM732"/>
      <c r="AN732"/>
      <c r="AO732"/>
      <c r="AP732"/>
      <c r="AQ732"/>
      <c r="AR732"/>
    </row>
    <row r="733" spans="36:44" x14ac:dyDescent="0.25">
      <c r="AJ733"/>
      <c r="AK733"/>
      <c r="AL733"/>
      <c r="AM733"/>
      <c r="AN733"/>
      <c r="AO733"/>
      <c r="AP733"/>
      <c r="AQ733"/>
      <c r="AR733"/>
    </row>
    <row r="734" spans="36:44" x14ac:dyDescent="0.25">
      <c r="AJ734"/>
      <c r="AK734"/>
      <c r="AL734"/>
      <c r="AM734"/>
      <c r="AN734"/>
      <c r="AO734"/>
      <c r="AP734"/>
      <c r="AQ734"/>
      <c r="AR734"/>
    </row>
    <row r="735" spans="36:44" x14ac:dyDescent="0.25">
      <c r="AJ735"/>
      <c r="AK735"/>
      <c r="AL735"/>
      <c r="AM735"/>
      <c r="AN735"/>
      <c r="AO735"/>
      <c r="AP735"/>
      <c r="AQ735"/>
      <c r="AR735"/>
    </row>
    <row r="736" spans="36:44" x14ac:dyDescent="0.25">
      <c r="AJ736"/>
      <c r="AK736"/>
      <c r="AL736"/>
      <c r="AM736"/>
      <c r="AN736"/>
      <c r="AO736"/>
      <c r="AP736"/>
      <c r="AQ736"/>
      <c r="AR736"/>
    </row>
    <row r="737" spans="36:44" x14ac:dyDescent="0.25">
      <c r="AJ737"/>
      <c r="AK737"/>
      <c r="AL737"/>
      <c r="AM737"/>
      <c r="AN737"/>
      <c r="AO737"/>
      <c r="AP737"/>
      <c r="AQ737"/>
      <c r="AR737"/>
    </row>
    <row r="738" spans="36:44" x14ac:dyDescent="0.25">
      <c r="AJ738"/>
      <c r="AK738"/>
      <c r="AL738"/>
      <c r="AM738"/>
      <c r="AN738"/>
      <c r="AO738"/>
      <c r="AP738"/>
      <c r="AQ738"/>
      <c r="AR738"/>
    </row>
    <row r="739" spans="36:44" x14ac:dyDescent="0.25">
      <c r="AJ739"/>
      <c r="AK739"/>
      <c r="AL739"/>
      <c r="AM739"/>
      <c r="AN739"/>
      <c r="AO739"/>
      <c r="AP739"/>
      <c r="AQ739"/>
      <c r="AR739"/>
    </row>
    <row r="740" spans="36:44" x14ac:dyDescent="0.25">
      <c r="AJ740"/>
      <c r="AK740"/>
      <c r="AL740"/>
      <c r="AM740"/>
      <c r="AN740"/>
      <c r="AO740"/>
      <c r="AP740"/>
      <c r="AQ740"/>
      <c r="AR740"/>
    </row>
    <row r="741" spans="36:44" x14ac:dyDescent="0.25">
      <c r="AJ741"/>
      <c r="AK741"/>
      <c r="AL741"/>
      <c r="AM741"/>
      <c r="AN741"/>
      <c r="AO741"/>
      <c r="AP741"/>
      <c r="AQ741"/>
      <c r="AR741"/>
    </row>
    <row r="742" spans="36:44" x14ac:dyDescent="0.25">
      <c r="AJ742"/>
      <c r="AK742"/>
      <c r="AL742"/>
      <c r="AM742"/>
      <c r="AN742"/>
      <c r="AO742"/>
      <c r="AP742"/>
      <c r="AQ742"/>
      <c r="AR742"/>
    </row>
    <row r="743" spans="36:44" x14ac:dyDescent="0.25">
      <c r="AJ743"/>
      <c r="AK743"/>
      <c r="AL743"/>
      <c r="AM743"/>
      <c r="AN743"/>
      <c r="AO743"/>
      <c r="AP743"/>
      <c r="AQ743"/>
      <c r="AR743"/>
    </row>
    <row r="744" spans="36:44" x14ac:dyDescent="0.25">
      <c r="AJ744"/>
      <c r="AK744"/>
      <c r="AL744"/>
      <c r="AM744"/>
      <c r="AN744"/>
      <c r="AO744"/>
      <c r="AP744"/>
      <c r="AQ744"/>
      <c r="AR744"/>
    </row>
    <row r="745" spans="36:44" x14ac:dyDescent="0.25">
      <c r="AJ745"/>
      <c r="AK745"/>
      <c r="AL745"/>
      <c r="AM745"/>
      <c r="AN745"/>
      <c r="AO745"/>
      <c r="AP745"/>
      <c r="AQ745"/>
      <c r="AR745"/>
    </row>
    <row r="746" spans="36:44" x14ac:dyDescent="0.25">
      <c r="AJ746"/>
      <c r="AK746"/>
      <c r="AL746"/>
      <c r="AM746"/>
      <c r="AN746"/>
      <c r="AO746"/>
      <c r="AP746"/>
      <c r="AQ746"/>
      <c r="AR746"/>
    </row>
    <row r="747" spans="36:44" x14ac:dyDescent="0.25">
      <c r="AJ747"/>
      <c r="AK747"/>
      <c r="AL747"/>
      <c r="AM747"/>
      <c r="AN747"/>
      <c r="AO747"/>
      <c r="AP747"/>
      <c r="AQ747"/>
      <c r="AR747"/>
    </row>
    <row r="748" spans="36:44" x14ac:dyDescent="0.25">
      <c r="AJ748"/>
      <c r="AK748"/>
      <c r="AL748"/>
      <c r="AM748"/>
      <c r="AN748"/>
      <c r="AO748"/>
      <c r="AP748"/>
      <c r="AQ748"/>
      <c r="AR748"/>
    </row>
    <row r="749" spans="36:44" x14ac:dyDescent="0.25">
      <c r="AJ749"/>
      <c r="AK749"/>
      <c r="AL749"/>
      <c r="AM749"/>
      <c r="AN749"/>
      <c r="AO749"/>
      <c r="AP749"/>
      <c r="AQ749"/>
      <c r="AR749"/>
    </row>
    <row r="750" spans="36:44" x14ac:dyDescent="0.25">
      <c r="AJ750"/>
      <c r="AK750"/>
      <c r="AL750"/>
      <c r="AM750"/>
      <c r="AN750"/>
      <c r="AO750"/>
      <c r="AP750"/>
      <c r="AQ750"/>
      <c r="AR750"/>
    </row>
    <row r="751" spans="36:44" x14ac:dyDescent="0.25">
      <c r="AJ751"/>
      <c r="AK751"/>
      <c r="AL751"/>
      <c r="AM751"/>
      <c r="AN751"/>
      <c r="AO751"/>
      <c r="AP751"/>
      <c r="AQ751"/>
      <c r="AR751"/>
    </row>
    <row r="752" spans="36:44" x14ac:dyDescent="0.25">
      <c r="AJ752"/>
      <c r="AK752"/>
      <c r="AL752"/>
      <c r="AM752"/>
      <c r="AN752"/>
      <c r="AO752"/>
      <c r="AP752"/>
      <c r="AQ752"/>
      <c r="AR752"/>
    </row>
    <row r="753" spans="36:44" x14ac:dyDescent="0.25">
      <c r="AJ753"/>
      <c r="AK753"/>
      <c r="AL753"/>
      <c r="AM753"/>
      <c r="AN753"/>
      <c r="AO753"/>
      <c r="AP753"/>
      <c r="AQ753"/>
      <c r="AR753"/>
    </row>
    <row r="754" spans="36:44" x14ac:dyDescent="0.25">
      <c r="AJ754"/>
      <c r="AK754"/>
      <c r="AL754"/>
      <c r="AM754"/>
      <c r="AN754"/>
      <c r="AO754"/>
      <c r="AP754"/>
      <c r="AQ754"/>
      <c r="AR754"/>
    </row>
    <row r="755" spans="36:44" x14ac:dyDescent="0.25">
      <c r="AJ755"/>
      <c r="AK755"/>
      <c r="AL755"/>
      <c r="AM755"/>
      <c r="AN755"/>
      <c r="AO755"/>
      <c r="AP755"/>
      <c r="AQ755"/>
      <c r="AR755"/>
    </row>
    <row r="756" spans="36:44" x14ac:dyDescent="0.25">
      <c r="AJ756"/>
      <c r="AK756"/>
      <c r="AL756"/>
      <c r="AM756"/>
      <c r="AN756"/>
      <c r="AO756"/>
      <c r="AP756"/>
      <c r="AQ756"/>
      <c r="AR756"/>
    </row>
    <row r="757" spans="36:44" x14ac:dyDescent="0.25">
      <c r="AJ757"/>
      <c r="AK757"/>
      <c r="AL757"/>
      <c r="AM757"/>
      <c r="AN757"/>
      <c r="AO757"/>
      <c r="AP757"/>
      <c r="AQ757"/>
      <c r="AR757"/>
    </row>
    <row r="758" spans="36:44" x14ac:dyDescent="0.25">
      <c r="AJ758"/>
      <c r="AK758"/>
      <c r="AL758"/>
      <c r="AM758"/>
      <c r="AN758"/>
      <c r="AO758"/>
      <c r="AP758"/>
      <c r="AQ758"/>
      <c r="AR758"/>
    </row>
    <row r="759" spans="36:44" x14ac:dyDescent="0.25">
      <c r="AJ759"/>
      <c r="AK759"/>
      <c r="AL759"/>
      <c r="AM759"/>
      <c r="AN759"/>
      <c r="AO759"/>
      <c r="AP759"/>
      <c r="AQ759"/>
      <c r="AR759"/>
    </row>
    <row r="760" spans="36:44" x14ac:dyDescent="0.25">
      <c r="AJ760"/>
      <c r="AK760"/>
      <c r="AL760"/>
      <c r="AM760"/>
      <c r="AN760"/>
      <c r="AO760"/>
      <c r="AP760"/>
      <c r="AQ760"/>
      <c r="AR760"/>
    </row>
    <row r="761" spans="36:44" x14ac:dyDescent="0.25">
      <c r="AJ761"/>
      <c r="AK761"/>
      <c r="AL761"/>
      <c r="AM761"/>
      <c r="AN761"/>
      <c r="AO761"/>
      <c r="AP761"/>
      <c r="AQ761"/>
      <c r="AR761"/>
    </row>
    <row r="762" spans="36:44" x14ac:dyDescent="0.25">
      <c r="AJ762"/>
      <c r="AK762"/>
      <c r="AL762"/>
      <c r="AM762"/>
      <c r="AN762"/>
      <c r="AO762"/>
      <c r="AP762"/>
      <c r="AQ762"/>
      <c r="AR762"/>
    </row>
    <row r="763" spans="36:44" x14ac:dyDescent="0.25">
      <c r="AJ763"/>
      <c r="AK763"/>
      <c r="AL763"/>
      <c r="AM763"/>
      <c r="AN763"/>
      <c r="AO763"/>
      <c r="AP763"/>
      <c r="AQ763"/>
      <c r="AR763"/>
    </row>
    <row r="764" spans="36:44" x14ac:dyDescent="0.25">
      <c r="AJ764"/>
      <c r="AK764"/>
      <c r="AL764"/>
      <c r="AM764"/>
      <c r="AN764"/>
      <c r="AO764"/>
      <c r="AP764"/>
      <c r="AQ764"/>
      <c r="AR764"/>
    </row>
    <row r="765" spans="36:44" x14ac:dyDescent="0.25">
      <c r="AJ765"/>
      <c r="AK765"/>
      <c r="AL765"/>
      <c r="AM765"/>
      <c r="AN765"/>
      <c r="AO765"/>
      <c r="AP765"/>
      <c r="AQ765"/>
      <c r="AR765"/>
    </row>
    <row r="766" spans="36:44" x14ac:dyDescent="0.25">
      <c r="AJ766"/>
      <c r="AK766"/>
      <c r="AL766"/>
      <c r="AM766"/>
      <c r="AN766"/>
      <c r="AO766"/>
      <c r="AP766"/>
      <c r="AQ766"/>
      <c r="AR766"/>
    </row>
    <row r="767" spans="36:44" x14ac:dyDescent="0.25">
      <c r="AJ767"/>
      <c r="AK767"/>
      <c r="AL767"/>
      <c r="AM767"/>
      <c r="AN767"/>
      <c r="AO767"/>
      <c r="AP767"/>
      <c r="AQ767"/>
      <c r="AR767"/>
    </row>
    <row r="768" spans="36:44" x14ac:dyDescent="0.25">
      <c r="AJ768"/>
      <c r="AK768"/>
      <c r="AL768"/>
      <c r="AM768"/>
      <c r="AN768"/>
      <c r="AO768"/>
      <c r="AP768"/>
      <c r="AQ768"/>
      <c r="AR768"/>
    </row>
    <row r="769" spans="36:44" x14ac:dyDescent="0.25">
      <c r="AJ769"/>
      <c r="AK769"/>
      <c r="AL769"/>
      <c r="AM769"/>
      <c r="AN769"/>
      <c r="AO769"/>
      <c r="AP769"/>
      <c r="AQ769"/>
      <c r="AR769"/>
    </row>
    <row r="770" spans="36:44" x14ac:dyDescent="0.25">
      <c r="AJ770"/>
      <c r="AK770"/>
      <c r="AL770"/>
      <c r="AM770"/>
      <c r="AN770"/>
      <c r="AO770"/>
      <c r="AP770"/>
      <c r="AQ770"/>
      <c r="AR770"/>
    </row>
    <row r="771" spans="36:44" x14ac:dyDescent="0.25">
      <c r="AJ771"/>
      <c r="AK771"/>
      <c r="AL771"/>
      <c r="AM771"/>
      <c r="AN771"/>
      <c r="AO771"/>
      <c r="AP771"/>
      <c r="AQ771"/>
      <c r="AR771"/>
    </row>
    <row r="772" spans="36:44" x14ac:dyDescent="0.25">
      <c r="AJ772"/>
      <c r="AK772"/>
      <c r="AL772"/>
      <c r="AM772"/>
      <c r="AN772"/>
      <c r="AO772"/>
      <c r="AP772"/>
      <c r="AQ772"/>
      <c r="AR772"/>
    </row>
    <row r="773" spans="36:44" x14ac:dyDescent="0.25">
      <c r="AJ773"/>
      <c r="AK773"/>
      <c r="AL773"/>
      <c r="AM773"/>
      <c r="AN773"/>
      <c r="AO773"/>
      <c r="AP773"/>
      <c r="AQ773"/>
      <c r="AR773"/>
    </row>
    <row r="774" spans="36:44" x14ac:dyDescent="0.25">
      <c r="AJ774"/>
      <c r="AK774"/>
      <c r="AL774"/>
      <c r="AM774"/>
      <c r="AN774"/>
      <c r="AO774"/>
      <c r="AP774"/>
      <c r="AQ774"/>
      <c r="AR774"/>
    </row>
    <row r="775" spans="36:44" x14ac:dyDescent="0.25">
      <c r="AJ775"/>
      <c r="AK775"/>
      <c r="AL775"/>
      <c r="AM775"/>
      <c r="AN775"/>
      <c r="AO775"/>
      <c r="AP775"/>
      <c r="AQ775"/>
      <c r="AR775"/>
    </row>
    <row r="776" spans="36:44" x14ac:dyDescent="0.25">
      <c r="AJ776"/>
      <c r="AK776"/>
      <c r="AL776"/>
      <c r="AM776"/>
      <c r="AN776"/>
      <c r="AO776"/>
      <c r="AP776"/>
      <c r="AQ776"/>
      <c r="AR776"/>
    </row>
    <row r="777" spans="36:44" x14ac:dyDescent="0.25">
      <c r="AJ777"/>
      <c r="AK777"/>
      <c r="AL777"/>
      <c r="AM777"/>
      <c r="AN777"/>
      <c r="AO777"/>
      <c r="AP777"/>
      <c r="AQ777"/>
      <c r="AR777"/>
    </row>
    <row r="778" spans="36:44" x14ac:dyDescent="0.25">
      <c r="AJ778"/>
      <c r="AK778"/>
      <c r="AL778"/>
      <c r="AM778"/>
      <c r="AN778"/>
      <c r="AO778"/>
      <c r="AP778"/>
      <c r="AQ778"/>
      <c r="AR778"/>
    </row>
    <row r="779" spans="36:44" x14ac:dyDescent="0.25">
      <c r="AJ779"/>
      <c r="AK779"/>
      <c r="AL779"/>
      <c r="AM779"/>
      <c r="AN779"/>
      <c r="AO779"/>
      <c r="AP779"/>
      <c r="AQ779"/>
      <c r="AR779"/>
    </row>
    <row r="780" spans="36:44" x14ac:dyDescent="0.25">
      <c r="AJ780"/>
      <c r="AK780"/>
      <c r="AL780"/>
      <c r="AM780"/>
      <c r="AN780"/>
      <c r="AO780"/>
      <c r="AP780"/>
      <c r="AQ780"/>
      <c r="AR780"/>
    </row>
    <row r="781" spans="36:44" x14ac:dyDescent="0.25">
      <c r="AJ781"/>
      <c r="AK781"/>
      <c r="AL781"/>
      <c r="AM781"/>
      <c r="AN781"/>
      <c r="AO781"/>
      <c r="AP781"/>
      <c r="AQ781"/>
      <c r="AR781"/>
    </row>
    <row r="782" spans="36:44" x14ac:dyDescent="0.25">
      <c r="AJ782"/>
      <c r="AK782"/>
      <c r="AL782"/>
      <c r="AM782"/>
      <c r="AN782"/>
      <c r="AO782"/>
      <c r="AP782"/>
      <c r="AQ782"/>
      <c r="AR782"/>
    </row>
    <row r="783" spans="36:44" x14ac:dyDescent="0.25">
      <c r="AJ783"/>
      <c r="AK783"/>
      <c r="AL783"/>
      <c r="AM783"/>
      <c r="AN783"/>
      <c r="AO783"/>
      <c r="AP783"/>
      <c r="AQ783"/>
      <c r="AR783"/>
    </row>
    <row r="784" spans="36:44" x14ac:dyDescent="0.25">
      <c r="AJ784"/>
      <c r="AK784"/>
      <c r="AL784"/>
      <c r="AM784"/>
      <c r="AN784"/>
      <c r="AO784"/>
      <c r="AP784"/>
      <c r="AQ784"/>
      <c r="AR784"/>
    </row>
    <row r="785" spans="36:44" x14ac:dyDescent="0.25">
      <c r="AJ785"/>
      <c r="AK785"/>
      <c r="AL785"/>
      <c r="AM785"/>
      <c r="AN785"/>
      <c r="AO785"/>
      <c r="AP785"/>
      <c r="AQ785"/>
      <c r="AR785"/>
    </row>
    <row r="786" spans="36:44" x14ac:dyDescent="0.25">
      <c r="AJ786"/>
      <c r="AK786"/>
      <c r="AL786"/>
      <c r="AM786"/>
      <c r="AN786"/>
      <c r="AO786"/>
      <c r="AP786"/>
      <c r="AQ786"/>
      <c r="AR786"/>
    </row>
    <row r="787" spans="36:44" x14ac:dyDescent="0.25">
      <c r="AJ787"/>
      <c r="AK787"/>
      <c r="AL787"/>
      <c r="AM787"/>
      <c r="AN787"/>
      <c r="AO787"/>
      <c r="AP787"/>
      <c r="AQ787"/>
      <c r="AR787"/>
    </row>
    <row r="788" spans="36:44" x14ac:dyDescent="0.25">
      <c r="AJ788"/>
      <c r="AK788"/>
      <c r="AL788"/>
      <c r="AM788"/>
      <c r="AN788"/>
      <c r="AO788"/>
      <c r="AP788"/>
      <c r="AQ788"/>
      <c r="AR788"/>
    </row>
    <row r="789" spans="36:44" x14ac:dyDescent="0.25">
      <c r="AJ789"/>
      <c r="AK789"/>
      <c r="AL789"/>
      <c r="AM789"/>
      <c r="AN789"/>
      <c r="AO789"/>
      <c r="AP789"/>
      <c r="AQ789"/>
      <c r="AR789"/>
    </row>
    <row r="790" spans="36:44" x14ac:dyDescent="0.25">
      <c r="AJ790"/>
      <c r="AK790"/>
      <c r="AL790"/>
      <c r="AM790"/>
      <c r="AN790"/>
      <c r="AO790"/>
      <c r="AP790"/>
      <c r="AQ790"/>
      <c r="AR790"/>
    </row>
    <row r="791" spans="36:44" x14ac:dyDescent="0.25">
      <c r="AJ791"/>
      <c r="AK791"/>
      <c r="AL791"/>
      <c r="AM791"/>
      <c r="AN791"/>
      <c r="AO791"/>
      <c r="AP791"/>
      <c r="AQ791"/>
      <c r="AR791"/>
    </row>
    <row r="792" spans="36:44" x14ac:dyDescent="0.25">
      <c r="AJ792"/>
      <c r="AK792"/>
      <c r="AL792"/>
      <c r="AM792"/>
      <c r="AN792"/>
      <c r="AO792"/>
      <c r="AP792"/>
      <c r="AQ792"/>
      <c r="AR792"/>
    </row>
    <row r="793" spans="36:44" x14ac:dyDescent="0.25">
      <c r="AJ793"/>
      <c r="AK793"/>
      <c r="AL793"/>
      <c r="AM793"/>
      <c r="AN793"/>
      <c r="AO793"/>
      <c r="AP793"/>
      <c r="AQ793"/>
      <c r="AR793"/>
    </row>
    <row r="794" spans="36:44" x14ac:dyDescent="0.25">
      <c r="AJ794"/>
      <c r="AK794"/>
      <c r="AL794"/>
      <c r="AM794"/>
      <c r="AN794"/>
      <c r="AO794"/>
      <c r="AP794"/>
      <c r="AQ794"/>
      <c r="AR794"/>
    </row>
    <row r="795" spans="36:44" x14ac:dyDescent="0.25">
      <c r="AJ795"/>
      <c r="AK795"/>
      <c r="AL795"/>
      <c r="AM795"/>
      <c r="AN795"/>
      <c r="AO795"/>
      <c r="AP795"/>
      <c r="AQ795"/>
      <c r="AR795"/>
    </row>
    <row r="796" spans="36:44" x14ac:dyDescent="0.25">
      <c r="AJ796"/>
      <c r="AK796"/>
      <c r="AL796"/>
      <c r="AM796"/>
      <c r="AN796"/>
      <c r="AO796"/>
      <c r="AP796"/>
      <c r="AQ796"/>
      <c r="AR796"/>
    </row>
    <row r="797" spans="36:44" x14ac:dyDescent="0.25">
      <c r="AJ797"/>
      <c r="AK797"/>
      <c r="AL797"/>
      <c r="AM797"/>
      <c r="AN797"/>
      <c r="AO797"/>
      <c r="AP797"/>
      <c r="AQ797"/>
      <c r="AR797"/>
    </row>
    <row r="798" spans="36:44" x14ac:dyDescent="0.25">
      <c r="AJ798"/>
      <c r="AK798"/>
      <c r="AL798"/>
      <c r="AM798"/>
      <c r="AN798"/>
      <c r="AO798"/>
      <c r="AP798"/>
      <c r="AQ798"/>
      <c r="AR798"/>
    </row>
    <row r="799" spans="36:44" x14ac:dyDescent="0.25">
      <c r="AJ799"/>
      <c r="AK799"/>
      <c r="AL799"/>
      <c r="AM799"/>
      <c r="AN799"/>
      <c r="AO799"/>
      <c r="AP799"/>
      <c r="AQ799"/>
      <c r="AR799"/>
    </row>
    <row r="800" spans="36:44" x14ac:dyDescent="0.25">
      <c r="AJ800"/>
      <c r="AK800"/>
      <c r="AL800"/>
      <c r="AM800"/>
      <c r="AN800"/>
      <c r="AO800"/>
      <c r="AP800"/>
      <c r="AQ800"/>
      <c r="AR800"/>
    </row>
    <row r="801" spans="36:44" x14ac:dyDescent="0.25">
      <c r="AJ801"/>
      <c r="AK801"/>
      <c r="AL801"/>
      <c r="AM801"/>
      <c r="AN801"/>
      <c r="AO801"/>
      <c r="AP801"/>
      <c r="AQ801"/>
      <c r="AR801"/>
    </row>
    <row r="802" spans="36:44" x14ac:dyDescent="0.25">
      <c r="AJ802"/>
      <c r="AK802"/>
      <c r="AL802"/>
      <c r="AM802"/>
      <c r="AN802"/>
      <c r="AO802"/>
      <c r="AP802"/>
      <c r="AQ802"/>
      <c r="AR802"/>
    </row>
    <row r="803" spans="36:44" x14ac:dyDescent="0.25">
      <c r="AJ803"/>
      <c r="AK803"/>
      <c r="AL803"/>
      <c r="AM803"/>
      <c r="AN803"/>
      <c r="AO803"/>
      <c r="AP803"/>
      <c r="AQ803"/>
      <c r="AR803"/>
    </row>
    <row r="804" spans="36:44" x14ac:dyDescent="0.25">
      <c r="AJ804"/>
      <c r="AK804"/>
      <c r="AL804"/>
      <c r="AM804"/>
      <c r="AN804"/>
      <c r="AO804"/>
      <c r="AP804"/>
      <c r="AQ804"/>
      <c r="AR804"/>
    </row>
    <row r="805" spans="36:44" x14ac:dyDescent="0.25">
      <c r="AJ805"/>
      <c r="AK805"/>
      <c r="AL805"/>
      <c r="AM805"/>
      <c r="AN805"/>
      <c r="AO805"/>
      <c r="AP805"/>
      <c r="AQ805"/>
      <c r="AR805"/>
    </row>
    <row r="806" spans="36:44" x14ac:dyDescent="0.25">
      <c r="AJ806"/>
      <c r="AK806"/>
      <c r="AL806"/>
      <c r="AM806"/>
      <c r="AN806"/>
      <c r="AO806"/>
      <c r="AP806"/>
      <c r="AQ806"/>
      <c r="AR806"/>
    </row>
    <row r="807" spans="36:44" x14ac:dyDescent="0.25">
      <c r="AJ807"/>
      <c r="AK807"/>
      <c r="AL807"/>
      <c r="AM807"/>
      <c r="AN807"/>
      <c r="AO807"/>
      <c r="AP807"/>
      <c r="AQ807"/>
      <c r="AR807"/>
    </row>
    <row r="808" spans="36:44" x14ac:dyDescent="0.25">
      <c r="AJ808"/>
      <c r="AK808"/>
      <c r="AL808"/>
      <c r="AM808"/>
      <c r="AN808"/>
      <c r="AO808"/>
      <c r="AP808"/>
      <c r="AQ808"/>
      <c r="AR808"/>
    </row>
    <row r="809" spans="36:44" x14ac:dyDescent="0.25">
      <c r="AJ809"/>
      <c r="AK809"/>
      <c r="AL809"/>
      <c r="AM809"/>
      <c r="AN809"/>
      <c r="AO809"/>
      <c r="AP809"/>
      <c r="AQ809"/>
      <c r="AR809"/>
    </row>
    <row r="810" spans="36:44" x14ac:dyDescent="0.25">
      <c r="AJ810"/>
      <c r="AK810"/>
      <c r="AL810"/>
      <c r="AM810"/>
      <c r="AN810"/>
      <c r="AO810"/>
      <c r="AP810"/>
      <c r="AQ810"/>
      <c r="AR810"/>
    </row>
    <row r="811" spans="36:44" x14ac:dyDescent="0.25">
      <c r="AJ811"/>
      <c r="AK811"/>
      <c r="AL811"/>
      <c r="AM811"/>
      <c r="AN811"/>
      <c r="AO811"/>
      <c r="AP811"/>
      <c r="AQ811"/>
      <c r="AR811"/>
    </row>
    <row r="812" spans="36:44" x14ac:dyDescent="0.25">
      <c r="AJ812"/>
      <c r="AK812"/>
      <c r="AL812"/>
      <c r="AM812"/>
      <c r="AN812"/>
      <c r="AO812"/>
      <c r="AP812"/>
      <c r="AQ812"/>
      <c r="AR812"/>
    </row>
    <row r="813" spans="36:44" x14ac:dyDescent="0.25">
      <c r="AJ813"/>
      <c r="AK813"/>
      <c r="AL813"/>
      <c r="AM813"/>
      <c r="AN813"/>
      <c r="AO813"/>
      <c r="AP813"/>
      <c r="AQ813"/>
      <c r="AR813"/>
    </row>
    <row r="814" spans="36:44" x14ac:dyDescent="0.25">
      <c r="AJ814"/>
      <c r="AK814"/>
      <c r="AL814"/>
      <c r="AM814"/>
      <c r="AN814"/>
      <c r="AO814"/>
      <c r="AP814"/>
      <c r="AQ814"/>
      <c r="AR814"/>
    </row>
    <row r="815" spans="36:44" x14ac:dyDescent="0.25">
      <c r="AJ815"/>
      <c r="AK815"/>
      <c r="AL815"/>
      <c r="AM815"/>
      <c r="AN815"/>
      <c r="AO815"/>
      <c r="AP815"/>
      <c r="AQ815"/>
      <c r="AR815"/>
    </row>
    <row r="816" spans="36:44" x14ac:dyDescent="0.25">
      <c r="AJ816"/>
      <c r="AK816"/>
      <c r="AL816"/>
      <c r="AM816"/>
      <c r="AN816"/>
      <c r="AO816"/>
      <c r="AP816"/>
      <c r="AQ816"/>
      <c r="AR816"/>
    </row>
    <row r="817" spans="36:44" x14ac:dyDescent="0.25">
      <c r="AJ817"/>
      <c r="AK817"/>
      <c r="AL817"/>
      <c r="AM817"/>
      <c r="AN817"/>
      <c r="AO817"/>
      <c r="AP817"/>
      <c r="AQ817"/>
      <c r="AR817"/>
    </row>
    <row r="818" spans="36:44" x14ac:dyDescent="0.25">
      <c r="AJ818"/>
      <c r="AK818"/>
      <c r="AL818"/>
      <c r="AM818"/>
      <c r="AN818"/>
      <c r="AO818"/>
      <c r="AP818"/>
      <c r="AQ818"/>
      <c r="AR818"/>
    </row>
    <row r="819" spans="36:44" x14ac:dyDescent="0.25">
      <c r="AJ819"/>
      <c r="AK819"/>
      <c r="AL819"/>
      <c r="AM819"/>
      <c r="AN819"/>
      <c r="AO819"/>
      <c r="AP819"/>
      <c r="AQ819"/>
      <c r="AR819"/>
    </row>
    <row r="820" spans="36:44" x14ac:dyDescent="0.25">
      <c r="AJ820"/>
      <c r="AK820"/>
      <c r="AL820"/>
      <c r="AM820"/>
      <c r="AN820"/>
      <c r="AO820"/>
      <c r="AP820"/>
      <c r="AQ820"/>
      <c r="AR820"/>
    </row>
    <row r="821" spans="36:44" x14ac:dyDescent="0.25">
      <c r="AJ821"/>
      <c r="AK821"/>
      <c r="AL821"/>
      <c r="AM821"/>
      <c r="AN821"/>
      <c r="AO821"/>
      <c r="AP821"/>
      <c r="AQ821"/>
      <c r="AR821"/>
    </row>
    <row r="822" spans="36:44" x14ac:dyDescent="0.25">
      <c r="AJ822"/>
      <c r="AK822"/>
      <c r="AL822"/>
      <c r="AM822"/>
      <c r="AN822"/>
      <c r="AO822"/>
      <c r="AP822"/>
      <c r="AQ822"/>
      <c r="AR822"/>
    </row>
    <row r="823" spans="36:44" x14ac:dyDescent="0.25">
      <c r="AJ823"/>
      <c r="AK823"/>
      <c r="AL823"/>
      <c r="AM823"/>
      <c r="AN823"/>
      <c r="AO823"/>
      <c r="AP823"/>
      <c r="AQ823"/>
      <c r="AR823"/>
    </row>
    <row r="824" spans="36:44" x14ac:dyDescent="0.25">
      <c r="AJ824"/>
      <c r="AK824"/>
      <c r="AL824"/>
      <c r="AM824"/>
      <c r="AN824"/>
      <c r="AO824"/>
      <c r="AP824"/>
      <c r="AQ824"/>
      <c r="AR824"/>
    </row>
    <row r="825" spans="36:44" x14ac:dyDescent="0.25">
      <c r="AJ825"/>
      <c r="AK825"/>
      <c r="AL825"/>
      <c r="AM825"/>
      <c r="AN825"/>
      <c r="AO825"/>
      <c r="AP825"/>
      <c r="AQ825"/>
      <c r="AR825"/>
    </row>
    <row r="826" spans="36:44" x14ac:dyDescent="0.25">
      <c r="AJ826"/>
      <c r="AK826"/>
      <c r="AL826"/>
      <c r="AM826"/>
      <c r="AN826"/>
      <c r="AO826"/>
      <c r="AP826"/>
      <c r="AQ826"/>
      <c r="AR826"/>
    </row>
    <row r="827" spans="36:44" x14ac:dyDescent="0.25">
      <c r="AJ827"/>
      <c r="AK827"/>
      <c r="AL827"/>
      <c r="AM827"/>
      <c r="AN827"/>
      <c r="AO827"/>
      <c r="AP827"/>
      <c r="AQ827"/>
      <c r="AR827"/>
    </row>
    <row r="828" spans="36:44" x14ac:dyDescent="0.25">
      <c r="AJ828"/>
      <c r="AK828"/>
      <c r="AL828"/>
      <c r="AM828"/>
      <c r="AN828"/>
      <c r="AO828"/>
      <c r="AP828"/>
      <c r="AQ828"/>
      <c r="AR828"/>
    </row>
    <row r="829" spans="36:44" x14ac:dyDescent="0.25">
      <c r="AJ829"/>
      <c r="AK829"/>
      <c r="AL829"/>
      <c r="AM829"/>
      <c r="AN829"/>
      <c r="AO829"/>
      <c r="AP829"/>
      <c r="AQ829"/>
      <c r="AR829"/>
    </row>
    <row r="830" spans="36:44" x14ac:dyDescent="0.25">
      <c r="AJ830"/>
      <c r="AK830"/>
      <c r="AL830"/>
      <c r="AM830"/>
      <c r="AN830"/>
      <c r="AO830"/>
      <c r="AP830"/>
      <c r="AQ830"/>
      <c r="AR830"/>
    </row>
    <row r="831" spans="36:44" x14ac:dyDescent="0.25">
      <c r="AJ831"/>
      <c r="AK831"/>
      <c r="AL831"/>
      <c r="AM831"/>
      <c r="AN831"/>
      <c r="AO831"/>
      <c r="AP831"/>
      <c r="AQ831"/>
      <c r="AR831"/>
    </row>
    <row r="832" spans="36:44" x14ac:dyDescent="0.25">
      <c r="AJ832"/>
      <c r="AK832"/>
      <c r="AL832"/>
      <c r="AM832"/>
      <c r="AN832"/>
      <c r="AO832"/>
      <c r="AP832"/>
      <c r="AQ832"/>
      <c r="AR832"/>
    </row>
    <row r="833" spans="36:44" x14ac:dyDescent="0.25">
      <c r="AJ833"/>
      <c r="AK833"/>
      <c r="AL833"/>
      <c r="AM833"/>
      <c r="AN833"/>
      <c r="AO833"/>
      <c r="AP833"/>
      <c r="AQ833"/>
      <c r="AR833"/>
    </row>
    <row r="834" spans="36:44" x14ac:dyDescent="0.25">
      <c r="AJ834"/>
      <c r="AK834"/>
      <c r="AL834"/>
      <c r="AM834"/>
      <c r="AN834"/>
      <c r="AO834"/>
      <c r="AP834"/>
      <c r="AQ834"/>
      <c r="AR834"/>
    </row>
    <row r="835" spans="36:44" x14ac:dyDescent="0.25">
      <c r="AJ835"/>
      <c r="AK835"/>
      <c r="AL835"/>
      <c r="AM835"/>
      <c r="AN835"/>
      <c r="AO835"/>
      <c r="AP835"/>
      <c r="AQ835"/>
      <c r="AR835"/>
    </row>
    <row r="836" spans="36:44" x14ac:dyDescent="0.25">
      <c r="AJ836"/>
      <c r="AK836"/>
      <c r="AL836"/>
      <c r="AM836"/>
      <c r="AN836"/>
      <c r="AO836"/>
      <c r="AP836"/>
      <c r="AQ836"/>
      <c r="AR836"/>
    </row>
    <row r="837" spans="36:44" x14ac:dyDescent="0.25">
      <c r="AJ837"/>
      <c r="AK837"/>
      <c r="AL837"/>
      <c r="AM837"/>
      <c r="AN837"/>
      <c r="AO837"/>
      <c r="AP837"/>
      <c r="AQ837"/>
      <c r="AR837"/>
    </row>
    <row r="838" spans="36:44" x14ac:dyDescent="0.25">
      <c r="AJ838"/>
      <c r="AK838"/>
      <c r="AL838"/>
      <c r="AM838"/>
      <c r="AN838"/>
      <c r="AO838"/>
      <c r="AP838"/>
      <c r="AQ838"/>
      <c r="AR838"/>
    </row>
    <row r="839" spans="36:44" x14ac:dyDescent="0.25">
      <c r="AJ839"/>
      <c r="AK839"/>
      <c r="AL839"/>
      <c r="AM839"/>
      <c r="AN839"/>
      <c r="AO839"/>
      <c r="AP839"/>
      <c r="AQ839"/>
      <c r="AR839"/>
    </row>
    <row r="840" spans="36:44" x14ac:dyDescent="0.25">
      <c r="AJ840"/>
      <c r="AK840"/>
      <c r="AL840"/>
      <c r="AM840"/>
      <c r="AN840"/>
      <c r="AO840"/>
      <c r="AP840"/>
      <c r="AQ840"/>
      <c r="AR840"/>
    </row>
    <row r="841" spans="36:44" x14ac:dyDescent="0.25">
      <c r="AJ841"/>
      <c r="AK841"/>
      <c r="AL841"/>
      <c r="AM841"/>
      <c r="AN841"/>
      <c r="AO841"/>
      <c r="AP841"/>
      <c r="AQ841"/>
      <c r="AR841"/>
    </row>
    <row r="842" spans="36:44" x14ac:dyDescent="0.25">
      <c r="AJ842"/>
      <c r="AK842"/>
      <c r="AL842"/>
      <c r="AM842"/>
      <c r="AN842"/>
      <c r="AO842"/>
      <c r="AP842"/>
      <c r="AQ842"/>
      <c r="AR842"/>
    </row>
    <row r="843" spans="36:44" x14ac:dyDescent="0.25">
      <c r="AJ843"/>
      <c r="AK843"/>
      <c r="AL843"/>
      <c r="AM843"/>
      <c r="AN843"/>
      <c r="AO843"/>
      <c r="AP843"/>
      <c r="AQ843"/>
      <c r="AR843"/>
    </row>
    <row r="844" spans="36:44" x14ac:dyDescent="0.25">
      <c r="AJ844"/>
      <c r="AK844"/>
      <c r="AL844"/>
      <c r="AM844"/>
      <c r="AN844"/>
      <c r="AO844"/>
      <c r="AP844"/>
      <c r="AQ844"/>
      <c r="AR844"/>
    </row>
    <row r="845" spans="36:44" x14ac:dyDescent="0.25">
      <c r="AJ845"/>
      <c r="AK845"/>
      <c r="AL845"/>
      <c r="AM845"/>
      <c r="AN845"/>
      <c r="AO845"/>
      <c r="AP845"/>
      <c r="AQ845"/>
      <c r="AR845"/>
    </row>
    <row r="846" spans="36:44" x14ac:dyDescent="0.25">
      <c r="AJ846"/>
      <c r="AK846"/>
      <c r="AL846"/>
      <c r="AM846"/>
      <c r="AN846"/>
      <c r="AO846"/>
      <c r="AP846"/>
      <c r="AQ846"/>
      <c r="AR846"/>
    </row>
    <row r="847" spans="36:44" x14ac:dyDescent="0.25">
      <c r="AJ847"/>
      <c r="AK847"/>
      <c r="AL847"/>
      <c r="AM847"/>
      <c r="AN847"/>
      <c r="AO847"/>
      <c r="AP847"/>
      <c r="AQ847"/>
      <c r="AR847"/>
    </row>
    <row r="848" spans="36:44" x14ac:dyDescent="0.25">
      <c r="AJ848"/>
      <c r="AK848"/>
      <c r="AL848"/>
      <c r="AM848"/>
      <c r="AN848"/>
      <c r="AO848"/>
      <c r="AP848"/>
      <c r="AQ848"/>
      <c r="AR848"/>
    </row>
    <row r="849" spans="36:44" x14ac:dyDescent="0.25">
      <c r="AJ849"/>
      <c r="AK849"/>
      <c r="AL849"/>
      <c r="AM849"/>
      <c r="AN849"/>
      <c r="AO849"/>
      <c r="AP849"/>
      <c r="AQ849"/>
      <c r="AR849"/>
    </row>
    <row r="850" spans="36:44" x14ac:dyDescent="0.25">
      <c r="AJ850"/>
      <c r="AK850"/>
      <c r="AL850"/>
      <c r="AM850"/>
      <c r="AN850"/>
      <c r="AO850"/>
      <c r="AP850"/>
      <c r="AQ850"/>
      <c r="AR850"/>
    </row>
    <row r="851" spans="36:44" x14ac:dyDescent="0.25">
      <c r="AJ851"/>
      <c r="AK851"/>
      <c r="AL851"/>
      <c r="AM851"/>
      <c r="AN851"/>
      <c r="AO851"/>
      <c r="AP851"/>
      <c r="AQ851"/>
      <c r="AR851"/>
    </row>
    <row r="852" spans="36:44" x14ac:dyDescent="0.25">
      <c r="AJ852"/>
      <c r="AK852"/>
      <c r="AL852"/>
      <c r="AM852"/>
      <c r="AN852"/>
      <c r="AO852"/>
      <c r="AP852"/>
      <c r="AQ852"/>
      <c r="AR852"/>
    </row>
    <row r="853" spans="36:44" x14ac:dyDescent="0.25">
      <c r="AJ853"/>
      <c r="AK853"/>
      <c r="AL853"/>
      <c r="AM853"/>
      <c r="AN853"/>
      <c r="AO853"/>
      <c r="AP853"/>
      <c r="AQ853"/>
      <c r="AR853"/>
    </row>
    <row r="854" spans="36:44" x14ac:dyDescent="0.25">
      <c r="AJ854"/>
      <c r="AK854"/>
      <c r="AL854"/>
      <c r="AM854"/>
      <c r="AN854"/>
      <c r="AO854"/>
      <c r="AP854"/>
      <c r="AQ854"/>
      <c r="AR854"/>
    </row>
    <row r="855" spans="36:44" x14ac:dyDescent="0.25">
      <c r="AJ855"/>
      <c r="AK855"/>
      <c r="AL855"/>
      <c r="AM855"/>
      <c r="AN855"/>
      <c r="AO855"/>
      <c r="AP855"/>
      <c r="AQ855"/>
      <c r="AR855"/>
    </row>
    <row r="856" spans="36:44" x14ac:dyDescent="0.25">
      <c r="AJ856"/>
      <c r="AK856"/>
      <c r="AL856"/>
      <c r="AM856"/>
      <c r="AN856"/>
      <c r="AO856"/>
      <c r="AP856"/>
      <c r="AQ856"/>
      <c r="AR856"/>
    </row>
    <row r="857" spans="36:44" x14ac:dyDescent="0.25">
      <c r="AJ857"/>
      <c r="AK857"/>
      <c r="AL857"/>
      <c r="AM857"/>
      <c r="AN857"/>
      <c r="AO857"/>
      <c r="AP857"/>
      <c r="AQ857"/>
      <c r="AR857"/>
    </row>
    <row r="858" spans="36:44" x14ac:dyDescent="0.25">
      <c r="AJ858"/>
      <c r="AK858"/>
      <c r="AL858"/>
      <c r="AM858"/>
      <c r="AN858"/>
      <c r="AO858"/>
      <c r="AP858"/>
      <c r="AQ858"/>
      <c r="AR858"/>
    </row>
    <row r="859" spans="36:44" x14ac:dyDescent="0.25">
      <c r="AJ859"/>
      <c r="AK859"/>
      <c r="AL859"/>
      <c r="AM859"/>
      <c r="AN859"/>
      <c r="AO859"/>
      <c r="AP859"/>
      <c r="AQ859"/>
      <c r="AR859"/>
    </row>
    <row r="860" spans="36:44" x14ac:dyDescent="0.25">
      <c r="AJ860"/>
      <c r="AK860"/>
      <c r="AL860"/>
      <c r="AM860"/>
      <c r="AN860"/>
      <c r="AO860"/>
      <c r="AP860"/>
      <c r="AQ860"/>
      <c r="AR860"/>
    </row>
    <row r="861" spans="36:44" x14ac:dyDescent="0.25">
      <c r="AJ861"/>
      <c r="AK861"/>
      <c r="AL861"/>
      <c r="AM861"/>
      <c r="AN861"/>
      <c r="AO861"/>
      <c r="AP861"/>
      <c r="AQ861"/>
      <c r="AR861"/>
    </row>
    <row r="862" spans="36:44" x14ac:dyDescent="0.25">
      <c r="AJ862"/>
      <c r="AK862"/>
      <c r="AL862"/>
      <c r="AM862"/>
      <c r="AN862"/>
      <c r="AO862"/>
      <c r="AP862"/>
      <c r="AQ862"/>
      <c r="AR862"/>
    </row>
    <row r="863" spans="36:44" x14ac:dyDescent="0.25">
      <c r="AJ863"/>
      <c r="AK863"/>
      <c r="AL863"/>
      <c r="AM863"/>
      <c r="AN863"/>
      <c r="AO863"/>
      <c r="AP863"/>
      <c r="AQ863"/>
      <c r="AR863"/>
    </row>
    <row r="864" spans="36:44" x14ac:dyDescent="0.25">
      <c r="AJ864"/>
      <c r="AK864"/>
      <c r="AL864"/>
      <c r="AM864"/>
      <c r="AN864"/>
      <c r="AO864"/>
      <c r="AP864"/>
      <c r="AQ864"/>
      <c r="AR864"/>
    </row>
    <row r="865" spans="36:44" x14ac:dyDescent="0.25">
      <c r="AJ865"/>
      <c r="AK865"/>
      <c r="AL865"/>
      <c r="AM865"/>
      <c r="AN865"/>
      <c r="AO865"/>
      <c r="AP865"/>
      <c r="AQ865"/>
      <c r="AR865"/>
    </row>
    <row r="866" spans="36:44" x14ac:dyDescent="0.25">
      <c r="AJ866"/>
      <c r="AK866"/>
      <c r="AL866"/>
      <c r="AM866"/>
      <c r="AN866"/>
      <c r="AO866"/>
      <c r="AP866"/>
      <c r="AQ866"/>
      <c r="AR866"/>
    </row>
    <row r="867" spans="36:44" x14ac:dyDescent="0.25">
      <c r="AJ867"/>
      <c r="AK867"/>
      <c r="AL867"/>
      <c r="AM867"/>
      <c r="AN867"/>
      <c r="AO867"/>
      <c r="AP867"/>
      <c r="AQ867"/>
      <c r="AR867"/>
    </row>
    <row r="868" spans="36:44" x14ac:dyDescent="0.25">
      <c r="AJ868"/>
      <c r="AK868"/>
      <c r="AL868"/>
      <c r="AM868"/>
      <c r="AN868"/>
      <c r="AO868"/>
      <c r="AP868"/>
      <c r="AQ868"/>
      <c r="AR868"/>
    </row>
    <row r="869" spans="36:44" x14ac:dyDescent="0.25">
      <c r="AJ869"/>
      <c r="AK869"/>
      <c r="AL869"/>
      <c r="AM869"/>
      <c r="AN869"/>
      <c r="AO869"/>
      <c r="AP869"/>
      <c r="AQ869"/>
      <c r="AR869"/>
    </row>
    <row r="870" spans="36:44" x14ac:dyDescent="0.25">
      <c r="AJ870"/>
      <c r="AK870"/>
      <c r="AL870"/>
      <c r="AM870"/>
      <c r="AN870"/>
      <c r="AO870"/>
      <c r="AP870"/>
      <c r="AQ870"/>
      <c r="AR870"/>
    </row>
    <row r="871" spans="36:44" x14ac:dyDescent="0.25">
      <c r="AJ871"/>
      <c r="AK871"/>
      <c r="AL871"/>
      <c r="AM871"/>
      <c r="AN871"/>
      <c r="AO871"/>
      <c r="AP871"/>
      <c r="AQ871"/>
      <c r="AR871"/>
    </row>
    <row r="872" spans="36:44" x14ac:dyDescent="0.25">
      <c r="AJ872"/>
      <c r="AK872"/>
      <c r="AL872"/>
      <c r="AM872"/>
      <c r="AN872"/>
      <c r="AO872"/>
      <c r="AP872"/>
      <c r="AQ872"/>
      <c r="AR872"/>
    </row>
    <row r="873" spans="36:44" x14ac:dyDescent="0.25">
      <c r="AJ873"/>
      <c r="AK873"/>
      <c r="AL873"/>
      <c r="AM873"/>
      <c r="AN873"/>
      <c r="AO873"/>
      <c r="AP873"/>
      <c r="AQ873"/>
      <c r="AR873"/>
    </row>
    <row r="874" spans="36:44" x14ac:dyDescent="0.25">
      <c r="AJ874"/>
      <c r="AK874"/>
      <c r="AL874"/>
      <c r="AM874"/>
      <c r="AN874"/>
      <c r="AO874"/>
      <c r="AP874"/>
      <c r="AQ874"/>
      <c r="AR874"/>
    </row>
    <row r="875" spans="36:44" x14ac:dyDescent="0.25">
      <c r="AJ875"/>
      <c r="AK875"/>
      <c r="AL875"/>
      <c r="AM875"/>
      <c r="AN875"/>
      <c r="AO875"/>
      <c r="AP875"/>
      <c r="AQ875"/>
      <c r="AR875"/>
    </row>
    <row r="876" spans="36:44" x14ac:dyDescent="0.25">
      <c r="AJ876"/>
      <c r="AK876"/>
      <c r="AL876"/>
      <c r="AM876"/>
      <c r="AN876"/>
      <c r="AO876"/>
      <c r="AP876"/>
      <c r="AQ876"/>
      <c r="AR876"/>
    </row>
    <row r="877" spans="36:44" x14ac:dyDescent="0.25">
      <c r="AJ877"/>
      <c r="AK877"/>
      <c r="AL877"/>
      <c r="AM877"/>
      <c r="AN877"/>
      <c r="AO877"/>
      <c r="AP877"/>
      <c r="AQ877"/>
      <c r="AR877"/>
    </row>
    <row r="878" spans="36:44" x14ac:dyDescent="0.25">
      <c r="AJ878"/>
      <c r="AK878"/>
      <c r="AL878"/>
      <c r="AM878"/>
      <c r="AN878"/>
      <c r="AO878"/>
      <c r="AP878"/>
      <c r="AQ878"/>
      <c r="AR878"/>
    </row>
    <row r="879" spans="36:44" x14ac:dyDescent="0.25">
      <c r="AJ879"/>
      <c r="AK879"/>
      <c r="AL879"/>
      <c r="AM879"/>
      <c r="AN879"/>
      <c r="AO879"/>
      <c r="AP879"/>
      <c r="AQ879"/>
      <c r="AR879"/>
    </row>
    <row r="880" spans="36:44" x14ac:dyDescent="0.25">
      <c r="AJ880"/>
      <c r="AK880"/>
      <c r="AL880"/>
      <c r="AM880"/>
      <c r="AN880"/>
      <c r="AO880"/>
      <c r="AP880"/>
      <c r="AQ880"/>
      <c r="AR880"/>
    </row>
    <row r="881" spans="36:44" x14ac:dyDescent="0.25">
      <c r="AJ881"/>
      <c r="AK881"/>
      <c r="AL881"/>
      <c r="AM881"/>
      <c r="AN881"/>
      <c r="AO881"/>
      <c r="AP881"/>
      <c r="AQ881"/>
      <c r="AR881"/>
    </row>
    <row r="882" spans="36:44" x14ac:dyDescent="0.25">
      <c r="AJ882"/>
      <c r="AK882"/>
      <c r="AL882"/>
      <c r="AM882"/>
      <c r="AN882"/>
      <c r="AO882"/>
      <c r="AP882"/>
      <c r="AQ882"/>
      <c r="AR882"/>
    </row>
    <row r="883" spans="36:44" x14ac:dyDescent="0.25">
      <c r="AJ883"/>
      <c r="AK883"/>
      <c r="AL883"/>
      <c r="AM883"/>
      <c r="AN883"/>
      <c r="AO883"/>
      <c r="AP883"/>
      <c r="AQ883"/>
      <c r="AR883"/>
    </row>
    <row r="884" spans="36:44" x14ac:dyDescent="0.25">
      <c r="AJ884"/>
      <c r="AK884"/>
      <c r="AL884"/>
      <c r="AM884"/>
      <c r="AN884"/>
      <c r="AO884"/>
      <c r="AP884"/>
      <c r="AQ884"/>
      <c r="AR884"/>
    </row>
    <row r="885" spans="36:44" x14ac:dyDescent="0.25">
      <c r="AJ885"/>
      <c r="AK885"/>
      <c r="AL885"/>
      <c r="AM885"/>
      <c r="AN885"/>
      <c r="AO885"/>
      <c r="AP885"/>
      <c r="AQ885"/>
      <c r="AR885"/>
    </row>
    <row r="886" spans="36:44" x14ac:dyDescent="0.25">
      <c r="AJ886"/>
      <c r="AK886"/>
      <c r="AL886"/>
      <c r="AM886"/>
      <c r="AN886"/>
      <c r="AO886"/>
      <c r="AP886"/>
      <c r="AQ886"/>
      <c r="AR886"/>
    </row>
    <row r="887" spans="36:44" x14ac:dyDescent="0.25">
      <c r="AJ887"/>
      <c r="AK887"/>
      <c r="AL887"/>
      <c r="AM887"/>
      <c r="AN887"/>
      <c r="AO887"/>
      <c r="AP887"/>
      <c r="AQ887"/>
      <c r="AR887"/>
    </row>
    <row r="888" spans="36:44" x14ac:dyDescent="0.25">
      <c r="AJ888"/>
      <c r="AK888"/>
      <c r="AL888"/>
      <c r="AM888"/>
      <c r="AN888"/>
      <c r="AO888"/>
      <c r="AP888"/>
      <c r="AQ888"/>
      <c r="AR888"/>
    </row>
    <row r="889" spans="36:44" x14ac:dyDescent="0.25">
      <c r="AJ889"/>
      <c r="AK889"/>
      <c r="AL889"/>
      <c r="AM889"/>
      <c r="AN889"/>
      <c r="AO889"/>
      <c r="AP889"/>
      <c r="AQ889"/>
      <c r="AR889"/>
    </row>
    <row r="890" spans="36:44" x14ac:dyDescent="0.25">
      <c r="AJ890"/>
      <c r="AK890"/>
      <c r="AL890"/>
      <c r="AM890"/>
      <c r="AN890"/>
      <c r="AO890"/>
      <c r="AP890"/>
      <c r="AQ890"/>
      <c r="AR890"/>
    </row>
    <row r="891" spans="36:44" x14ac:dyDescent="0.25">
      <c r="AJ891"/>
      <c r="AK891"/>
      <c r="AL891"/>
      <c r="AM891"/>
      <c r="AN891"/>
      <c r="AO891"/>
      <c r="AP891"/>
      <c r="AQ891"/>
      <c r="AR891"/>
    </row>
    <row r="892" spans="36:44" x14ac:dyDescent="0.25">
      <c r="AJ892"/>
      <c r="AK892"/>
      <c r="AL892"/>
      <c r="AM892"/>
      <c r="AN892"/>
      <c r="AO892"/>
      <c r="AP892"/>
      <c r="AQ892"/>
      <c r="AR892"/>
    </row>
    <row r="893" spans="36:44" x14ac:dyDescent="0.25">
      <c r="AJ893"/>
      <c r="AK893"/>
      <c r="AL893"/>
      <c r="AM893"/>
      <c r="AN893"/>
      <c r="AO893"/>
      <c r="AP893"/>
      <c r="AQ893"/>
      <c r="AR893"/>
    </row>
    <row r="894" spans="36:44" x14ac:dyDescent="0.25">
      <c r="AJ894"/>
      <c r="AK894"/>
      <c r="AL894"/>
      <c r="AM894"/>
      <c r="AN894"/>
      <c r="AO894"/>
      <c r="AP894"/>
      <c r="AQ894"/>
      <c r="AR894"/>
    </row>
    <row r="895" spans="36:44" x14ac:dyDescent="0.25">
      <c r="AJ895"/>
      <c r="AK895"/>
      <c r="AL895"/>
      <c r="AM895"/>
      <c r="AN895"/>
      <c r="AO895"/>
      <c r="AP895"/>
      <c r="AQ895"/>
      <c r="AR895"/>
    </row>
    <row r="896" spans="36:44" x14ac:dyDescent="0.25">
      <c r="AJ896"/>
      <c r="AK896"/>
      <c r="AL896"/>
      <c r="AM896"/>
      <c r="AN896"/>
      <c r="AO896"/>
      <c r="AP896"/>
      <c r="AQ896"/>
      <c r="AR896"/>
    </row>
    <row r="897" spans="36:44" x14ac:dyDescent="0.25">
      <c r="AJ897"/>
      <c r="AK897"/>
      <c r="AL897"/>
      <c r="AM897"/>
      <c r="AN897"/>
      <c r="AO897"/>
      <c r="AP897"/>
      <c r="AQ897"/>
      <c r="AR897"/>
    </row>
    <row r="898" spans="36:44" x14ac:dyDescent="0.25">
      <c r="AJ898"/>
      <c r="AK898"/>
      <c r="AL898"/>
      <c r="AM898"/>
      <c r="AN898"/>
      <c r="AO898"/>
      <c r="AP898"/>
      <c r="AQ898"/>
      <c r="AR898"/>
    </row>
    <row r="899" spans="36:44" x14ac:dyDescent="0.25">
      <c r="AJ899"/>
      <c r="AK899"/>
      <c r="AL899"/>
      <c r="AM899"/>
      <c r="AN899"/>
      <c r="AO899"/>
      <c r="AP899"/>
      <c r="AQ899"/>
      <c r="AR899"/>
    </row>
    <row r="900" spans="36:44" x14ac:dyDescent="0.25">
      <c r="AJ900"/>
      <c r="AK900"/>
      <c r="AL900"/>
      <c r="AM900"/>
      <c r="AN900"/>
      <c r="AO900"/>
      <c r="AP900"/>
      <c r="AQ900"/>
      <c r="AR900"/>
    </row>
    <row r="901" spans="36:44" x14ac:dyDescent="0.25">
      <c r="AJ901"/>
      <c r="AK901"/>
      <c r="AL901"/>
      <c r="AM901"/>
      <c r="AN901"/>
      <c r="AO901"/>
      <c r="AP901"/>
      <c r="AQ901"/>
      <c r="AR901"/>
    </row>
    <row r="902" spans="36:44" x14ac:dyDescent="0.25">
      <c r="AJ902"/>
      <c r="AK902"/>
      <c r="AL902"/>
      <c r="AM902"/>
      <c r="AN902"/>
      <c r="AO902"/>
      <c r="AP902"/>
      <c r="AQ902"/>
      <c r="AR902"/>
    </row>
    <row r="903" spans="36:44" x14ac:dyDescent="0.25">
      <c r="AJ903"/>
      <c r="AK903"/>
      <c r="AL903"/>
      <c r="AM903"/>
      <c r="AN903"/>
      <c r="AO903"/>
      <c r="AP903"/>
      <c r="AQ903"/>
      <c r="AR903"/>
    </row>
    <row r="904" spans="36:44" x14ac:dyDescent="0.25">
      <c r="AJ904"/>
      <c r="AK904"/>
      <c r="AL904"/>
      <c r="AM904"/>
      <c r="AN904"/>
      <c r="AO904"/>
      <c r="AP904"/>
      <c r="AQ904"/>
      <c r="AR904"/>
    </row>
    <row r="905" spans="36:44" x14ac:dyDescent="0.25">
      <c r="AJ905"/>
      <c r="AK905"/>
      <c r="AL905"/>
      <c r="AM905"/>
      <c r="AN905"/>
      <c r="AO905"/>
      <c r="AP905"/>
      <c r="AQ905"/>
      <c r="AR905"/>
    </row>
    <row r="906" spans="36:44" x14ac:dyDescent="0.25">
      <c r="AJ906"/>
      <c r="AK906"/>
      <c r="AL906"/>
      <c r="AM906"/>
      <c r="AN906"/>
      <c r="AO906"/>
      <c r="AP906"/>
      <c r="AQ906"/>
      <c r="AR906"/>
    </row>
    <row r="907" spans="36:44" x14ac:dyDescent="0.25">
      <c r="AJ907"/>
      <c r="AK907"/>
      <c r="AL907"/>
      <c r="AM907"/>
      <c r="AN907"/>
      <c r="AO907"/>
      <c r="AP907"/>
      <c r="AQ907"/>
      <c r="AR907"/>
    </row>
    <row r="908" spans="36:44" x14ac:dyDescent="0.25">
      <c r="AJ908"/>
      <c r="AK908"/>
      <c r="AL908"/>
      <c r="AM908"/>
      <c r="AN908"/>
      <c r="AO908"/>
      <c r="AP908"/>
      <c r="AQ908"/>
      <c r="AR908"/>
    </row>
    <row r="909" spans="36:44" x14ac:dyDescent="0.25">
      <c r="AJ909"/>
      <c r="AK909"/>
      <c r="AL909"/>
      <c r="AM909"/>
      <c r="AN909"/>
      <c r="AO909"/>
      <c r="AP909"/>
      <c r="AQ909"/>
      <c r="AR909"/>
    </row>
    <row r="910" spans="36:44" x14ac:dyDescent="0.25">
      <c r="AJ910"/>
      <c r="AK910"/>
      <c r="AL910"/>
      <c r="AM910"/>
      <c r="AN910"/>
      <c r="AO910"/>
      <c r="AP910"/>
      <c r="AQ910"/>
      <c r="AR910"/>
    </row>
    <row r="911" spans="36:44" x14ac:dyDescent="0.25">
      <c r="AJ911"/>
      <c r="AK911"/>
      <c r="AL911"/>
      <c r="AM911"/>
      <c r="AN911"/>
      <c r="AO911"/>
      <c r="AP911"/>
      <c r="AQ911"/>
      <c r="AR911"/>
    </row>
    <row r="912" spans="36:44" x14ac:dyDescent="0.25">
      <c r="AJ912"/>
      <c r="AK912"/>
      <c r="AL912"/>
      <c r="AM912"/>
      <c r="AN912"/>
      <c r="AO912"/>
      <c r="AP912"/>
      <c r="AQ912"/>
      <c r="AR912"/>
    </row>
    <row r="913" spans="36:44" x14ac:dyDescent="0.25">
      <c r="AJ913"/>
      <c r="AK913"/>
      <c r="AL913"/>
      <c r="AM913"/>
      <c r="AN913"/>
      <c r="AO913"/>
      <c r="AP913"/>
      <c r="AQ913"/>
      <c r="AR913"/>
    </row>
    <row r="914" spans="36:44" x14ac:dyDescent="0.25">
      <c r="AJ914"/>
      <c r="AK914"/>
      <c r="AL914"/>
      <c r="AM914"/>
      <c r="AN914"/>
      <c r="AO914"/>
      <c r="AP914"/>
      <c r="AQ914"/>
      <c r="AR914"/>
    </row>
    <row r="915" spans="36:44" x14ac:dyDescent="0.25">
      <c r="AJ915"/>
      <c r="AK915"/>
      <c r="AL915"/>
      <c r="AM915"/>
      <c r="AN915"/>
      <c r="AO915"/>
      <c r="AP915"/>
      <c r="AQ915"/>
      <c r="AR915"/>
    </row>
    <row r="916" spans="36:44" x14ac:dyDescent="0.25">
      <c r="AJ916"/>
      <c r="AK916"/>
      <c r="AL916"/>
      <c r="AM916"/>
      <c r="AN916"/>
      <c r="AO916"/>
      <c r="AP916"/>
      <c r="AQ916"/>
      <c r="AR916"/>
    </row>
    <row r="917" spans="36:44" x14ac:dyDescent="0.25">
      <c r="AJ917"/>
      <c r="AK917"/>
      <c r="AL917"/>
      <c r="AM917"/>
      <c r="AN917"/>
      <c r="AO917"/>
      <c r="AP917"/>
      <c r="AQ917"/>
      <c r="AR917"/>
    </row>
    <row r="918" spans="36:44" x14ac:dyDescent="0.25">
      <c r="AJ918"/>
      <c r="AK918"/>
      <c r="AL918"/>
      <c r="AM918"/>
      <c r="AN918"/>
      <c r="AO918"/>
      <c r="AP918"/>
      <c r="AQ918"/>
      <c r="AR918"/>
    </row>
    <row r="919" spans="36:44" x14ac:dyDescent="0.25">
      <c r="AJ919"/>
      <c r="AK919"/>
      <c r="AL919"/>
      <c r="AM919"/>
      <c r="AN919"/>
      <c r="AO919"/>
      <c r="AP919"/>
      <c r="AQ919"/>
      <c r="AR919"/>
    </row>
    <row r="920" spans="36:44" x14ac:dyDescent="0.25">
      <c r="AJ920"/>
      <c r="AK920"/>
      <c r="AL920"/>
      <c r="AM920"/>
      <c r="AN920"/>
      <c r="AO920"/>
      <c r="AP920"/>
      <c r="AQ920"/>
      <c r="AR920"/>
    </row>
    <row r="921" spans="36:44" x14ac:dyDescent="0.25">
      <c r="AJ921"/>
      <c r="AK921"/>
      <c r="AL921"/>
      <c r="AM921"/>
      <c r="AN921"/>
      <c r="AO921"/>
      <c r="AP921"/>
      <c r="AQ921"/>
      <c r="AR921"/>
    </row>
    <row r="922" spans="36:44" x14ac:dyDescent="0.25">
      <c r="AJ922"/>
      <c r="AK922"/>
      <c r="AL922"/>
      <c r="AM922"/>
      <c r="AN922"/>
      <c r="AO922"/>
      <c r="AP922"/>
      <c r="AQ922"/>
      <c r="AR922"/>
    </row>
    <row r="923" spans="36:44" x14ac:dyDescent="0.25">
      <c r="AJ923"/>
      <c r="AK923"/>
      <c r="AL923"/>
      <c r="AM923"/>
      <c r="AN923"/>
      <c r="AO923"/>
      <c r="AP923"/>
      <c r="AQ923"/>
      <c r="AR923"/>
    </row>
    <row r="924" spans="36:44" x14ac:dyDescent="0.25">
      <c r="AJ924"/>
      <c r="AK924"/>
      <c r="AL924"/>
      <c r="AM924"/>
      <c r="AN924"/>
      <c r="AO924"/>
      <c r="AP924"/>
      <c r="AQ924"/>
      <c r="AR924"/>
    </row>
    <row r="925" spans="36:44" x14ac:dyDescent="0.25">
      <c r="AJ925"/>
      <c r="AK925"/>
      <c r="AL925"/>
      <c r="AM925"/>
      <c r="AN925"/>
      <c r="AO925"/>
      <c r="AP925"/>
      <c r="AQ925"/>
      <c r="AR925"/>
    </row>
    <row r="926" spans="36:44" x14ac:dyDescent="0.25">
      <c r="AJ926"/>
      <c r="AK926"/>
      <c r="AL926"/>
      <c r="AM926"/>
      <c r="AN926"/>
      <c r="AO926"/>
      <c r="AP926"/>
      <c r="AQ926"/>
      <c r="AR926"/>
    </row>
    <row r="927" spans="36:44" x14ac:dyDescent="0.25">
      <c r="AJ927"/>
      <c r="AK927"/>
      <c r="AL927"/>
      <c r="AM927"/>
      <c r="AN927"/>
      <c r="AO927"/>
      <c r="AP927"/>
      <c r="AQ927"/>
      <c r="AR927"/>
    </row>
    <row r="928" spans="36:44" x14ac:dyDescent="0.25">
      <c r="AJ928"/>
      <c r="AK928"/>
      <c r="AL928"/>
      <c r="AM928"/>
      <c r="AN928"/>
      <c r="AO928"/>
      <c r="AP928"/>
      <c r="AQ928"/>
      <c r="AR928"/>
    </row>
    <row r="929" spans="36:44" x14ac:dyDescent="0.25">
      <c r="AJ929"/>
      <c r="AK929"/>
      <c r="AL929"/>
      <c r="AM929"/>
      <c r="AN929"/>
      <c r="AO929"/>
      <c r="AP929"/>
      <c r="AQ929"/>
      <c r="AR929"/>
    </row>
    <row r="930" spans="36:44" x14ac:dyDescent="0.25">
      <c r="AJ930"/>
      <c r="AK930"/>
      <c r="AL930"/>
      <c r="AM930"/>
      <c r="AN930"/>
      <c r="AO930"/>
      <c r="AP930"/>
      <c r="AQ930"/>
      <c r="AR930"/>
    </row>
    <row r="931" spans="36:44" x14ac:dyDescent="0.25">
      <c r="AJ931"/>
      <c r="AK931"/>
      <c r="AL931"/>
      <c r="AM931"/>
      <c r="AN931"/>
      <c r="AO931"/>
      <c r="AP931"/>
      <c r="AQ931"/>
      <c r="AR931"/>
    </row>
    <row r="932" spans="36:44" x14ac:dyDescent="0.25">
      <c r="AJ932"/>
      <c r="AK932"/>
      <c r="AL932"/>
      <c r="AM932"/>
      <c r="AN932"/>
      <c r="AO932"/>
      <c r="AP932"/>
      <c r="AQ932"/>
      <c r="AR932"/>
    </row>
    <row r="933" spans="36:44" x14ac:dyDescent="0.25">
      <c r="AJ933"/>
      <c r="AK933"/>
      <c r="AL933"/>
      <c r="AM933"/>
      <c r="AN933"/>
      <c r="AO933"/>
      <c r="AP933"/>
      <c r="AQ933"/>
      <c r="AR933"/>
    </row>
    <row r="934" spans="36:44" x14ac:dyDescent="0.25">
      <c r="AJ934"/>
      <c r="AK934"/>
      <c r="AL934"/>
      <c r="AM934"/>
      <c r="AN934"/>
      <c r="AO934"/>
      <c r="AP934"/>
      <c r="AQ934"/>
      <c r="AR934"/>
    </row>
    <row r="935" spans="36:44" x14ac:dyDescent="0.25">
      <c r="AJ935"/>
      <c r="AK935"/>
      <c r="AL935"/>
      <c r="AM935"/>
      <c r="AN935"/>
      <c r="AO935"/>
      <c r="AP935"/>
      <c r="AQ935"/>
      <c r="AR935"/>
    </row>
    <row r="936" spans="36:44" x14ac:dyDescent="0.25">
      <c r="AJ936"/>
      <c r="AK936"/>
      <c r="AL936"/>
      <c r="AM936"/>
      <c r="AN936"/>
      <c r="AO936"/>
      <c r="AP936"/>
      <c r="AQ936"/>
      <c r="AR936"/>
    </row>
    <row r="937" spans="36:44" x14ac:dyDescent="0.25">
      <c r="AJ937"/>
      <c r="AK937"/>
      <c r="AL937"/>
      <c r="AM937"/>
      <c r="AN937"/>
      <c r="AO937"/>
      <c r="AP937"/>
      <c r="AQ937"/>
      <c r="AR937"/>
    </row>
    <row r="938" spans="36:44" x14ac:dyDescent="0.25">
      <c r="AJ938"/>
      <c r="AK938"/>
      <c r="AL938"/>
      <c r="AM938"/>
      <c r="AN938"/>
      <c r="AO938"/>
      <c r="AP938"/>
      <c r="AQ938"/>
      <c r="AR938"/>
    </row>
    <row r="939" spans="36:44" x14ac:dyDescent="0.25">
      <c r="AJ939"/>
      <c r="AK939"/>
      <c r="AL939"/>
      <c r="AM939"/>
      <c r="AN939"/>
      <c r="AO939"/>
      <c r="AP939"/>
      <c r="AQ939"/>
      <c r="AR939"/>
    </row>
    <row r="940" spans="36:44" x14ac:dyDescent="0.25">
      <c r="AJ940"/>
      <c r="AK940"/>
      <c r="AL940"/>
      <c r="AM940"/>
      <c r="AN940"/>
      <c r="AO940"/>
      <c r="AP940"/>
      <c r="AQ940"/>
      <c r="AR940"/>
    </row>
    <row r="941" spans="36:44" x14ac:dyDescent="0.25">
      <c r="AJ941"/>
      <c r="AK941"/>
      <c r="AL941"/>
      <c r="AM941"/>
      <c r="AN941"/>
      <c r="AO941"/>
      <c r="AP941"/>
      <c r="AQ941"/>
      <c r="AR941"/>
    </row>
    <row r="942" spans="36:44" x14ac:dyDescent="0.25">
      <c r="AJ942"/>
      <c r="AK942"/>
      <c r="AL942"/>
      <c r="AM942"/>
      <c r="AN942"/>
      <c r="AO942"/>
      <c r="AP942"/>
      <c r="AQ942"/>
      <c r="AR942"/>
    </row>
    <row r="943" spans="36:44" x14ac:dyDescent="0.25">
      <c r="AJ943"/>
      <c r="AK943"/>
      <c r="AL943"/>
      <c r="AM943"/>
      <c r="AN943"/>
      <c r="AO943"/>
      <c r="AP943"/>
      <c r="AQ943"/>
      <c r="AR943"/>
    </row>
    <row r="944" spans="36:44" x14ac:dyDescent="0.25">
      <c r="AJ944"/>
      <c r="AK944"/>
      <c r="AL944"/>
      <c r="AM944"/>
      <c r="AN944"/>
      <c r="AO944"/>
      <c r="AP944"/>
      <c r="AQ944"/>
      <c r="AR944"/>
    </row>
    <row r="945" spans="36:44" x14ac:dyDescent="0.25">
      <c r="AJ945"/>
      <c r="AK945"/>
      <c r="AL945"/>
      <c r="AM945"/>
      <c r="AN945"/>
      <c r="AO945"/>
      <c r="AP945"/>
      <c r="AQ945"/>
      <c r="AR945"/>
    </row>
    <row r="946" spans="36:44" x14ac:dyDescent="0.25">
      <c r="AJ946"/>
      <c r="AK946"/>
      <c r="AL946"/>
      <c r="AM946"/>
      <c r="AN946"/>
      <c r="AO946"/>
      <c r="AP946"/>
      <c r="AQ946"/>
      <c r="AR946"/>
    </row>
    <row r="947" spans="36:44" x14ac:dyDescent="0.25">
      <c r="AJ947"/>
      <c r="AK947"/>
      <c r="AL947"/>
      <c r="AM947"/>
      <c r="AN947"/>
      <c r="AO947"/>
      <c r="AP947"/>
      <c r="AQ947"/>
      <c r="AR947"/>
    </row>
    <row r="948" spans="36:44" x14ac:dyDescent="0.25">
      <c r="AJ948"/>
      <c r="AK948"/>
      <c r="AL948"/>
      <c r="AM948"/>
      <c r="AN948"/>
      <c r="AO948"/>
      <c r="AP948"/>
      <c r="AQ948"/>
      <c r="AR948"/>
    </row>
    <row r="949" spans="36:44" x14ac:dyDescent="0.25">
      <c r="AJ949"/>
      <c r="AK949"/>
      <c r="AL949"/>
      <c r="AM949"/>
      <c r="AN949"/>
      <c r="AO949"/>
      <c r="AP949"/>
      <c r="AQ949"/>
      <c r="AR949"/>
    </row>
    <row r="950" spans="36:44" x14ac:dyDescent="0.25">
      <c r="AJ950"/>
      <c r="AK950"/>
      <c r="AL950"/>
      <c r="AM950"/>
      <c r="AN950"/>
      <c r="AO950"/>
      <c r="AP950"/>
      <c r="AQ950"/>
      <c r="AR950"/>
    </row>
    <row r="951" spans="36:44" x14ac:dyDescent="0.25">
      <c r="AJ951"/>
      <c r="AK951"/>
      <c r="AL951"/>
      <c r="AM951"/>
      <c r="AN951"/>
      <c r="AO951"/>
      <c r="AP951"/>
      <c r="AQ951"/>
      <c r="AR951"/>
    </row>
    <row r="952" spans="36:44" x14ac:dyDescent="0.25">
      <c r="AJ952"/>
      <c r="AK952"/>
      <c r="AL952"/>
      <c r="AM952"/>
      <c r="AN952"/>
      <c r="AO952"/>
      <c r="AP952"/>
      <c r="AQ952"/>
      <c r="AR952"/>
    </row>
    <row r="953" spans="36:44" x14ac:dyDescent="0.25">
      <c r="AJ953"/>
      <c r="AK953"/>
      <c r="AL953"/>
      <c r="AM953"/>
      <c r="AN953"/>
      <c r="AO953"/>
      <c r="AP953"/>
      <c r="AQ953"/>
      <c r="AR953"/>
    </row>
    <row r="954" spans="36:44" x14ac:dyDescent="0.25">
      <c r="AJ954"/>
      <c r="AK954"/>
      <c r="AL954"/>
      <c r="AM954"/>
      <c r="AN954"/>
      <c r="AO954"/>
      <c r="AP954"/>
      <c r="AQ954"/>
      <c r="AR954"/>
    </row>
    <row r="955" spans="36:44" x14ac:dyDescent="0.25">
      <c r="AJ955"/>
      <c r="AK955"/>
      <c r="AL955"/>
      <c r="AM955"/>
      <c r="AN955"/>
      <c r="AO955"/>
      <c r="AP955"/>
      <c r="AQ955"/>
      <c r="AR955"/>
    </row>
    <row r="956" spans="36:44" x14ac:dyDescent="0.25">
      <c r="AJ956"/>
      <c r="AK956"/>
      <c r="AL956"/>
      <c r="AM956"/>
      <c r="AN956"/>
      <c r="AO956"/>
      <c r="AP956"/>
      <c r="AQ956"/>
      <c r="AR956"/>
    </row>
    <row r="957" spans="36:44" x14ac:dyDescent="0.25">
      <c r="AJ957"/>
      <c r="AK957"/>
      <c r="AL957"/>
      <c r="AM957"/>
      <c r="AN957"/>
      <c r="AO957"/>
      <c r="AP957"/>
      <c r="AQ957"/>
      <c r="AR957"/>
    </row>
    <row r="958" spans="36:44" x14ac:dyDescent="0.25">
      <c r="AJ958"/>
      <c r="AK958"/>
      <c r="AL958"/>
      <c r="AM958"/>
      <c r="AN958"/>
      <c r="AO958"/>
      <c r="AP958"/>
      <c r="AQ958"/>
      <c r="AR958"/>
    </row>
    <row r="959" spans="36:44" x14ac:dyDescent="0.25">
      <c r="AJ959"/>
      <c r="AK959"/>
      <c r="AL959"/>
      <c r="AM959"/>
      <c r="AN959"/>
      <c r="AO959"/>
      <c r="AP959"/>
      <c r="AQ959"/>
      <c r="AR959"/>
    </row>
    <row r="960" spans="36:44" x14ac:dyDescent="0.25">
      <c r="AJ960"/>
      <c r="AK960"/>
      <c r="AL960"/>
      <c r="AM960"/>
      <c r="AN960"/>
      <c r="AO960"/>
      <c r="AP960"/>
      <c r="AQ960"/>
      <c r="AR960"/>
    </row>
    <row r="961" spans="36:44" x14ac:dyDescent="0.25">
      <c r="AJ961"/>
      <c r="AK961"/>
      <c r="AL961"/>
      <c r="AM961"/>
      <c r="AN961"/>
      <c r="AO961"/>
      <c r="AP961"/>
      <c r="AQ961"/>
      <c r="AR961"/>
    </row>
    <row r="962" spans="36:44" x14ac:dyDescent="0.25">
      <c r="AJ962"/>
      <c r="AK962"/>
      <c r="AL962"/>
      <c r="AM962"/>
      <c r="AN962"/>
      <c r="AO962"/>
      <c r="AP962"/>
      <c r="AQ962"/>
      <c r="AR962"/>
    </row>
    <row r="963" spans="36:44" x14ac:dyDescent="0.25">
      <c r="AJ963"/>
      <c r="AK963"/>
      <c r="AL963"/>
      <c r="AM963"/>
      <c r="AN963"/>
      <c r="AO963"/>
      <c r="AP963"/>
      <c r="AQ963"/>
      <c r="AR963"/>
    </row>
    <row r="964" spans="36:44" x14ac:dyDescent="0.25">
      <c r="AJ964"/>
      <c r="AK964"/>
      <c r="AL964"/>
      <c r="AM964"/>
      <c r="AN964"/>
      <c r="AO964"/>
      <c r="AP964"/>
      <c r="AQ964"/>
      <c r="AR964"/>
    </row>
    <row r="965" spans="36:44" x14ac:dyDescent="0.25">
      <c r="AJ965"/>
      <c r="AK965"/>
      <c r="AL965"/>
      <c r="AM965"/>
      <c r="AN965"/>
      <c r="AO965"/>
      <c r="AP965"/>
      <c r="AQ965"/>
      <c r="AR965"/>
    </row>
    <row r="966" spans="36:44" x14ac:dyDescent="0.25">
      <c r="AJ966"/>
      <c r="AK966"/>
      <c r="AL966"/>
      <c r="AM966"/>
      <c r="AN966"/>
      <c r="AO966"/>
      <c r="AP966"/>
      <c r="AQ966"/>
      <c r="AR966"/>
    </row>
    <row r="967" spans="36:44" x14ac:dyDescent="0.25">
      <c r="AJ967"/>
      <c r="AK967"/>
      <c r="AL967"/>
      <c r="AM967"/>
      <c r="AN967"/>
      <c r="AO967"/>
      <c r="AP967"/>
      <c r="AQ967"/>
      <c r="AR967"/>
    </row>
    <row r="968" spans="36:44" x14ac:dyDescent="0.25">
      <c r="AJ968"/>
      <c r="AK968"/>
      <c r="AL968"/>
      <c r="AM968"/>
      <c r="AN968"/>
      <c r="AO968"/>
      <c r="AP968"/>
      <c r="AQ968"/>
      <c r="AR968"/>
    </row>
    <row r="969" spans="36:44" x14ac:dyDescent="0.25">
      <c r="AJ969"/>
      <c r="AK969"/>
      <c r="AL969"/>
      <c r="AM969"/>
      <c r="AN969"/>
      <c r="AO969"/>
      <c r="AP969"/>
      <c r="AQ969"/>
      <c r="AR969"/>
    </row>
    <row r="970" spans="36:44" x14ac:dyDescent="0.25">
      <c r="AJ970"/>
      <c r="AK970"/>
      <c r="AL970"/>
      <c r="AM970"/>
      <c r="AN970"/>
      <c r="AO970"/>
      <c r="AP970"/>
      <c r="AQ970"/>
      <c r="AR970"/>
    </row>
    <row r="971" spans="36:44" x14ac:dyDescent="0.25">
      <c r="AJ971"/>
      <c r="AK971"/>
      <c r="AL971"/>
      <c r="AM971"/>
      <c r="AN971"/>
      <c r="AO971"/>
      <c r="AP971"/>
      <c r="AQ971"/>
      <c r="AR971"/>
    </row>
    <row r="972" spans="36:44" x14ac:dyDescent="0.25">
      <c r="AJ972"/>
      <c r="AK972"/>
      <c r="AL972"/>
      <c r="AM972"/>
      <c r="AN972"/>
      <c r="AO972"/>
      <c r="AP972"/>
      <c r="AQ972"/>
      <c r="AR972"/>
    </row>
    <row r="973" spans="36:44" x14ac:dyDescent="0.25">
      <c r="AJ973"/>
      <c r="AK973"/>
      <c r="AL973"/>
      <c r="AM973"/>
      <c r="AN973"/>
      <c r="AO973"/>
      <c r="AP973"/>
      <c r="AQ973"/>
      <c r="AR973"/>
    </row>
    <row r="974" spans="36:44" x14ac:dyDescent="0.25">
      <c r="AJ974"/>
      <c r="AK974"/>
      <c r="AL974"/>
      <c r="AM974"/>
      <c r="AN974"/>
      <c r="AO974"/>
      <c r="AP974"/>
      <c r="AQ974"/>
      <c r="AR974"/>
    </row>
    <row r="975" spans="36:44" x14ac:dyDescent="0.25">
      <c r="AJ975"/>
      <c r="AK975"/>
      <c r="AL975"/>
      <c r="AM975"/>
      <c r="AN975"/>
      <c r="AO975"/>
      <c r="AP975"/>
      <c r="AQ975"/>
      <c r="AR975"/>
    </row>
    <row r="976" spans="36:44" x14ac:dyDescent="0.25">
      <c r="AJ976"/>
      <c r="AK976"/>
      <c r="AL976"/>
      <c r="AM976"/>
      <c r="AN976"/>
      <c r="AO976"/>
      <c r="AP976"/>
      <c r="AQ976"/>
      <c r="AR976"/>
    </row>
    <row r="977" spans="36:44" x14ac:dyDescent="0.25">
      <c r="AJ977"/>
      <c r="AK977"/>
      <c r="AL977"/>
      <c r="AM977"/>
      <c r="AN977"/>
      <c r="AO977"/>
      <c r="AP977"/>
      <c r="AQ977"/>
      <c r="AR977"/>
    </row>
    <row r="978" spans="36:44" x14ac:dyDescent="0.25">
      <c r="AJ978"/>
      <c r="AK978"/>
      <c r="AL978"/>
      <c r="AM978"/>
      <c r="AN978"/>
      <c r="AO978"/>
      <c r="AP978"/>
      <c r="AQ978"/>
      <c r="AR978"/>
    </row>
    <row r="979" spans="36:44" x14ac:dyDescent="0.25">
      <c r="AJ979"/>
      <c r="AK979"/>
      <c r="AL979"/>
      <c r="AM979"/>
      <c r="AN979"/>
      <c r="AO979"/>
      <c r="AP979"/>
      <c r="AQ979"/>
      <c r="AR979"/>
    </row>
    <row r="980" spans="36:44" x14ac:dyDescent="0.25">
      <c r="AJ980"/>
      <c r="AK980"/>
      <c r="AL980"/>
      <c r="AM980"/>
      <c r="AN980"/>
      <c r="AO980"/>
      <c r="AP980"/>
      <c r="AQ980"/>
      <c r="AR980"/>
    </row>
    <row r="981" spans="36:44" x14ac:dyDescent="0.25">
      <c r="AJ981"/>
      <c r="AK981"/>
      <c r="AL981"/>
      <c r="AM981"/>
      <c r="AN981"/>
      <c r="AO981"/>
      <c r="AP981"/>
      <c r="AQ981"/>
      <c r="AR981"/>
    </row>
    <row r="982" spans="36:44" x14ac:dyDescent="0.25">
      <c r="AJ982"/>
      <c r="AK982"/>
      <c r="AL982"/>
      <c r="AM982"/>
      <c r="AN982"/>
      <c r="AO982"/>
      <c r="AP982"/>
      <c r="AQ982"/>
      <c r="AR982"/>
    </row>
    <row r="983" spans="36:44" x14ac:dyDescent="0.25">
      <c r="AJ983"/>
      <c r="AK983"/>
      <c r="AL983"/>
      <c r="AM983"/>
      <c r="AN983"/>
      <c r="AO983"/>
      <c r="AP983"/>
      <c r="AQ983"/>
      <c r="AR983"/>
    </row>
    <row r="984" spans="36:44" x14ac:dyDescent="0.25">
      <c r="AJ984"/>
      <c r="AK984"/>
      <c r="AL984"/>
      <c r="AM984"/>
      <c r="AN984"/>
      <c r="AO984"/>
      <c r="AP984"/>
      <c r="AQ984"/>
      <c r="AR984"/>
    </row>
    <row r="985" spans="36:44" x14ac:dyDescent="0.25">
      <c r="AJ985"/>
      <c r="AK985"/>
      <c r="AL985"/>
      <c r="AM985"/>
      <c r="AN985"/>
      <c r="AO985"/>
      <c r="AP985"/>
      <c r="AQ985"/>
      <c r="AR985"/>
    </row>
    <row r="986" spans="36:44" x14ac:dyDescent="0.25">
      <c r="AJ986"/>
      <c r="AK986"/>
      <c r="AL986"/>
      <c r="AM986"/>
      <c r="AN986"/>
      <c r="AO986"/>
      <c r="AP986"/>
      <c r="AQ986"/>
      <c r="AR986"/>
    </row>
    <row r="987" spans="36:44" x14ac:dyDescent="0.25">
      <c r="AJ987"/>
      <c r="AK987"/>
      <c r="AL987"/>
      <c r="AM987"/>
      <c r="AN987"/>
      <c r="AO987"/>
      <c r="AP987"/>
      <c r="AQ987"/>
      <c r="AR987"/>
    </row>
    <row r="988" spans="36:44" x14ac:dyDescent="0.25">
      <c r="AJ988"/>
      <c r="AK988"/>
      <c r="AL988"/>
      <c r="AM988"/>
      <c r="AN988"/>
      <c r="AO988"/>
      <c r="AP988"/>
      <c r="AQ988"/>
      <c r="AR988"/>
    </row>
    <row r="989" spans="36:44" x14ac:dyDescent="0.25">
      <c r="AJ989"/>
      <c r="AK989"/>
      <c r="AL989"/>
      <c r="AM989"/>
      <c r="AN989"/>
      <c r="AO989"/>
      <c r="AP989"/>
      <c r="AQ989"/>
      <c r="AR989"/>
    </row>
    <row r="990" spans="36:44" x14ac:dyDescent="0.25">
      <c r="AJ990"/>
      <c r="AK990"/>
      <c r="AL990"/>
      <c r="AM990"/>
      <c r="AN990"/>
      <c r="AO990"/>
      <c r="AP990"/>
      <c r="AQ990"/>
      <c r="AR990"/>
    </row>
    <row r="991" spans="36:44" x14ac:dyDescent="0.25">
      <c r="AJ991"/>
      <c r="AK991"/>
      <c r="AL991"/>
      <c r="AM991"/>
      <c r="AN991"/>
      <c r="AO991"/>
      <c r="AP991"/>
      <c r="AQ991"/>
      <c r="AR991"/>
    </row>
    <row r="992" spans="36:44" x14ac:dyDescent="0.25">
      <c r="AJ992"/>
      <c r="AK992"/>
      <c r="AL992"/>
      <c r="AM992"/>
      <c r="AN992"/>
      <c r="AO992"/>
      <c r="AP992"/>
      <c r="AQ992"/>
      <c r="AR992"/>
    </row>
    <row r="993" spans="36:44" x14ac:dyDescent="0.25">
      <c r="AJ993"/>
      <c r="AK993"/>
      <c r="AL993"/>
      <c r="AM993"/>
      <c r="AN993"/>
      <c r="AO993"/>
      <c r="AP993"/>
      <c r="AQ993"/>
      <c r="AR993"/>
    </row>
    <row r="994" spans="36:44" x14ac:dyDescent="0.25">
      <c r="AJ994"/>
      <c r="AK994"/>
      <c r="AL994"/>
      <c r="AM994"/>
      <c r="AN994"/>
      <c r="AO994"/>
      <c r="AP994"/>
      <c r="AQ994"/>
      <c r="AR994"/>
    </row>
    <row r="995" spans="36:44" x14ac:dyDescent="0.25">
      <c r="AJ995"/>
      <c r="AK995"/>
      <c r="AL995"/>
      <c r="AM995"/>
      <c r="AN995"/>
      <c r="AO995"/>
      <c r="AP995"/>
      <c r="AQ995"/>
      <c r="AR995"/>
    </row>
    <row r="996" spans="36:44" x14ac:dyDescent="0.25">
      <c r="AJ996"/>
      <c r="AK996"/>
      <c r="AL996"/>
      <c r="AM996"/>
      <c r="AN996"/>
      <c r="AO996"/>
      <c r="AP996"/>
      <c r="AQ996"/>
      <c r="AR996"/>
    </row>
    <row r="997" spans="36:44" x14ac:dyDescent="0.25">
      <c r="AJ997"/>
      <c r="AK997"/>
      <c r="AL997"/>
      <c r="AM997"/>
      <c r="AN997"/>
      <c r="AO997"/>
      <c r="AP997"/>
      <c r="AQ997"/>
      <c r="AR997"/>
    </row>
    <row r="998" spans="36:44" x14ac:dyDescent="0.25">
      <c r="AJ998"/>
      <c r="AK998"/>
      <c r="AL998"/>
      <c r="AM998"/>
      <c r="AN998"/>
      <c r="AO998"/>
      <c r="AP998"/>
      <c r="AQ998"/>
      <c r="AR998"/>
    </row>
    <row r="999" spans="36:44" x14ac:dyDescent="0.25">
      <c r="AJ999"/>
      <c r="AK999"/>
      <c r="AL999"/>
      <c r="AM999"/>
      <c r="AN999"/>
      <c r="AO999"/>
      <c r="AP999"/>
      <c r="AQ999"/>
      <c r="AR999"/>
    </row>
    <row r="1000" spans="36:44" x14ac:dyDescent="0.25">
      <c r="AJ1000"/>
      <c r="AK1000"/>
      <c r="AL1000"/>
      <c r="AM1000"/>
      <c r="AN1000"/>
      <c r="AO1000"/>
      <c r="AP1000"/>
      <c r="AQ1000"/>
      <c r="AR1000"/>
    </row>
    <row r="1001" spans="36:44" x14ac:dyDescent="0.25">
      <c r="AJ1001"/>
      <c r="AK1001"/>
      <c r="AL1001"/>
      <c r="AM1001"/>
      <c r="AN1001"/>
      <c r="AO1001"/>
      <c r="AP1001"/>
      <c r="AQ1001"/>
      <c r="AR1001"/>
    </row>
    <row r="1002" spans="36:44" x14ac:dyDescent="0.25">
      <c r="AJ1002"/>
      <c r="AK1002"/>
      <c r="AL1002"/>
      <c r="AM1002"/>
      <c r="AN1002"/>
      <c r="AO1002"/>
      <c r="AP1002"/>
      <c r="AQ1002"/>
      <c r="AR1002"/>
    </row>
    <row r="1003" spans="36:44" x14ac:dyDescent="0.25">
      <c r="AJ1003"/>
      <c r="AK1003"/>
      <c r="AL1003"/>
      <c r="AM1003"/>
      <c r="AN1003"/>
      <c r="AO1003"/>
      <c r="AP1003"/>
      <c r="AQ1003"/>
      <c r="AR1003"/>
    </row>
    <row r="1004" spans="36:44" x14ac:dyDescent="0.25">
      <c r="AJ1004"/>
      <c r="AK1004"/>
      <c r="AL1004"/>
      <c r="AM1004"/>
      <c r="AN1004"/>
      <c r="AO1004"/>
      <c r="AP1004"/>
      <c r="AQ1004"/>
      <c r="AR1004"/>
    </row>
    <row r="1005" spans="36:44" x14ac:dyDescent="0.25">
      <c r="AJ1005"/>
      <c r="AK1005"/>
      <c r="AL1005"/>
      <c r="AM1005"/>
      <c r="AN1005"/>
      <c r="AO1005"/>
      <c r="AP1005"/>
      <c r="AQ1005"/>
      <c r="AR1005"/>
    </row>
    <row r="1006" spans="36:44" x14ac:dyDescent="0.25">
      <c r="AJ1006"/>
      <c r="AK1006"/>
      <c r="AL1006"/>
      <c r="AM1006"/>
      <c r="AN1006"/>
      <c r="AO1006"/>
      <c r="AP1006"/>
      <c r="AQ1006"/>
      <c r="AR1006"/>
    </row>
    <row r="1007" spans="36:44" x14ac:dyDescent="0.25">
      <c r="AJ1007"/>
      <c r="AK1007"/>
      <c r="AL1007"/>
      <c r="AM1007"/>
      <c r="AN1007"/>
      <c r="AO1007"/>
      <c r="AP1007"/>
      <c r="AQ1007"/>
      <c r="AR1007"/>
    </row>
    <row r="1008" spans="36:44" x14ac:dyDescent="0.25">
      <c r="AJ1008"/>
      <c r="AK1008"/>
      <c r="AL1008"/>
      <c r="AM1008"/>
      <c r="AN1008"/>
      <c r="AO1008"/>
      <c r="AP1008"/>
      <c r="AQ1008"/>
      <c r="AR1008"/>
    </row>
    <row r="1009" spans="36:44" x14ac:dyDescent="0.25">
      <c r="AJ1009"/>
      <c r="AK1009"/>
      <c r="AL1009"/>
      <c r="AM1009"/>
      <c r="AN1009"/>
      <c r="AO1009"/>
      <c r="AP1009"/>
      <c r="AQ1009"/>
      <c r="AR1009"/>
    </row>
    <row r="1010" spans="36:44" x14ac:dyDescent="0.25">
      <c r="AJ1010"/>
      <c r="AK1010"/>
      <c r="AL1010"/>
      <c r="AM1010"/>
      <c r="AN1010"/>
      <c r="AO1010"/>
      <c r="AP1010"/>
      <c r="AQ1010"/>
      <c r="AR1010"/>
    </row>
    <row r="1011" spans="36:44" x14ac:dyDescent="0.25">
      <c r="AJ1011"/>
      <c r="AK1011"/>
      <c r="AL1011"/>
      <c r="AM1011"/>
      <c r="AN1011"/>
      <c r="AO1011"/>
      <c r="AP1011"/>
      <c r="AQ1011"/>
      <c r="AR1011"/>
    </row>
    <row r="1012" spans="36:44" x14ac:dyDescent="0.25">
      <c r="AJ1012"/>
      <c r="AK1012"/>
      <c r="AL1012"/>
      <c r="AM1012"/>
      <c r="AN1012"/>
      <c r="AO1012"/>
      <c r="AP1012"/>
      <c r="AQ1012"/>
      <c r="AR1012"/>
    </row>
    <row r="1013" spans="36:44" x14ac:dyDescent="0.25">
      <c r="AJ1013"/>
      <c r="AK1013"/>
      <c r="AL1013"/>
      <c r="AM1013"/>
      <c r="AN1013"/>
      <c r="AO1013"/>
      <c r="AP1013"/>
      <c r="AQ1013"/>
      <c r="AR1013"/>
    </row>
    <row r="1014" spans="36:44" x14ac:dyDescent="0.25">
      <c r="AJ1014"/>
      <c r="AK1014"/>
      <c r="AL1014"/>
      <c r="AM1014"/>
      <c r="AN1014"/>
      <c r="AO1014"/>
      <c r="AP1014"/>
      <c r="AQ1014"/>
      <c r="AR1014"/>
    </row>
    <row r="1015" spans="36:44" x14ac:dyDescent="0.25">
      <c r="AJ1015"/>
      <c r="AK1015"/>
      <c r="AL1015"/>
      <c r="AM1015"/>
      <c r="AN1015"/>
      <c r="AO1015"/>
      <c r="AP1015"/>
      <c r="AQ1015"/>
      <c r="AR1015"/>
    </row>
    <row r="1016" spans="36:44" x14ac:dyDescent="0.25">
      <c r="AJ1016"/>
      <c r="AK1016"/>
      <c r="AL1016"/>
      <c r="AM1016"/>
      <c r="AN1016"/>
      <c r="AO1016"/>
      <c r="AP1016"/>
      <c r="AQ1016"/>
      <c r="AR1016"/>
    </row>
    <row r="1017" spans="36:44" x14ac:dyDescent="0.25">
      <c r="AJ1017"/>
      <c r="AK1017"/>
      <c r="AL1017"/>
      <c r="AM1017"/>
      <c r="AN1017"/>
      <c r="AO1017"/>
      <c r="AP1017"/>
      <c r="AQ1017"/>
      <c r="AR1017"/>
    </row>
    <row r="1018" spans="36:44" x14ac:dyDescent="0.25">
      <c r="AJ1018"/>
      <c r="AK1018"/>
      <c r="AL1018"/>
      <c r="AM1018"/>
      <c r="AN1018"/>
      <c r="AO1018"/>
      <c r="AP1018"/>
      <c r="AQ1018"/>
      <c r="AR1018"/>
    </row>
    <row r="1019" spans="36:44" x14ac:dyDescent="0.25">
      <c r="AJ1019"/>
      <c r="AK1019"/>
      <c r="AL1019"/>
      <c r="AM1019"/>
      <c r="AN1019"/>
      <c r="AO1019"/>
      <c r="AP1019"/>
      <c r="AQ1019"/>
      <c r="AR1019"/>
    </row>
    <row r="1020" spans="36:44" x14ac:dyDescent="0.25">
      <c r="AJ1020"/>
      <c r="AK1020"/>
      <c r="AL1020"/>
      <c r="AM1020"/>
      <c r="AN1020"/>
      <c r="AO1020"/>
      <c r="AP1020"/>
      <c r="AQ1020"/>
      <c r="AR1020"/>
    </row>
    <row r="1021" spans="36:44" x14ac:dyDescent="0.25">
      <c r="AJ1021"/>
      <c r="AK1021"/>
      <c r="AL1021"/>
      <c r="AM1021"/>
      <c r="AN1021"/>
      <c r="AO1021"/>
      <c r="AP1021"/>
      <c r="AQ1021"/>
      <c r="AR1021"/>
    </row>
    <row r="1022" spans="36:44" x14ac:dyDescent="0.25">
      <c r="AJ1022"/>
      <c r="AK1022"/>
      <c r="AL1022"/>
      <c r="AM1022"/>
      <c r="AN1022"/>
      <c r="AO1022"/>
      <c r="AP1022"/>
      <c r="AQ1022"/>
      <c r="AR1022"/>
    </row>
    <row r="1023" spans="36:44" x14ac:dyDescent="0.25">
      <c r="AJ1023"/>
      <c r="AK1023"/>
      <c r="AL1023"/>
      <c r="AM1023"/>
      <c r="AN1023"/>
      <c r="AO1023"/>
      <c r="AP1023"/>
      <c r="AQ1023"/>
      <c r="AR1023"/>
    </row>
    <row r="1024" spans="36:44" x14ac:dyDescent="0.25">
      <c r="AJ1024"/>
      <c r="AK1024"/>
      <c r="AL1024"/>
      <c r="AM1024"/>
      <c r="AN1024"/>
      <c r="AO1024"/>
      <c r="AP1024"/>
      <c r="AQ1024"/>
      <c r="AR1024"/>
    </row>
    <row r="1025" spans="36:44" x14ac:dyDescent="0.25">
      <c r="AJ1025"/>
      <c r="AK1025"/>
      <c r="AL1025"/>
      <c r="AM1025"/>
      <c r="AN1025"/>
      <c r="AO1025"/>
      <c r="AP1025"/>
      <c r="AQ1025"/>
      <c r="AR1025"/>
    </row>
    <row r="1026" spans="36:44" x14ac:dyDescent="0.25">
      <c r="AJ1026"/>
      <c r="AK1026"/>
      <c r="AL1026"/>
      <c r="AM1026"/>
      <c r="AN1026"/>
      <c r="AO1026"/>
      <c r="AP1026"/>
      <c r="AQ1026"/>
      <c r="AR1026"/>
    </row>
    <row r="1027" spans="36:44" x14ac:dyDescent="0.25">
      <c r="AJ1027"/>
      <c r="AK1027"/>
      <c r="AL1027"/>
      <c r="AM1027"/>
      <c r="AN1027"/>
      <c r="AO1027"/>
      <c r="AP1027"/>
      <c r="AQ1027"/>
      <c r="AR1027"/>
    </row>
    <row r="1028" spans="36:44" x14ac:dyDescent="0.25">
      <c r="AJ1028"/>
      <c r="AK1028"/>
      <c r="AL1028"/>
      <c r="AM1028"/>
      <c r="AN1028"/>
      <c r="AO1028"/>
      <c r="AP1028"/>
      <c r="AQ1028"/>
      <c r="AR1028"/>
    </row>
    <row r="1029" spans="36:44" x14ac:dyDescent="0.25">
      <c r="AJ1029"/>
      <c r="AK1029"/>
      <c r="AL1029"/>
      <c r="AM1029"/>
      <c r="AN1029"/>
      <c r="AO1029"/>
      <c r="AP1029"/>
      <c r="AQ1029"/>
      <c r="AR1029"/>
    </row>
    <row r="1030" spans="36:44" x14ac:dyDescent="0.25">
      <c r="AJ1030"/>
      <c r="AK1030"/>
      <c r="AL1030"/>
      <c r="AM1030"/>
      <c r="AN1030"/>
      <c r="AO1030"/>
      <c r="AP1030"/>
      <c r="AQ1030"/>
      <c r="AR1030"/>
    </row>
    <row r="1031" spans="36:44" x14ac:dyDescent="0.25">
      <c r="AJ1031"/>
      <c r="AK1031"/>
      <c r="AL1031"/>
      <c r="AM1031"/>
      <c r="AN1031"/>
      <c r="AO1031"/>
      <c r="AP1031"/>
      <c r="AQ1031"/>
      <c r="AR1031"/>
    </row>
    <row r="1032" spans="36:44" x14ac:dyDescent="0.25">
      <c r="AJ1032"/>
      <c r="AK1032"/>
      <c r="AL1032"/>
      <c r="AM1032"/>
      <c r="AN1032"/>
      <c r="AO1032"/>
      <c r="AP1032"/>
      <c r="AQ1032"/>
      <c r="AR1032"/>
    </row>
    <row r="1033" spans="36:44" x14ac:dyDescent="0.25">
      <c r="AJ1033"/>
      <c r="AK1033"/>
      <c r="AL1033"/>
      <c r="AM1033"/>
      <c r="AN1033"/>
      <c r="AO1033"/>
      <c r="AP1033"/>
      <c r="AQ1033"/>
      <c r="AR1033"/>
    </row>
    <row r="1034" spans="36:44" x14ac:dyDescent="0.25">
      <c r="AJ1034"/>
      <c r="AK1034"/>
      <c r="AL1034"/>
      <c r="AM1034"/>
      <c r="AN1034"/>
      <c r="AO1034"/>
      <c r="AP1034"/>
      <c r="AQ1034"/>
      <c r="AR1034"/>
    </row>
    <row r="1035" spans="36:44" x14ac:dyDescent="0.25">
      <c r="AJ1035"/>
      <c r="AK1035"/>
      <c r="AL1035"/>
      <c r="AM1035"/>
      <c r="AN1035"/>
      <c r="AO1035"/>
      <c r="AP1035"/>
      <c r="AQ1035"/>
      <c r="AR1035"/>
    </row>
    <row r="1036" spans="36:44" x14ac:dyDescent="0.25">
      <c r="AJ1036"/>
      <c r="AK1036"/>
      <c r="AL1036"/>
      <c r="AM1036"/>
      <c r="AN1036"/>
      <c r="AO1036"/>
      <c r="AP1036"/>
      <c r="AQ1036"/>
      <c r="AR1036"/>
    </row>
    <row r="1037" spans="36:44" x14ac:dyDescent="0.25">
      <c r="AJ1037"/>
      <c r="AK1037"/>
      <c r="AL1037"/>
      <c r="AM1037"/>
      <c r="AN1037"/>
      <c r="AO1037"/>
      <c r="AP1037"/>
      <c r="AQ1037"/>
      <c r="AR1037"/>
    </row>
    <row r="1038" spans="36:44" x14ac:dyDescent="0.25">
      <c r="AJ1038"/>
      <c r="AK1038"/>
      <c r="AL1038"/>
      <c r="AM1038"/>
      <c r="AN1038"/>
      <c r="AO1038"/>
      <c r="AP1038"/>
      <c r="AQ1038"/>
      <c r="AR1038"/>
    </row>
    <row r="1039" spans="36:44" x14ac:dyDescent="0.25">
      <c r="AJ1039"/>
      <c r="AK1039"/>
      <c r="AL1039"/>
      <c r="AM1039"/>
      <c r="AN1039"/>
      <c r="AO1039"/>
      <c r="AP1039"/>
      <c r="AQ1039"/>
      <c r="AR1039"/>
    </row>
    <row r="1040" spans="36:44" x14ac:dyDescent="0.25">
      <c r="AJ1040"/>
      <c r="AK1040"/>
      <c r="AL1040"/>
      <c r="AM1040"/>
      <c r="AN1040"/>
      <c r="AO1040"/>
      <c r="AP1040"/>
      <c r="AQ1040"/>
      <c r="AR1040"/>
    </row>
    <row r="1041" spans="36:44" x14ac:dyDescent="0.25">
      <c r="AJ1041"/>
      <c r="AK1041"/>
      <c r="AL1041"/>
      <c r="AM1041"/>
      <c r="AN1041"/>
      <c r="AO1041"/>
      <c r="AP1041"/>
      <c r="AQ1041"/>
      <c r="AR1041"/>
    </row>
    <row r="1042" spans="36:44" x14ac:dyDescent="0.25">
      <c r="AJ1042"/>
      <c r="AK1042"/>
      <c r="AL1042"/>
      <c r="AM1042"/>
      <c r="AN1042"/>
      <c r="AO1042"/>
      <c r="AP1042"/>
      <c r="AQ1042"/>
      <c r="AR1042"/>
    </row>
    <row r="1043" spans="36:44" x14ac:dyDescent="0.25">
      <c r="AJ1043"/>
      <c r="AK1043"/>
      <c r="AL1043"/>
      <c r="AM1043"/>
      <c r="AN1043"/>
      <c r="AO1043"/>
      <c r="AP1043"/>
      <c r="AQ1043"/>
      <c r="AR1043"/>
    </row>
    <row r="1044" spans="36:44" x14ac:dyDescent="0.25">
      <c r="AJ1044"/>
      <c r="AK1044"/>
      <c r="AL1044"/>
      <c r="AM1044"/>
      <c r="AN1044"/>
      <c r="AO1044"/>
      <c r="AP1044"/>
      <c r="AQ1044"/>
      <c r="AR1044"/>
    </row>
    <row r="1045" spans="36:44" x14ac:dyDescent="0.25">
      <c r="AJ1045"/>
      <c r="AK1045"/>
      <c r="AL1045"/>
      <c r="AM1045"/>
      <c r="AN1045"/>
      <c r="AO1045"/>
      <c r="AP1045"/>
      <c r="AQ1045"/>
      <c r="AR1045"/>
    </row>
    <row r="1046" spans="36:44" x14ac:dyDescent="0.25">
      <c r="AJ1046"/>
      <c r="AK1046"/>
      <c r="AL1046"/>
      <c r="AM1046"/>
      <c r="AN1046"/>
      <c r="AO1046"/>
      <c r="AP1046"/>
      <c r="AQ1046"/>
      <c r="AR1046"/>
    </row>
    <row r="1047" spans="36:44" x14ac:dyDescent="0.25">
      <c r="AJ1047"/>
      <c r="AK1047"/>
      <c r="AL1047"/>
      <c r="AM1047"/>
      <c r="AN1047"/>
      <c r="AO1047"/>
      <c r="AP1047"/>
      <c r="AQ1047"/>
      <c r="AR1047"/>
    </row>
    <row r="1048" spans="36:44" x14ac:dyDescent="0.25">
      <c r="AJ1048"/>
      <c r="AK1048"/>
      <c r="AL1048"/>
      <c r="AM1048"/>
      <c r="AN1048"/>
      <c r="AO1048"/>
      <c r="AP1048"/>
      <c r="AQ1048"/>
      <c r="AR1048"/>
    </row>
    <row r="1049" spans="36:44" x14ac:dyDescent="0.25">
      <c r="AJ1049"/>
      <c r="AK1049"/>
      <c r="AL1049"/>
      <c r="AM1049"/>
      <c r="AN1049"/>
      <c r="AO1049"/>
      <c r="AP1049"/>
      <c r="AQ1049"/>
      <c r="AR1049"/>
    </row>
    <row r="1050" spans="36:44" x14ac:dyDescent="0.25">
      <c r="AJ1050"/>
      <c r="AK1050"/>
      <c r="AL1050"/>
      <c r="AM1050"/>
      <c r="AN1050"/>
      <c r="AO1050"/>
      <c r="AP1050"/>
      <c r="AQ1050"/>
      <c r="AR1050"/>
    </row>
    <row r="1051" spans="36:44" x14ac:dyDescent="0.25">
      <c r="AJ1051"/>
      <c r="AK1051"/>
      <c r="AL1051"/>
      <c r="AM1051"/>
      <c r="AN1051"/>
      <c r="AO1051"/>
      <c r="AP1051"/>
      <c r="AQ1051"/>
      <c r="AR1051"/>
    </row>
    <row r="1052" spans="36:44" x14ac:dyDescent="0.25">
      <c r="AJ1052"/>
      <c r="AK1052"/>
      <c r="AL1052"/>
      <c r="AM1052"/>
      <c r="AN1052"/>
      <c r="AO1052"/>
      <c r="AP1052"/>
      <c r="AQ1052"/>
      <c r="AR1052"/>
    </row>
    <row r="1053" spans="36:44" x14ac:dyDescent="0.25">
      <c r="AJ1053"/>
      <c r="AK1053"/>
      <c r="AL1053"/>
      <c r="AM1053"/>
      <c r="AN1053"/>
      <c r="AO1053"/>
      <c r="AP1053"/>
      <c r="AQ1053"/>
      <c r="AR1053"/>
    </row>
    <row r="1054" spans="36:44" x14ac:dyDescent="0.25">
      <c r="AJ1054"/>
      <c r="AK1054"/>
      <c r="AL1054"/>
      <c r="AM1054"/>
      <c r="AN1054"/>
      <c r="AO1054"/>
      <c r="AP1054"/>
      <c r="AQ1054"/>
      <c r="AR1054"/>
    </row>
    <row r="1055" spans="36:44" x14ac:dyDescent="0.25">
      <c r="AJ1055"/>
      <c r="AK1055"/>
      <c r="AL1055"/>
      <c r="AM1055"/>
      <c r="AN1055"/>
      <c r="AO1055"/>
      <c r="AP1055"/>
      <c r="AQ1055"/>
      <c r="AR1055"/>
    </row>
    <row r="1056" spans="36:44" x14ac:dyDescent="0.25">
      <c r="AJ1056"/>
      <c r="AK1056"/>
      <c r="AL1056"/>
      <c r="AM1056"/>
      <c r="AN1056"/>
      <c r="AO1056"/>
      <c r="AP1056"/>
      <c r="AQ1056"/>
      <c r="AR1056"/>
    </row>
    <row r="1057" spans="36:44" x14ac:dyDescent="0.25">
      <c r="AJ1057"/>
      <c r="AK1057"/>
      <c r="AL1057"/>
      <c r="AM1057"/>
      <c r="AN1057"/>
      <c r="AO1057"/>
      <c r="AP1057"/>
      <c r="AQ1057"/>
      <c r="AR1057"/>
    </row>
    <row r="1058" spans="36:44" x14ac:dyDescent="0.25">
      <c r="AJ1058"/>
      <c r="AK1058"/>
      <c r="AL1058"/>
      <c r="AM1058"/>
      <c r="AN1058"/>
      <c r="AO1058"/>
      <c r="AP1058"/>
      <c r="AQ1058"/>
      <c r="AR1058"/>
    </row>
    <row r="1059" spans="36:44" x14ac:dyDescent="0.25">
      <c r="AJ1059"/>
      <c r="AK1059"/>
      <c r="AL1059"/>
      <c r="AM1059"/>
      <c r="AN1059"/>
      <c r="AO1059"/>
      <c r="AP1059"/>
      <c r="AQ1059"/>
      <c r="AR1059"/>
    </row>
    <row r="1060" spans="36:44" x14ac:dyDescent="0.25">
      <c r="AJ1060"/>
      <c r="AK1060"/>
      <c r="AL1060"/>
      <c r="AM1060"/>
      <c r="AN1060"/>
      <c r="AO1060"/>
      <c r="AP1060"/>
      <c r="AQ1060"/>
      <c r="AR1060"/>
    </row>
    <row r="1061" spans="36:44" x14ac:dyDescent="0.25">
      <c r="AJ1061"/>
      <c r="AK1061"/>
      <c r="AL1061"/>
      <c r="AM1061"/>
      <c r="AN1061"/>
      <c r="AO1061"/>
      <c r="AP1061"/>
      <c r="AQ1061"/>
      <c r="AR1061"/>
    </row>
    <row r="1062" spans="36:44" x14ac:dyDescent="0.25">
      <c r="AJ1062"/>
      <c r="AK1062"/>
      <c r="AL1062"/>
      <c r="AM1062"/>
      <c r="AN1062"/>
      <c r="AO1062"/>
      <c r="AP1062"/>
      <c r="AQ1062"/>
      <c r="AR1062"/>
    </row>
    <row r="1063" spans="36:44" x14ac:dyDescent="0.25">
      <c r="AJ1063"/>
      <c r="AK1063"/>
      <c r="AL1063"/>
      <c r="AM1063"/>
      <c r="AN1063"/>
      <c r="AO1063"/>
      <c r="AP1063"/>
      <c r="AQ1063"/>
      <c r="AR1063"/>
    </row>
    <row r="1064" spans="36:44" x14ac:dyDescent="0.25">
      <c r="AJ1064"/>
      <c r="AK1064"/>
      <c r="AL1064"/>
      <c r="AM1064"/>
      <c r="AN1064"/>
      <c r="AO1064"/>
      <c r="AP1064"/>
      <c r="AQ1064"/>
      <c r="AR1064"/>
    </row>
    <row r="1065" spans="36:44" x14ac:dyDescent="0.25">
      <c r="AJ1065"/>
      <c r="AK1065"/>
      <c r="AL1065"/>
      <c r="AM1065"/>
      <c r="AN1065"/>
      <c r="AO1065"/>
      <c r="AP1065"/>
      <c r="AQ1065"/>
      <c r="AR1065"/>
    </row>
    <row r="1066" spans="36:44" x14ac:dyDescent="0.25">
      <c r="AJ1066"/>
      <c r="AK1066"/>
      <c r="AL1066"/>
      <c r="AM1066"/>
      <c r="AN1066"/>
      <c r="AO1066"/>
      <c r="AP1066"/>
      <c r="AQ1066"/>
      <c r="AR1066"/>
    </row>
    <row r="1067" spans="36:44" x14ac:dyDescent="0.25">
      <c r="AJ1067"/>
      <c r="AK1067"/>
      <c r="AL1067"/>
      <c r="AM1067"/>
      <c r="AN1067"/>
      <c r="AO1067"/>
      <c r="AP1067"/>
      <c r="AQ1067"/>
      <c r="AR1067"/>
    </row>
    <row r="1068" spans="36:44" x14ac:dyDescent="0.25">
      <c r="AJ1068"/>
      <c r="AK1068"/>
      <c r="AL1068"/>
      <c r="AM1068"/>
      <c r="AN1068"/>
      <c r="AO1068"/>
      <c r="AP1068"/>
      <c r="AQ1068"/>
      <c r="AR1068"/>
    </row>
    <row r="1069" spans="36:44" x14ac:dyDescent="0.25">
      <c r="AJ1069"/>
      <c r="AK1069"/>
      <c r="AL1069"/>
      <c r="AM1069"/>
      <c r="AN1069"/>
      <c r="AO1069"/>
      <c r="AP1069"/>
      <c r="AQ1069"/>
      <c r="AR1069"/>
    </row>
    <row r="1070" spans="36:44" x14ac:dyDescent="0.25">
      <c r="AJ1070"/>
      <c r="AK1070"/>
      <c r="AL1070"/>
      <c r="AM1070"/>
      <c r="AN1070"/>
      <c r="AO1070"/>
      <c r="AP1070"/>
      <c r="AQ1070"/>
      <c r="AR1070"/>
    </row>
    <row r="1071" spans="36:44" x14ac:dyDescent="0.25">
      <c r="AJ1071"/>
      <c r="AK1071"/>
      <c r="AL1071"/>
      <c r="AM1071"/>
      <c r="AN1071"/>
      <c r="AO1071"/>
      <c r="AP1071"/>
      <c r="AQ1071"/>
      <c r="AR1071"/>
    </row>
    <row r="1072" spans="36:44" x14ac:dyDescent="0.25">
      <c r="AJ1072"/>
      <c r="AK1072"/>
      <c r="AL1072"/>
      <c r="AM1072"/>
      <c r="AN1072"/>
      <c r="AO1072"/>
      <c r="AP1072"/>
      <c r="AQ1072"/>
      <c r="AR1072"/>
    </row>
    <row r="1073" spans="36:44" x14ac:dyDescent="0.25">
      <c r="AJ1073"/>
      <c r="AK1073"/>
      <c r="AL1073"/>
      <c r="AM1073"/>
      <c r="AN1073"/>
      <c r="AO1073"/>
      <c r="AP1073"/>
      <c r="AQ1073"/>
      <c r="AR1073"/>
    </row>
    <row r="1074" spans="36:44" x14ac:dyDescent="0.25">
      <c r="AJ1074"/>
      <c r="AK1074"/>
      <c r="AL1074"/>
      <c r="AM1074"/>
      <c r="AN1074"/>
      <c r="AO1074"/>
      <c r="AP1074"/>
      <c r="AQ1074"/>
      <c r="AR1074"/>
    </row>
    <row r="1075" spans="36:44" x14ac:dyDescent="0.25">
      <c r="AJ1075"/>
      <c r="AK1075"/>
      <c r="AL1075"/>
      <c r="AM1075"/>
      <c r="AN1075"/>
      <c r="AO1075"/>
      <c r="AP1075"/>
      <c r="AQ1075"/>
      <c r="AR1075"/>
    </row>
    <row r="1076" spans="36:44" x14ac:dyDescent="0.25">
      <c r="AJ1076"/>
      <c r="AK1076"/>
      <c r="AL1076"/>
      <c r="AM1076"/>
      <c r="AN1076"/>
      <c r="AO1076"/>
      <c r="AP1076"/>
      <c r="AQ1076"/>
      <c r="AR1076"/>
    </row>
    <row r="1077" spans="36:44" x14ac:dyDescent="0.25">
      <c r="AJ1077"/>
      <c r="AK1077"/>
      <c r="AL1077"/>
      <c r="AM1077"/>
      <c r="AN1077"/>
      <c r="AO1077"/>
      <c r="AP1077"/>
      <c r="AQ1077"/>
      <c r="AR1077"/>
    </row>
    <row r="1078" spans="36:44" x14ac:dyDescent="0.25">
      <c r="AJ1078"/>
      <c r="AK1078"/>
      <c r="AL1078"/>
      <c r="AM1078"/>
      <c r="AN1078"/>
      <c r="AO1078"/>
      <c r="AP1078"/>
      <c r="AQ1078"/>
      <c r="AR1078"/>
    </row>
    <row r="1079" spans="36:44" x14ac:dyDescent="0.25">
      <c r="AJ1079"/>
      <c r="AK1079"/>
      <c r="AL1079"/>
      <c r="AM1079"/>
      <c r="AN1079"/>
      <c r="AO1079"/>
      <c r="AP1079"/>
      <c r="AQ1079"/>
      <c r="AR1079"/>
    </row>
    <row r="1080" spans="36:44" x14ac:dyDescent="0.25">
      <c r="AJ1080"/>
      <c r="AK1080"/>
      <c r="AL1080"/>
      <c r="AM1080"/>
      <c r="AN1080"/>
      <c r="AO1080"/>
      <c r="AP1080"/>
      <c r="AQ1080"/>
      <c r="AR1080"/>
    </row>
    <row r="1081" spans="36:44" x14ac:dyDescent="0.25">
      <c r="AJ1081"/>
      <c r="AK1081"/>
      <c r="AL1081"/>
      <c r="AM1081"/>
      <c r="AN1081"/>
      <c r="AO1081"/>
      <c r="AP1081"/>
      <c r="AQ1081"/>
      <c r="AR1081"/>
    </row>
    <row r="1082" spans="36:44" x14ac:dyDescent="0.25">
      <c r="AJ1082"/>
      <c r="AK1082"/>
      <c r="AL1082"/>
      <c r="AM1082"/>
      <c r="AN1082"/>
      <c r="AO1082"/>
      <c r="AP1082"/>
      <c r="AQ1082"/>
      <c r="AR1082"/>
    </row>
    <row r="1083" spans="36:44" x14ac:dyDescent="0.25">
      <c r="AJ1083"/>
      <c r="AK1083"/>
      <c r="AL1083"/>
      <c r="AM1083"/>
      <c r="AN1083"/>
      <c r="AO1083"/>
      <c r="AP1083"/>
      <c r="AQ1083"/>
      <c r="AR1083"/>
    </row>
    <row r="1084" spans="36:44" x14ac:dyDescent="0.25">
      <c r="AJ1084"/>
      <c r="AK1084"/>
      <c r="AL1084"/>
      <c r="AM1084"/>
      <c r="AN1084"/>
      <c r="AO1084"/>
      <c r="AP1084"/>
      <c r="AQ1084"/>
      <c r="AR1084"/>
    </row>
    <row r="1085" spans="36:44" x14ac:dyDescent="0.25">
      <c r="AJ1085"/>
      <c r="AK1085"/>
      <c r="AL1085"/>
      <c r="AM1085"/>
      <c r="AN1085"/>
      <c r="AO1085"/>
      <c r="AP1085"/>
      <c r="AQ1085"/>
      <c r="AR1085"/>
    </row>
    <row r="1086" spans="36:44" x14ac:dyDescent="0.25">
      <c r="AJ1086"/>
      <c r="AK1086"/>
      <c r="AL1086"/>
      <c r="AM1086"/>
      <c r="AN1086"/>
      <c r="AO1086"/>
      <c r="AP1086"/>
      <c r="AQ1086"/>
      <c r="AR1086"/>
    </row>
    <row r="1087" spans="36:44" x14ac:dyDescent="0.25">
      <c r="AJ1087"/>
      <c r="AK1087"/>
      <c r="AL1087"/>
      <c r="AM1087"/>
      <c r="AN1087"/>
      <c r="AO1087"/>
      <c r="AP1087"/>
      <c r="AQ1087"/>
      <c r="AR1087"/>
    </row>
    <row r="1088" spans="36:44" x14ac:dyDescent="0.25">
      <c r="AJ1088"/>
      <c r="AK1088"/>
      <c r="AL1088"/>
      <c r="AM1088"/>
      <c r="AN1088"/>
      <c r="AO1088"/>
      <c r="AP1088"/>
      <c r="AQ1088"/>
      <c r="AR1088"/>
    </row>
    <row r="1089" spans="36:44" x14ac:dyDescent="0.25">
      <c r="AJ1089"/>
      <c r="AK1089"/>
      <c r="AL1089"/>
      <c r="AM1089"/>
      <c r="AN1089"/>
      <c r="AO1089"/>
      <c r="AP1089"/>
      <c r="AQ1089"/>
      <c r="AR1089"/>
    </row>
    <row r="1090" spans="36:44" x14ac:dyDescent="0.25">
      <c r="AJ1090"/>
      <c r="AK1090"/>
      <c r="AL1090"/>
      <c r="AM1090"/>
      <c r="AN1090"/>
      <c r="AO1090"/>
      <c r="AP1090"/>
      <c r="AQ1090"/>
      <c r="AR1090"/>
    </row>
    <row r="1091" spans="36:44" x14ac:dyDescent="0.25">
      <c r="AJ1091"/>
      <c r="AK1091"/>
      <c r="AL1091"/>
      <c r="AM1091"/>
      <c r="AN1091"/>
      <c r="AO1091"/>
      <c r="AP1091"/>
      <c r="AQ1091"/>
      <c r="AR1091"/>
    </row>
    <row r="1092" spans="36:44" x14ac:dyDescent="0.25">
      <c r="AJ1092"/>
      <c r="AK1092"/>
      <c r="AL1092"/>
      <c r="AM1092"/>
      <c r="AN1092"/>
      <c r="AO1092"/>
      <c r="AP1092"/>
      <c r="AQ1092"/>
      <c r="AR1092"/>
    </row>
    <row r="1093" spans="36:44" x14ac:dyDescent="0.25">
      <c r="AJ1093"/>
      <c r="AK1093"/>
      <c r="AL1093"/>
      <c r="AM1093"/>
      <c r="AN1093"/>
      <c r="AO1093"/>
      <c r="AP1093"/>
      <c r="AQ1093"/>
      <c r="AR1093"/>
    </row>
    <row r="1094" spans="36:44" x14ac:dyDescent="0.25">
      <c r="AJ1094"/>
      <c r="AK1094"/>
      <c r="AL1094"/>
      <c r="AM1094"/>
      <c r="AN1094"/>
      <c r="AO1094"/>
      <c r="AP1094"/>
      <c r="AQ1094"/>
      <c r="AR1094"/>
    </row>
    <row r="1095" spans="36:44" x14ac:dyDescent="0.25">
      <c r="AJ1095"/>
      <c r="AK1095"/>
      <c r="AL1095"/>
      <c r="AM1095"/>
      <c r="AN1095"/>
      <c r="AO1095"/>
      <c r="AP1095"/>
      <c r="AQ1095"/>
      <c r="AR1095"/>
    </row>
    <row r="1096" spans="36:44" x14ac:dyDescent="0.25">
      <c r="AJ1096"/>
      <c r="AK1096"/>
      <c r="AL1096"/>
      <c r="AM1096"/>
      <c r="AN1096"/>
      <c r="AO1096"/>
      <c r="AP1096"/>
      <c r="AQ1096"/>
      <c r="AR1096"/>
    </row>
    <row r="1097" spans="36:44" x14ac:dyDescent="0.25">
      <c r="AJ1097"/>
      <c r="AK1097"/>
      <c r="AL1097"/>
      <c r="AM1097"/>
      <c r="AN1097"/>
      <c r="AO1097"/>
      <c r="AP1097"/>
      <c r="AQ1097"/>
      <c r="AR1097"/>
    </row>
    <row r="1098" spans="36:44" x14ac:dyDescent="0.25">
      <c r="AJ1098"/>
      <c r="AK1098"/>
      <c r="AL1098"/>
      <c r="AM1098"/>
      <c r="AN1098"/>
      <c r="AO1098"/>
      <c r="AP1098"/>
      <c r="AQ1098"/>
      <c r="AR1098"/>
    </row>
    <row r="1099" spans="36:44" x14ac:dyDescent="0.25">
      <c r="AJ1099"/>
      <c r="AK1099"/>
      <c r="AL1099"/>
      <c r="AM1099"/>
      <c r="AN1099"/>
      <c r="AO1099"/>
      <c r="AP1099"/>
      <c r="AQ1099"/>
      <c r="AR1099"/>
    </row>
    <row r="1100" spans="36:44" x14ac:dyDescent="0.25">
      <c r="AJ1100"/>
      <c r="AK1100"/>
      <c r="AL1100"/>
      <c r="AM1100"/>
      <c r="AN1100"/>
      <c r="AO1100"/>
      <c r="AP1100"/>
      <c r="AQ1100"/>
      <c r="AR1100"/>
    </row>
    <row r="1101" spans="36:44" x14ac:dyDescent="0.25">
      <c r="AJ1101"/>
      <c r="AK1101"/>
      <c r="AL1101"/>
      <c r="AM1101"/>
      <c r="AN1101"/>
      <c r="AO1101"/>
      <c r="AP1101"/>
      <c r="AQ1101"/>
      <c r="AR1101"/>
    </row>
    <row r="1102" spans="36:44" x14ac:dyDescent="0.25">
      <c r="AJ1102"/>
      <c r="AK1102"/>
      <c r="AL1102"/>
      <c r="AM1102"/>
      <c r="AN1102"/>
      <c r="AO1102"/>
      <c r="AP1102"/>
      <c r="AQ1102"/>
      <c r="AR1102"/>
    </row>
    <row r="1103" spans="36:44" x14ac:dyDescent="0.25">
      <c r="AJ1103"/>
      <c r="AK1103"/>
      <c r="AL1103"/>
      <c r="AM1103"/>
      <c r="AN1103"/>
      <c r="AO1103"/>
      <c r="AP1103"/>
      <c r="AQ1103"/>
      <c r="AR1103"/>
    </row>
    <row r="1104" spans="36:44" x14ac:dyDescent="0.25">
      <c r="AJ1104"/>
      <c r="AK1104"/>
      <c r="AL1104"/>
      <c r="AM1104"/>
      <c r="AN1104"/>
      <c r="AO1104"/>
      <c r="AP1104"/>
      <c r="AQ1104"/>
      <c r="AR1104"/>
    </row>
    <row r="1105" spans="36:44" x14ac:dyDescent="0.25">
      <c r="AJ1105"/>
      <c r="AK1105"/>
      <c r="AL1105"/>
      <c r="AM1105"/>
      <c r="AN1105"/>
      <c r="AO1105"/>
      <c r="AP1105"/>
      <c r="AQ1105"/>
      <c r="AR1105"/>
    </row>
    <row r="1106" spans="36:44" x14ac:dyDescent="0.25">
      <c r="AJ1106"/>
      <c r="AK1106"/>
      <c r="AL1106"/>
      <c r="AM1106"/>
      <c r="AN1106"/>
      <c r="AO1106"/>
      <c r="AP1106"/>
      <c r="AQ1106"/>
      <c r="AR1106"/>
    </row>
    <row r="1107" spans="36:44" x14ac:dyDescent="0.25">
      <c r="AJ1107"/>
      <c r="AK1107"/>
      <c r="AL1107"/>
      <c r="AM1107"/>
      <c r="AN1107"/>
      <c r="AO1107"/>
      <c r="AP1107"/>
      <c r="AQ1107"/>
      <c r="AR1107"/>
    </row>
    <row r="1108" spans="36:44" x14ac:dyDescent="0.25">
      <c r="AJ1108"/>
      <c r="AK1108"/>
      <c r="AL1108"/>
      <c r="AM1108"/>
      <c r="AN1108"/>
      <c r="AO1108"/>
      <c r="AP1108"/>
      <c r="AQ1108"/>
      <c r="AR1108"/>
    </row>
    <row r="1109" spans="36:44" x14ac:dyDescent="0.25">
      <c r="AJ1109"/>
      <c r="AK1109"/>
      <c r="AL1109"/>
      <c r="AM1109"/>
      <c r="AN1109"/>
      <c r="AO1109"/>
      <c r="AP1109"/>
      <c r="AQ1109"/>
      <c r="AR1109"/>
    </row>
    <row r="1110" spans="36:44" x14ac:dyDescent="0.25">
      <c r="AJ1110"/>
      <c r="AK1110"/>
      <c r="AL1110"/>
      <c r="AM1110"/>
      <c r="AN1110"/>
      <c r="AO1110"/>
      <c r="AP1110"/>
      <c r="AQ1110"/>
      <c r="AR1110"/>
    </row>
    <row r="1111" spans="36:44" x14ac:dyDescent="0.25">
      <c r="AJ1111"/>
      <c r="AK1111"/>
      <c r="AL1111"/>
      <c r="AM1111"/>
      <c r="AN1111"/>
      <c r="AO1111"/>
      <c r="AP1111"/>
      <c r="AQ1111"/>
      <c r="AR1111"/>
    </row>
    <row r="1112" spans="36:44" x14ac:dyDescent="0.25">
      <c r="AJ1112"/>
      <c r="AK1112"/>
      <c r="AL1112"/>
      <c r="AM1112"/>
      <c r="AN1112"/>
      <c r="AO1112"/>
      <c r="AP1112"/>
      <c r="AQ1112"/>
      <c r="AR1112"/>
    </row>
    <row r="1113" spans="36:44" x14ac:dyDescent="0.25">
      <c r="AJ1113"/>
      <c r="AK1113"/>
      <c r="AL1113"/>
      <c r="AM1113"/>
      <c r="AN1113"/>
      <c r="AO1113"/>
      <c r="AP1113"/>
      <c r="AQ1113"/>
      <c r="AR1113"/>
    </row>
    <row r="1114" spans="36:44" x14ac:dyDescent="0.25">
      <c r="AJ1114"/>
      <c r="AK1114"/>
      <c r="AL1114"/>
      <c r="AM1114"/>
      <c r="AN1114"/>
      <c r="AO1114"/>
      <c r="AP1114"/>
      <c r="AQ1114"/>
      <c r="AR1114"/>
    </row>
    <row r="1115" spans="36:44" x14ac:dyDescent="0.25">
      <c r="AJ1115"/>
      <c r="AK1115"/>
      <c r="AL1115"/>
      <c r="AM1115"/>
      <c r="AN1115"/>
      <c r="AO1115"/>
      <c r="AP1115"/>
      <c r="AQ1115"/>
      <c r="AR1115"/>
    </row>
    <row r="1116" spans="36:44" x14ac:dyDescent="0.25">
      <c r="AJ1116"/>
      <c r="AK1116"/>
      <c r="AL1116"/>
      <c r="AM1116"/>
      <c r="AN1116"/>
      <c r="AO1116"/>
      <c r="AP1116"/>
      <c r="AQ1116"/>
      <c r="AR1116"/>
    </row>
    <row r="1117" spans="36:44" x14ac:dyDescent="0.25">
      <c r="AJ1117"/>
      <c r="AK1117"/>
      <c r="AL1117"/>
      <c r="AM1117"/>
      <c r="AN1117"/>
      <c r="AO1117"/>
      <c r="AP1117"/>
      <c r="AQ1117"/>
      <c r="AR1117"/>
    </row>
    <row r="1118" spans="36:44" x14ac:dyDescent="0.25">
      <c r="AJ1118"/>
      <c r="AK1118"/>
      <c r="AL1118"/>
      <c r="AM1118"/>
      <c r="AN1118"/>
      <c r="AO1118"/>
      <c r="AP1118"/>
      <c r="AQ1118"/>
      <c r="AR1118"/>
    </row>
    <row r="1119" spans="36:44" x14ac:dyDescent="0.25">
      <c r="AJ1119"/>
      <c r="AK1119"/>
      <c r="AL1119"/>
      <c r="AM1119"/>
      <c r="AN1119"/>
      <c r="AO1119"/>
      <c r="AP1119"/>
      <c r="AQ1119"/>
      <c r="AR1119"/>
    </row>
    <row r="1120" spans="36:44" x14ac:dyDescent="0.25">
      <c r="AJ1120"/>
      <c r="AK1120"/>
      <c r="AL1120"/>
      <c r="AM1120"/>
      <c r="AN1120"/>
      <c r="AO1120"/>
      <c r="AP1120"/>
      <c r="AQ1120"/>
      <c r="AR1120"/>
    </row>
    <row r="1121" spans="36:44" x14ac:dyDescent="0.25">
      <c r="AJ1121"/>
      <c r="AK1121"/>
      <c r="AL1121"/>
      <c r="AM1121"/>
      <c r="AN1121"/>
      <c r="AO1121"/>
      <c r="AP1121"/>
      <c r="AQ1121"/>
      <c r="AR1121"/>
    </row>
    <row r="1122" spans="36:44" x14ac:dyDescent="0.25">
      <c r="AJ1122"/>
      <c r="AK1122"/>
      <c r="AL1122"/>
      <c r="AM1122"/>
      <c r="AN1122"/>
      <c r="AO1122"/>
      <c r="AP1122"/>
      <c r="AQ1122"/>
      <c r="AR1122"/>
    </row>
    <row r="1123" spans="36:44" x14ac:dyDescent="0.25">
      <c r="AJ1123"/>
      <c r="AK1123"/>
      <c r="AL1123"/>
      <c r="AM1123"/>
      <c r="AN1123"/>
      <c r="AO1123"/>
      <c r="AP1123"/>
      <c r="AQ1123"/>
      <c r="AR1123"/>
    </row>
    <row r="1124" spans="36:44" x14ac:dyDescent="0.25">
      <c r="AJ1124"/>
      <c r="AK1124"/>
      <c r="AL1124"/>
      <c r="AM1124"/>
      <c r="AN1124"/>
      <c r="AO1124"/>
      <c r="AP1124"/>
      <c r="AQ1124"/>
      <c r="AR1124"/>
    </row>
    <row r="1125" spans="36:44" x14ac:dyDescent="0.25">
      <c r="AJ1125"/>
      <c r="AK1125"/>
      <c r="AL1125"/>
      <c r="AM1125"/>
      <c r="AN1125"/>
      <c r="AO1125"/>
      <c r="AP1125"/>
      <c r="AQ1125"/>
      <c r="AR1125"/>
    </row>
    <row r="1126" spans="36:44" x14ac:dyDescent="0.25">
      <c r="AJ1126"/>
      <c r="AK1126"/>
      <c r="AL1126"/>
      <c r="AM1126"/>
      <c r="AN1126"/>
      <c r="AO1126"/>
      <c r="AP1126"/>
      <c r="AQ1126"/>
      <c r="AR1126"/>
    </row>
    <row r="1127" spans="36:44" x14ac:dyDescent="0.25">
      <c r="AJ1127"/>
      <c r="AK1127"/>
      <c r="AL1127"/>
      <c r="AM1127"/>
      <c r="AN1127"/>
      <c r="AO1127"/>
      <c r="AP1127"/>
      <c r="AQ1127"/>
      <c r="AR1127"/>
    </row>
    <row r="1128" spans="36:44" x14ac:dyDescent="0.25">
      <c r="AJ1128"/>
      <c r="AK1128"/>
      <c r="AL1128"/>
      <c r="AM1128"/>
      <c r="AN1128"/>
      <c r="AO1128"/>
      <c r="AP1128"/>
      <c r="AQ1128"/>
      <c r="AR1128"/>
    </row>
    <row r="1129" spans="36:44" x14ac:dyDescent="0.25">
      <c r="AJ1129"/>
      <c r="AK1129"/>
      <c r="AL1129"/>
      <c r="AM1129"/>
      <c r="AN1129"/>
      <c r="AO1129"/>
      <c r="AP1129"/>
      <c r="AQ1129"/>
      <c r="AR1129"/>
    </row>
    <row r="1130" spans="36:44" x14ac:dyDescent="0.25">
      <c r="AJ1130"/>
      <c r="AK1130"/>
      <c r="AL1130"/>
      <c r="AM1130"/>
      <c r="AN1130"/>
      <c r="AO1130"/>
      <c r="AP1130"/>
      <c r="AQ1130"/>
      <c r="AR1130"/>
    </row>
    <row r="1131" spans="36:44" x14ac:dyDescent="0.25">
      <c r="AJ1131"/>
      <c r="AK1131"/>
      <c r="AL1131"/>
      <c r="AM1131"/>
      <c r="AN1131"/>
      <c r="AO1131"/>
      <c r="AP1131"/>
      <c r="AQ1131"/>
      <c r="AR1131"/>
    </row>
    <row r="1132" spans="36:44" x14ac:dyDescent="0.25">
      <c r="AJ1132"/>
      <c r="AK1132"/>
      <c r="AL1132"/>
      <c r="AM1132"/>
      <c r="AN1132"/>
      <c r="AO1132"/>
      <c r="AP1132"/>
      <c r="AQ1132"/>
      <c r="AR1132"/>
    </row>
    <row r="1133" spans="36:44" x14ac:dyDescent="0.25">
      <c r="AJ1133"/>
      <c r="AK1133"/>
      <c r="AL1133"/>
      <c r="AM1133"/>
      <c r="AN1133"/>
      <c r="AO1133"/>
      <c r="AP1133"/>
      <c r="AQ1133"/>
      <c r="AR1133"/>
    </row>
    <row r="1134" spans="36:44" x14ac:dyDescent="0.25">
      <c r="AJ1134"/>
      <c r="AK1134"/>
      <c r="AL1134"/>
      <c r="AM1134"/>
      <c r="AN1134"/>
      <c r="AO1134"/>
      <c r="AP1134"/>
      <c r="AQ1134"/>
      <c r="AR1134"/>
    </row>
    <row r="1135" spans="36:44" x14ac:dyDescent="0.25">
      <c r="AJ1135"/>
      <c r="AK1135"/>
      <c r="AL1135"/>
      <c r="AM1135"/>
      <c r="AN1135"/>
      <c r="AO1135"/>
      <c r="AP1135"/>
      <c r="AQ1135"/>
      <c r="AR1135"/>
    </row>
    <row r="1136" spans="36:44" x14ac:dyDescent="0.25">
      <c r="AJ1136"/>
      <c r="AK1136"/>
      <c r="AL1136"/>
      <c r="AM1136"/>
      <c r="AN1136"/>
      <c r="AO1136"/>
      <c r="AP1136"/>
      <c r="AQ1136"/>
      <c r="AR1136"/>
    </row>
    <row r="1137" spans="36:44" x14ac:dyDescent="0.25">
      <c r="AJ1137"/>
      <c r="AK1137"/>
      <c r="AL1137"/>
      <c r="AM1137"/>
      <c r="AN1137"/>
      <c r="AO1137"/>
      <c r="AP1137"/>
      <c r="AQ1137"/>
      <c r="AR1137"/>
    </row>
    <row r="1138" spans="36:44" x14ac:dyDescent="0.25">
      <c r="AJ1138"/>
      <c r="AK1138"/>
      <c r="AL1138"/>
      <c r="AM1138"/>
      <c r="AN1138"/>
      <c r="AO1138"/>
      <c r="AP1138"/>
      <c r="AQ1138"/>
      <c r="AR1138"/>
    </row>
    <row r="1139" spans="36:44" x14ac:dyDescent="0.25">
      <c r="AJ1139"/>
      <c r="AK1139"/>
      <c r="AL1139"/>
      <c r="AM1139"/>
      <c r="AN1139"/>
      <c r="AO1139"/>
      <c r="AP1139"/>
      <c r="AQ1139"/>
      <c r="AR1139"/>
    </row>
    <row r="1140" spans="36:44" x14ac:dyDescent="0.25">
      <c r="AJ1140"/>
      <c r="AK1140"/>
      <c r="AL1140"/>
      <c r="AM1140"/>
      <c r="AN1140"/>
      <c r="AO1140"/>
      <c r="AP1140"/>
      <c r="AQ1140"/>
      <c r="AR1140"/>
    </row>
    <row r="1141" spans="36:44" x14ac:dyDescent="0.25">
      <c r="AJ1141"/>
      <c r="AK1141"/>
      <c r="AL1141"/>
      <c r="AM1141"/>
      <c r="AN1141"/>
      <c r="AO1141"/>
      <c r="AP1141"/>
      <c r="AQ1141"/>
      <c r="AR1141"/>
    </row>
    <row r="1142" spans="36:44" x14ac:dyDescent="0.25">
      <c r="AJ1142"/>
      <c r="AK1142"/>
      <c r="AL1142"/>
      <c r="AM1142"/>
      <c r="AN1142"/>
      <c r="AO1142"/>
      <c r="AP1142"/>
      <c r="AQ1142"/>
      <c r="AR1142"/>
    </row>
    <row r="1143" spans="36:44" x14ac:dyDescent="0.25">
      <c r="AJ1143"/>
      <c r="AK1143"/>
      <c r="AL1143"/>
      <c r="AM1143"/>
      <c r="AN1143"/>
      <c r="AO1143"/>
      <c r="AP1143"/>
      <c r="AQ1143"/>
      <c r="AR1143"/>
    </row>
    <row r="1144" spans="36:44" x14ac:dyDescent="0.25">
      <c r="AJ1144"/>
      <c r="AK1144"/>
      <c r="AL1144"/>
      <c r="AM1144"/>
      <c r="AN1144"/>
      <c r="AO1144"/>
      <c r="AP1144"/>
      <c r="AQ1144"/>
      <c r="AR1144"/>
    </row>
    <row r="1145" spans="36:44" x14ac:dyDescent="0.25">
      <c r="AJ1145"/>
      <c r="AK1145"/>
      <c r="AL1145"/>
      <c r="AM1145"/>
      <c r="AN1145"/>
      <c r="AO1145"/>
      <c r="AP1145"/>
      <c r="AQ1145"/>
      <c r="AR1145"/>
    </row>
    <row r="1146" spans="36:44" x14ac:dyDescent="0.25">
      <c r="AJ1146"/>
      <c r="AK1146"/>
      <c r="AL1146"/>
      <c r="AM1146"/>
      <c r="AN1146"/>
      <c r="AO1146"/>
      <c r="AP1146"/>
      <c r="AQ1146"/>
      <c r="AR1146"/>
    </row>
    <row r="1147" spans="36:44" x14ac:dyDescent="0.25">
      <c r="AJ1147"/>
      <c r="AK1147"/>
      <c r="AL1147"/>
      <c r="AM1147"/>
      <c r="AN1147"/>
      <c r="AO1147"/>
      <c r="AP1147"/>
      <c r="AQ1147"/>
      <c r="AR1147"/>
    </row>
    <row r="1148" spans="36:44" x14ac:dyDescent="0.25">
      <c r="AJ1148"/>
      <c r="AK1148"/>
      <c r="AL1148"/>
      <c r="AM1148"/>
      <c r="AN1148"/>
      <c r="AO1148"/>
      <c r="AP1148"/>
      <c r="AQ1148"/>
      <c r="AR1148"/>
    </row>
    <row r="1149" spans="36:44" x14ac:dyDescent="0.25">
      <c r="AJ1149"/>
      <c r="AK1149"/>
      <c r="AL1149"/>
      <c r="AM1149"/>
      <c r="AN1149"/>
      <c r="AO1149"/>
      <c r="AP1149"/>
      <c r="AQ1149"/>
      <c r="AR1149"/>
    </row>
    <row r="1150" spans="36:44" x14ac:dyDescent="0.25">
      <c r="AJ1150"/>
      <c r="AK1150"/>
      <c r="AL1150"/>
      <c r="AM1150"/>
      <c r="AN1150"/>
      <c r="AO1150"/>
      <c r="AP1150"/>
      <c r="AQ1150"/>
      <c r="AR1150"/>
    </row>
    <row r="1151" spans="36:44" x14ac:dyDescent="0.25">
      <c r="AJ1151"/>
      <c r="AK1151"/>
      <c r="AL1151"/>
      <c r="AM1151"/>
      <c r="AN1151"/>
      <c r="AO1151"/>
      <c r="AP1151"/>
      <c r="AQ1151"/>
      <c r="AR1151"/>
    </row>
    <row r="1152" spans="36:44" x14ac:dyDescent="0.25">
      <c r="AJ1152"/>
      <c r="AK1152"/>
      <c r="AL1152"/>
      <c r="AM1152"/>
      <c r="AN1152"/>
      <c r="AO1152"/>
      <c r="AP1152"/>
      <c r="AQ1152"/>
      <c r="AR1152"/>
    </row>
    <row r="1153" spans="36:44" x14ac:dyDescent="0.25">
      <c r="AJ1153"/>
      <c r="AK1153"/>
      <c r="AL1153"/>
      <c r="AM1153"/>
      <c r="AN1153"/>
      <c r="AO1153"/>
      <c r="AP1153"/>
      <c r="AQ1153"/>
      <c r="AR1153"/>
    </row>
    <row r="1154" spans="36:44" x14ac:dyDescent="0.25">
      <c r="AJ1154"/>
      <c r="AK1154"/>
      <c r="AL1154"/>
      <c r="AM1154"/>
      <c r="AN1154"/>
      <c r="AO1154"/>
      <c r="AP1154"/>
      <c r="AQ1154"/>
      <c r="AR1154"/>
    </row>
    <row r="1155" spans="36:44" x14ac:dyDescent="0.25">
      <c r="AJ1155"/>
      <c r="AK1155"/>
      <c r="AL1155"/>
      <c r="AM1155"/>
      <c r="AN1155"/>
      <c r="AO1155"/>
      <c r="AP1155"/>
      <c r="AQ1155"/>
      <c r="AR1155"/>
    </row>
    <row r="1156" spans="36:44" x14ac:dyDescent="0.25">
      <c r="AJ1156"/>
      <c r="AK1156"/>
      <c r="AL1156"/>
      <c r="AM1156"/>
      <c r="AN1156"/>
      <c r="AO1156"/>
      <c r="AP1156"/>
      <c r="AQ1156"/>
      <c r="AR1156"/>
    </row>
    <row r="1157" spans="36:44" x14ac:dyDescent="0.25">
      <c r="AJ1157"/>
      <c r="AK1157"/>
      <c r="AL1157"/>
      <c r="AM1157"/>
      <c r="AN1157"/>
      <c r="AO1157"/>
      <c r="AP1157"/>
      <c r="AQ1157"/>
      <c r="AR1157"/>
    </row>
    <row r="1158" spans="36:44" x14ac:dyDescent="0.25">
      <c r="AJ1158"/>
      <c r="AK1158"/>
      <c r="AL1158"/>
      <c r="AM1158"/>
      <c r="AN1158"/>
      <c r="AO1158"/>
      <c r="AP1158"/>
      <c r="AQ1158"/>
      <c r="AR1158"/>
    </row>
    <row r="1159" spans="36:44" x14ac:dyDescent="0.25">
      <c r="AJ1159"/>
      <c r="AK1159"/>
      <c r="AL1159"/>
      <c r="AM1159"/>
      <c r="AN1159"/>
      <c r="AO1159"/>
      <c r="AP1159"/>
      <c r="AQ1159"/>
      <c r="AR1159"/>
    </row>
    <row r="1160" spans="36:44" x14ac:dyDescent="0.25">
      <c r="AJ1160"/>
      <c r="AK1160"/>
      <c r="AL1160"/>
      <c r="AM1160"/>
      <c r="AN1160"/>
      <c r="AO1160"/>
      <c r="AP1160"/>
      <c r="AQ1160"/>
      <c r="AR1160"/>
    </row>
    <row r="1161" spans="36:44" x14ac:dyDescent="0.25">
      <c r="AJ1161"/>
      <c r="AK1161"/>
      <c r="AL1161"/>
      <c r="AM1161"/>
      <c r="AN1161"/>
      <c r="AO1161"/>
      <c r="AP1161"/>
      <c r="AQ1161"/>
      <c r="AR1161"/>
    </row>
    <row r="1162" spans="36:44" x14ac:dyDescent="0.25">
      <c r="AJ1162"/>
      <c r="AK1162"/>
      <c r="AL1162"/>
      <c r="AM1162"/>
      <c r="AN1162"/>
      <c r="AO1162"/>
      <c r="AP1162"/>
      <c r="AQ1162"/>
      <c r="AR1162"/>
    </row>
    <row r="1163" spans="36:44" x14ac:dyDescent="0.25">
      <c r="AJ1163"/>
      <c r="AK1163"/>
      <c r="AL1163"/>
      <c r="AM1163"/>
      <c r="AN1163"/>
      <c r="AO1163"/>
      <c r="AP1163"/>
      <c r="AQ1163"/>
      <c r="AR1163"/>
    </row>
    <row r="1164" spans="36:44" x14ac:dyDescent="0.25">
      <c r="AJ1164"/>
      <c r="AK1164"/>
      <c r="AL1164"/>
      <c r="AM1164"/>
      <c r="AN1164"/>
      <c r="AO1164"/>
      <c r="AP1164"/>
      <c r="AQ1164"/>
      <c r="AR1164"/>
    </row>
    <row r="1165" spans="36:44" x14ac:dyDescent="0.25">
      <c r="AJ1165"/>
      <c r="AK1165"/>
      <c r="AL1165"/>
      <c r="AM1165"/>
      <c r="AN1165"/>
      <c r="AO1165"/>
      <c r="AP1165"/>
      <c r="AQ1165"/>
      <c r="AR1165"/>
    </row>
    <row r="1166" spans="36:44" x14ac:dyDescent="0.25">
      <c r="AJ1166"/>
      <c r="AK1166"/>
      <c r="AL1166"/>
      <c r="AM1166"/>
      <c r="AN1166"/>
      <c r="AO1166"/>
      <c r="AP1166"/>
      <c r="AQ1166"/>
      <c r="AR1166"/>
    </row>
    <row r="1167" spans="36:44" x14ac:dyDescent="0.25">
      <c r="AJ1167"/>
      <c r="AK1167"/>
      <c r="AL1167"/>
      <c r="AM1167"/>
      <c r="AN1167"/>
      <c r="AO1167"/>
      <c r="AP1167"/>
      <c r="AQ1167"/>
      <c r="AR1167"/>
    </row>
    <row r="1168" spans="36:44" x14ac:dyDescent="0.25">
      <c r="AJ1168"/>
      <c r="AK1168"/>
      <c r="AL1168"/>
      <c r="AM1168"/>
      <c r="AN1168"/>
      <c r="AO1168"/>
      <c r="AP1168"/>
      <c r="AQ1168"/>
      <c r="AR1168"/>
    </row>
    <row r="1169" spans="36:44" x14ac:dyDescent="0.25">
      <c r="AJ1169"/>
      <c r="AK1169"/>
      <c r="AL1169"/>
      <c r="AM1169"/>
      <c r="AN1169"/>
      <c r="AO1169"/>
      <c r="AP1169"/>
      <c r="AQ1169"/>
      <c r="AR1169"/>
    </row>
    <row r="1170" spans="36:44" x14ac:dyDescent="0.25">
      <c r="AJ1170"/>
      <c r="AK1170"/>
      <c r="AL1170"/>
      <c r="AM1170"/>
      <c r="AN1170"/>
      <c r="AO1170"/>
      <c r="AP1170"/>
      <c r="AQ1170"/>
      <c r="AR1170"/>
    </row>
    <row r="1171" spans="36:44" x14ac:dyDescent="0.25">
      <c r="AJ1171"/>
      <c r="AK1171"/>
      <c r="AL1171"/>
      <c r="AM1171"/>
      <c r="AN1171"/>
      <c r="AO1171"/>
      <c r="AP1171"/>
      <c r="AQ1171"/>
      <c r="AR1171"/>
    </row>
    <row r="1172" spans="36:44" x14ac:dyDescent="0.25">
      <c r="AJ1172"/>
      <c r="AK1172"/>
      <c r="AL1172"/>
      <c r="AM1172"/>
      <c r="AN1172"/>
      <c r="AO1172"/>
      <c r="AP1172"/>
      <c r="AQ1172"/>
      <c r="AR1172"/>
    </row>
    <row r="1173" spans="36:44" x14ac:dyDescent="0.25">
      <c r="AJ1173"/>
      <c r="AK1173"/>
      <c r="AL1173"/>
      <c r="AM1173"/>
      <c r="AN1173"/>
      <c r="AO1173"/>
      <c r="AP1173"/>
      <c r="AQ1173"/>
      <c r="AR1173"/>
    </row>
    <row r="1174" spans="36:44" x14ac:dyDescent="0.25">
      <c r="AJ1174"/>
      <c r="AK1174"/>
      <c r="AL1174"/>
      <c r="AM1174"/>
      <c r="AN1174"/>
      <c r="AO1174"/>
      <c r="AP1174"/>
      <c r="AQ1174"/>
      <c r="AR1174"/>
    </row>
    <row r="1175" spans="36:44" x14ac:dyDescent="0.25">
      <c r="AJ1175"/>
      <c r="AK1175"/>
      <c r="AL1175"/>
      <c r="AM1175"/>
      <c r="AN1175"/>
      <c r="AO1175"/>
      <c r="AP1175"/>
      <c r="AQ1175"/>
      <c r="AR1175"/>
    </row>
    <row r="1176" spans="36:44" x14ac:dyDescent="0.25">
      <c r="AJ1176"/>
      <c r="AK1176"/>
      <c r="AL1176"/>
      <c r="AM1176"/>
      <c r="AN1176"/>
      <c r="AO1176"/>
      <c r="AP1176"/>
      <c r="AQ1176"/>
      <c r="AR1176"/>
    </row>
    <row r="1177" spans="36:44" x14ac:dyDescent="0.25">
      <c r="AJ1177"/>
      <c r="AK1177"/>
      <c r="AL1177"/>
      <c r="AM1177"/>
      <c r="AN1177"/>
      <c r="AO1177"/>
      <c r="AP1177"/>
      <c r="AQ1177"/>
      <c r="AR1177"/>
    </row>
    <row r="1178" spans="36:44" x14ac:dyDescent="0.25">
      <c r="AJ1178"/>
      <c r="AK1178"/>
      <c r="AL1178"/>
      <c r="AM1178"/>
      <c r="AN1178"/>
      <c r="AO1178"/>
      <c r="AP1178"/>
      <c r="AQ1178"/>
      <c r="AR1178"/>
    </row>
    <row r="1179" spans="36:44" x14ac:dyDescent="0.25">
      <c r="AJ1179"/>
      <c r="AK1179"/>
      <c r="AL1179"/>
      <c r="AM1179"/>
      <c r="AN1179"/>
      <c r="AO1179"/>
      <c r="AP1179"/>
      <c r="AQ1179"/>
      <c r="AR1179"/>
    </row>
    <row r="1180" spans="36:44" x14ac:dyDescent="0.25">
      <c r="AJ1180"/>
      <c r="AK1180"/>
      <c r="AL1180"/>
      <c r="AM1180"/>
      <c r="AN1180"/>
      <c r="AO1180"/>
      <c r="AP1180"/>
      <c r="AQ1180"/>
      <c r="AR1180"/>
    </row>
    <row r="1181" spans="36:44" x14ac:dyDescent="0.25">
      <c r="AJ1181"/>
      <c r="AK1181"/>
      <c r="AL1181"/>
      <c r="AM1181"/>
      <c r="AN1181"/>
      <c r="AO1181"/>
      <c r="AP1181"/>
      <c r="AQ1181"/>
      <c r="AR1181"/>
    </row>
    <row r="1182" spans="36:44" x14ac:dyDescent="0.25">
      <c r="AJ1182"/>
      <c r="AK1182"/>
      <c r="AL1182"/>
      <c r="AM1182"/>
      <c r="AN1182"/>
      <c r="AO1182"/>
      <c r="AP1182"/>
      <c r="AQ1182"/>
      <c r="AR1182"/>
    </row>
    <row r="1183" spans="36:44" x14ac:dyDescent="0.25">
      <c r="AJ1183"/>
      <c r="AK1183"/>
      <c r="AL1183"/>
      <c r="AM1183"/>
      <c r="AN1183"/>
      <c r="AO1183"/>
      <c r="AP1183"/>
      <c r="AQ1183"/>
      <c r="AR1183"/>
    </row>
    <row r="1184" spans="36:44" x14ac:dyDescent="0.25">
      <c r="AJ1184"/>
      <c r="AK1184"/>
      <c r="AL1184"/>
      <c r="AM1184"/>
      <c r="AN1184"/>
      <c r="AO1184"/>
      <c r="AP1184"/>
      <c r="AQ1184"/>
      <c r="AR1184"/>
    </row>
  </sheetData>
  <dataValidations count="1">
    <dataValidation type="list" allowBlank="1" showInputMessage="1" showErrorMessage="1" sqref="E7 J16:M16" xr:uid="{EAD0132F-0D5E-458B-A6E8-5C7295C5B95F}">
      <formula1>$L$4:$L$8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8461-6E19-4DF7-A4E0-4F1A5AE35F59}">
  <dimension ref="A2:F503"/>
  <sheetViews>
    <sheetView zoomScaleNormal="100" workbookViewId="0">
      <selection activeCell="Q22" sqref="Q22"/>
    </sheetView>
  </sheetViews>
  <sheetFormatPr defaultRowHeight="15" x14ac:dyDescent="0.25"/>
  <cols>
    <col min="1" max="1" width="8.85546875" style="15"/>
    <col min="2" max="2" width="8.85546875" style="17"/>
    <col min="3" max="3" width="13.28515625" style="21" customWidth="1"/>
    <col min="4" max="4" width="11.5703125" style="21" customWidth="1"/>
    <col min="5" max="5" width="14" style="21" customWidth="1"/>
    <col min="6" max="6" width="15.28515625" style="21" customWidth="1"/>
  </cols>
  <sheetData>
    <row r="2" spans="1:6" x14ac:dyDescent="0.25">
      <c r="B2" s="16" t="s">
        <v>31</v>
      </c>
      <c r="C2" s="20" t="s">
        <v>32</v>
      </c>
      <c r="D2" s="20" t="s">
        <v>33</v>
      </c>
      <c r="E2" s="20" t="s">
        <v>34</v>
      </c>
      <c r="F2" s="20" t="s">
        <v>35</v>
      </c>
    </row>
    <row r="3" spans="1:6" x14ac:dyDescent="0.25">
      <c r="A3" s="15">
        <v>0</v>
      </c>
      <c r="B3" s="17">
        <f>IF(A3&lt;='APR and payment'!$E$5,'Remaining debt'!A3,"")</f>
        <v>0</v>
      </c>
      <c r="F3" s="21">
        <f>'APR and payment'!E4</f>
        <v>4000000</v>
      </c>
    </row>
    <row r="4" spans="1:6" x14ac:dyDescent="0.25">
      <c r="A4" s="15">
        <v>1</v>
      </c>
      <c r="B4" s="17">
        <f>IF(A4&lt;='APR and payment'!$E$5,'Remaining debt'!A4,"")</f>
        <v>1</v>
      </c>
      <c r="C4" s="21">
        <f>IF(A4&lt;='APR and payment'!$E$5,'APR and payment'!$E$24,"")</f>
        <v>22461.231674784805</v>
      </c>
      <c r="D4" s="21">
        <f>C4-E4</f>
        <v>4461.2316747848054</v>
      </c>
      <c r="E4" s="21">
        <f>IF(A4&lt;='APR and payment'!$E$5,F3*'APR and payment'!$E$6/'APR and payment'!$L$9,"")</f>
        <v>18000</v>
      </c>
      <c r="F4" s="21">
        <f>IF(A4&lt;='APR and payment'!$E$5,F3-D4,"")</f>
        <v>3995538.7683252152</v>
      </c>
    </row>
    <row r="5" spans="1:6" x14ac:dyDescent="0.25">
      <c r="A5" s="15">
        <v>2</v>
      </c>
      <c r="B5" s="17">
        <f>IF(A5&lt;='APR and payment'!$E$5,'Remaining debt'!A5,"")</f>
        <v>2</v>
      </c>
      <c r="C5" s="21">
        <f>IF(A5&lt;='APR and payment'!$E$5,'APR and payment'!$E$24,"")</f>
        <v>22461.231674784805</v>
      </c>
      <c r="D5" s="21">
        <f>IF(A5&lt;='APR and payment'!$E$5,C5-E5,"")</f>
        <v>4481.3072173213368</v>
      </c>
      <c r="E5" s="21">
        <f>IF(A5&lt;='APR and payment'!$E$5,F4*'APR and payment'!$E$6/'APR and payment'!$L$9,"")</f>
        <v>17979.924457463469</v>
      </c>
      <c r="F5" s="21">
        <f>IF(A5&lt;='APR and payment'!$E$5,F4-D5,"")</f>
        <v>3991057.4611078938</v>
      </c>
    </row>
    <row r="6" spans="1:6" x14ac:dyDescent="0.25">
      <c r="A6" s="15">
        <v>3</v>
      </c>
      <c r="B6" s="17">
        <f>IF(A6&lt;='APR and payment'!$E$5,'Remaining debt'!A6,"")</f>
        <v>3</v>
      </c>
      <c r="C6" s="21">
        <f>IF(A6&lt;='APR and payment'!$E$5,'APR and payment'!$E$24,"")</f>
        <v>22461.231674784805</v>
      </c>
      <c r="D6" s="21">
        <f>IF(A6&lt;='APR and payment'!$E$5,C6-E6,"")</f>
        <v>4501.473099799281</v>
      </c>
      <c r="E6" s="21">
        <f>IF(A6&lt;='APR and payment'!$E$5,F5*'APR and payment'!$E$6/'APR and payment'!$L$9,"")</f>
        <v>17959.758574985524</v>
      </c>
      <c r="F6" s="21">
        <f>IF(A6&lt;='APR and payment'!$E$5,F5-D6,"")</f>
        <v>3986555.9880080945</v>
      </c>
    </row>
    <row r="7" spans="1:6" x14ac:dyDescent="0.25">
      <c r="A7" s="15">
        <v>4</v>
      </c>
      <c r="B7" s="17">
        <f>IF(A7&lt;='APR and payment'!$E$5,'Remaining debt'!A7,"")</f>
        <v>4</v>
      </c>
      <c r="C7" s="21">
        <f>IF(A7&lt;='APR and payment'!$E$5,'APR and payment'!$E$24,"")</f>
        <v>22461.231674784805</v>
      </c>
      <c r="D7" s="21">
        <f>IF(A7&lt;='APR and payment'!$E$5,C7-E7,"")</f>
        <v>4521.7297287483816</v>
      </c>
      <c r="E7" s="21">
        <f>IF(A7&lt;='APR and payment'!$E$5,F6*'APR and payment'!$E$6/'APR and payment'!$L$9,"")</f>
        <v>17939.501946036424</v>
      </c>
      <c r="F7" s="21">
        <f>IF(A7&lt;='APR and payment'!$E$5,F6-D7,"")</f>
        <v>3982034.2582793459</v>
      </c>
    </row>
    <row r="8" spans="1:6" x14ac:dyDescent="0.25">
      <c r="A8" s="15">
        <v>5</v>
      </c>
      <c r="B8" s="17">
        <f>IF(A8&lt;='APR and payment'!$E$5,'Remaining debt'!A8,"")</f>
        <v>5</v>
      </c>
      <c r="C8" s="21">
        <f>IF(A8&lt;='APR and payment'!$E$5,'APR and payment'!$E$24,"")</f>
        <v>22461.231674784805</v>
      </c>
      <c r="D8" s="21">
        <f>IF(A8&lt;='APR and payment'!$E$5,C8-E8,"")</f>
        <v>4542.0775125277505</v>
      </c>
      <c r="E8" s="21">
        <f>IF(A8&lt;='APR and payment'!$E$5,F7*'APR and payment'!$E$6/'APR and payment'!$L$9,"")</f>
        <v>17919.154162257055</v>
      </c>
      <c r="F8" s="21">
        <f>IF(A8&lt;='APR and payment'!$E$5,F7-D8,"")</f>
        <v>3977492.1807668181</v>
      </c>
    </row>
    <row r="9" spans="1:6" x14ac:dyDescent="0.25">
      <c r="A9" s="15">
        <v>6</v>
      </c>
      <c r="B9" s="17">
        <f>IF(A9&lt;='APR and payment'!$E$5,'Remaining debt'!A9,"")</f>
        <v>6</v>
      </c>
      <c r="C9" s="21">
        <f>IF(A9&lt;='APR and payment'!$E$5,'APR and payment'!$E$24,"")</f>
        <v>22461.231674784805</v>
      </c>
      <c r="D9" s="21">
        <f>IF(A9&lt;='APR and payment'!$E$5,C9-E9,"")</f>
        <v>4562.516861334123</v>
      </c>
      <c r="E9" s="21">
        <f>IF(A9&lt;='APR and payment'!$E$5,F8*'APR and payment'!$E$6/'APR and payment'!$L$9,"")</f>
        <v>17898.714813450682</v>
      </c>
      <c r="F9" s="21">
        <f>IF(A9&lt;='APR and payment'!$E$5,F8-D9,"")</f>
        <v>3972929.6639054841</v>
      </c>
    </row>
    <row r="10" spans="1:6" x14ac:dyDescent="0.25">
      <c r="A10" s="15">
        <v>7</v>
      </c>
      <c r="B10" s="17">
        <f>IF(A10&lt;='APR and payment'!$E$5,'Remaining debt'!A10,"")</f>
        <v>7</v>
      </c>
      <c r="C10" s="21">
        <f>IF(A10&lt;='APR and payment'!$E$5,'APR and payment'!$E$24,"")</f>
        <v>22461.231674784805</v>
      </c>
      <c r="D10" s="21">
        <f>IF(A10&lt;='APR and payment'!$E$5,C10-E10,"")</f>
        <v>4583.0481872101263</v>
      </c>
      <c r="E10" s="21">
        <f>IF(A10&lt;='APR and payment'!$E$5,F9*'APR and payment'!$E$6/'APR and payment'!$L$9,"")</f>
        <v>17878.183487574679</v>
      </c>
      <c r="F10" s="21">
        <f>IF(A10&lt;='APR and payment'!$E$5,F9-D10,"")</f>
        <v>3968346.6157182739</v>
      </c>
    </row>
    <row r="11" spans="1:6" x14ac:dyDescent="0.25">
      <c r="A11" s="15">
        <v>8</v>
      </c>
      <c r="B11" s="17">
        <f>IF(A11&lt;='APR and payment'!$E$5,'Remaining debt'!A11,"")</f>
        <v>8</v>
      </c>
      <c r="C11" s="21">
        <f>IF(A11&lt;='APR and payment'!$E$5,'APR and payment'!$E$24,"")</f>
        <v>22461.231674784805</v>
      </c>
      <c r="D11" s="21">
        <f>IF(A11&lt;='APR and payment'!$E$5,C11-E11,"")</f>
        <v>4603.6719040525713</v>
      </c>
      <c r="E11" s="21">
        <f>IF(A11&lt;='APR and payment'!$E$5,F10*'APR and payment'!$E$6/'APR and payment'!$L$9,"")</f>
        <v>17857.559770732234</v>
      </c>
      <c r="F11" s="21">
        <f>IF(A11&lt;='APR and payment'!$E$5,F10-D11,"")</f>
        <v>3963742.9438142213</v>
      </c>
    </row>
    <row r="12" spans="1:6" x14ac:dyDescent="0.25">
      <c r="A12" s="15">
        <v>9</v>
      </c>
      <c r="B12" s="17">
        <f>IF(A12&lt;='APR and payment'!$E$5,'Remaining debt'!A12,"")</f>
        <v>9</v>
      </c>
      <c r="C12" s="21">
        <f>IF(A12&lt;='APR and payment'!$E$5,'APR and payment'!$E$24,"")</f>
        <v>22461.231674784805</v>
      </c>
      <c r="D12" s="21">
        <f>IF(A12&lt;='APR and payment'!$E$5,C12-E12,"")</f>
        <v>4624.3884276208119</v>
      </c>
      <c r="E12" s="21">
        <f>IF(A12&lt;='APR and payment'!$E$5,F11*'APR and payment'!$E$6/'APR and payment'!$L$9,"")</f>
        <v>17836.843247163994</v>
      </c>
      <c r="F12" s="21">
        <f>IF(A12&lt;='APR and payment'!$E$5,F11-D12,"")</f>
        <v>3959118.5553866006</v>
      </c>
    </row>
    <row r="13" spans="1:6" x14ac:dyDescent="0.25">
      <c r="A13" s="15">
        <v>10</v>
      </c>
      <c r="B13" s="17">
        <f>IF(A13&lt;='APR and payment'!$E$5,'Remaining debt'!A13,"")</f>
        <v>10</v>
      </c>
      <c r="C13" s="21">
        <f>IF(A13&lt;='APR and payment'!$E$5,'APR and payment'!$E$24,"")</f>
        <v>22461.231674784805</v>
      </c>
      <c r="D13" s="21">
        <f>IF(A13&lt;='APR and payment'!$E$5,C13-E13,"")</f>
        <v>4645.1981755451052</v>
      </c>
      <c r="E13" s="21">
        <f>IF(A13&lt;='APR and payment'!$E$5,F12*'APR and payment'!$E$6/'APR and payment'!$L$9,"")</f>
        <v>17816.0334992397</v>
      </c>
      <c r="F13" s="21">
        <f>IF(A13&lt;='APR and payment'!$E$5,F12-D13,"")</f>
        <v>3954473.3572110552</v>
      </c>
    </row>
    <row r="14" spans="1:6" x14ac:dyDescent="0.25">
      <c r="A14" s="15">
        <v>11</v>
      </c>
      <c r="B14" s="17">
        <f>IF(A14&lt;='APR and payment'!$E$5,'Remaining debt'!A14,"")</f>
        <v>11</v>
      </c>
      <c r="C14" s="21">
        <f>IF(A14&lt;='APR and payment'!$E$5,'APR and payment'!$E$24,"")</f>
        <v>22461.231674784805</v>
      </c>
      <c r="D14" s="21">
        <f>IF(A14&lt;='APR and payment'!$E$5,C14-E14,"")</f>
        <v>4666.1015673350557</v>
      </c>
      <c r="E14" s="21">
        <f>IF(A14&lt;='APR and payment'!$E$5,F13*'APR and payment'!$E$6/'APR and payment'!$L$9,"")</f>
        <v>17795.13010744975</v>
      </c>
      <c r="F14" s="21">
        <f>IF(A14&lt;='APR and payment'!$E$5,F13-D14,"")</f>
        <v>3949807.2556437203</v>
      </c>
    </row>
    <row r="15" spans="1:6" x14ac:dyDescent="0.25">
      <c r="A15" s="15">
        <v>12</v>
      </c>
      <c r="B15" s="17">
        <f>IF(A15&lt;='APR and payment'!$E$5,'Remaining debt'!A15,"")</f>
        <v>12</v>
      </c>
      <c r="C15" s="21">
        <f>IF(A15&lt;='APR and payment'!$E$5,'APR and payment'!$E$24,"")</f>
        <v>22461.231674784805</v>
      </c>
      <c r="D15" s="21">
        <f>IF(A15&lt;='APR and payment'!$E$5,C15-E15,"")</f>
        <v>4687.099024388066</v>
      </c>
      <c r="E15" s="21">
        <f>IF(A15&lt;='APR and payment'!$E$5,F14*'APR and payment'!$E$6/'APR and payment'!$L$9,"")</f>
        <v>17774.132650396739</v>
      </c>
      <c r="F15" s="21">
        <f>IF(A15&lt;='APR and payment'!$E$5,F14-D15,"")</f>
        <v>3945120.1566193323</v>
      </c>
    </row>
    <row r="16" spans="1:6" x14ac:dyDescent="0.25">
      <c r="A16" s="15">
        <v>13</v>
      </c>
      <c r="B16" s="17">
        <f>IF(A16&lt;='APR and payment'!$E$5,'Remaining debt'!A16,"")</f>
        <v>13</v>
      </c>
      <c r="C16" s="21">
        <f>IF(A16&lt;='APR and payment'!$E$5,'APR and payment'!$E$24,"")</f>
        <v>22461.231674784805</v>
      </c>
      <c r="D16" s="21">
        <f>IF(A16&lt;='APR and payment'!$E$5,C16-E16,"")</f>
        <v>4708.1909699978096</v>
      </c>
      <c r="E16" s="21">
        <f>IF(A16&lt;='APR and payment'!$E$5,F15*'APR and payment'!$E$6/'APR and payment'!$L$9,"")</f>
        <v>17753.040704786996</v>
      </c>
      <c r="F16" s="21">
        <f>IF(A16&lt;='APR and payment'!$E$5,F15-D16,"")</f>
        <v>3940411.9656493342</v>
      </c>
    </row>
    <row r="17" spans="1:6" x14ac:dyDescent="0.25">
      <c r="A17" s="15">
        <v>14</v>
      </c>
      <c r="B17" s="17">
        <f>IF(A17&lt;='APR and payment'!$E$5,'Remaining debt'!A17,"")</f>
        <v>14</v>
      </c>
      <c r="C17" s="21">
        <f>IF(A17&lt;='APR and payment'!$E$5,'APR and payment'!$E$24,"")</f>
        <v>22461.231674784805</v>
      </c>
      <c r="D17" s="21">
        <f>IF(A17&lt;='APR and payment'!$E$5,C17-E17,"")</f>
        <v>4729.377829362802</v>
      </c>
      <c r="E17" s="21">
        <f>IF(A17&lt;='APR and payment'!$E$5,F16*'APR and payment'!$E$6/'APR and payment'!$L$9,"")</f>
        <v>17731.853845422003</v>
      </c>
      <c r="F17" s="21">
        <f>IF(A17&lt;='APR and payment'!$E$5,F16-D17,"")</f>
        <v>3935682.5878199716</v>
      </c>
    </row>
    <row r="18" spans="1:6" x14ac:dyDescent="0.25">
      <c r="A18" s="15">
        <v>15</v>
      </c>
      <c r="B18" s="17">
        <f>IF(A18&lt;='APR and payment'!$E$5,'Remaining debt'!A18,"")</f>
        <v>15</v>
      </c>
      <c r="C18" s="21">
        <f>IF(A18&lt;='APR and payment'!$E$5,'APR and payment'!$E$24,"")</f>
        <v>22461.231674784805</v>
      </c>
      <c r="D18" s="21">
        <f>IF(A18&lt;='APR and payment'!$E$5,C18-E18,"")</f>
        <v>4750.660029594932</v>
      </c>
      <c r="E18" s="21">
        <f>IF(A18&lt;='APR and payment'!$E$5,F17*'APR and payment'!$E$6/'APR and payment'!$L$9,"")</f>
        <v>17710.571645189873</v>
      </c>
      <c r="F18" s="21">
        <f>IF(A18&lt;='APR and payment'!$E$5,F17-D18,"")</f>
        <v>3930931.9277903768</v>
      </c>
    </row>
    <row r="19" spans="1:6" x14ac:dyDescent="0.25">
      <c r="A19" s="15">
        <v>16</v>
      </c>
      <c r="B19" s="17">
        <f>IF(A19&lt;='APR and payment'!$E$5,'Remaining debt'!A19,"")</f>
        <v>16</v>
      </c>
      <c r="C19" s="21">
        <f>IF(A19&lt;='APR and payment'!$E$5,'APR and payment'!$E$24,"")</f>
        <v>22461.231674784805</v>
      </c>
      <c r="D19" s="21">
        <f>IF(A19&lt;='APR and payment'!$E$5,C19-E19,"")</f>
        <v>4772.0379997281088</v>
      </c>
      <c r="E19" s="21">
        <f>IF(A19&lt;='APR and payment'!$E$5,F18*'APR and payment'!$E$6/'APR and payment'!$L$9,"")</f>
        <v>17689.193675056697</v>
      </c>
      <c r="F19" s="21">
        <f>IF(A19&lt;='APR and payment'!$E$5,F18-D19,"")</f>
        <v>3926159.8897906486</v>
      </c>
    </row>
    <row r="20" spans="1:6" x14ac:dyDescent="0.25">
      <c r="A20" s="15">
        <v>17</v>
      </c>
      <c r="B20" s="17">
        <f>IF(A20&lt;='APR and payment'!$E$5,'Remaining debt'!A20,"")</f>
        <v>17</v>
      </c>
      <c r="C20" s="21">
        <f>IF(A20&lt;='APR and payment'!$E$5,'APR and payment'!$E$24,"")</f>
        <v>22461.231674784805</v>
      </c>
      <c r="D20" s="21">
        <f>IF(A20&lt;='APR and payment'!$E$5,C20-E20,"")</f>
        <v>4793.5121707268845</v>
      </c>
      <c r="E20" s="21">
        <f>IF(A20&lt;='APR and payment'!$E$5,F19*'APR and payment'!$E$6/'APR and payment'!$L$9,"")</f>
        <v>17667.719504057921</v>
      </c>
      <c r="F20" s="21">
        <f>IF(A20&lt;='APR and payment'!$E$5,F19-D20,"")</f>
        <v>3921366.3776199217</v>
      </c>
    </row>
    <row r="21" spans="1:6" x14ac:dyDescent="0.25">
      <c r="A21" s="15">
        <v>18</v>
      </c>
      <c r="B21" s="17">
        <f>IF(A21&lt;='APR and payment'!$E$5,'Remaining debt'!A21,"")</f>
        <v>18</v>
      </c>
      <c r="C21" s="21">
        <f>IF(A21&lt;='APR and payment'!$E$5,'APR and payment'!$E$24,"")</f>
        <v>22461.231674784805</v>
      </c>
      <c r="D21" s="21">
        <f>IF(A21&lt;='APR and payment'!$E$5,C21-E21,"")</f>
        <v>4815.0829754951556</v>
      </c>
      <c r="E21" s="21">
        <f>IF(A21&lt;='APR and payment'!$E$5,F20*'APR and payment'!$E$6/'APR and payment'!$L$9,"")</f>
        <v>17646.14869928965</v>
      </c>
      <c r="F21" s="21">
        <f>IF(A21&lt;='APR and payment'!$E$5,F20-D21,"")</f>
        <v>3916551.2946444266</v>
      </c>
    </row>
    <row r="22" spans="1:6" x14ac:dyDescent="0.25">
      <c r="A22" s="15">
        <v>19</v>
      </c>
      <c r="B22" s="17">
        <f>IF(A22&lt;='APR and payment'!$E$5,'Remaining debt'!A22,"")</f>
        <v>19</v>
      </c>
      <c r="C22" s="21">
        <f>IF(A22&lt;='APR and payment'!$E$5,'APR and payment'!$E$24,"")</f>
        <v>22461.231674784805</v>
      </c>
      <c r="D22" s="21">
        <f>IF(A22&lt;='APR and payment'!$E$5,C22-E22,"")</f>
        <v>4836.7508488848871</v>
      </c>
      <c r="E22" s="21">
        <f>IF(A22&lt;='APR and payment'!$E$5,F21*'APR and payment'!$E$6/'APR and payment'!$L$9,"")</f>
        <v>17624.480825899918</v>
      </c>
      <c r="F22" s="21">
        <f>IF(A22&lt;='APR and payment'!$E$5,F21-D22,"")</f>
        <v>3911714.5437955419</v>
      </c>
    </row>
    <row r="23" spans="1:6" x14ac:dyDescent="0.25">
      <c r="A23" s="15">
        <v>20</v>
      </c>
      <c r="B23" s="17">
        <f>IF(A23&lt;='APR and payment'!$E$5,'Remaining debt'!A23,"")</f>
        <v>20</v>
      </c>
      <c r="C23" s="21">
        <f>IF(A23&lt;='APR and payment'!$E$5,'APR and payment'!$E$24,"")</f>
        <v>22461.231674784805</v>
      </c>
      <c r="D23" s="21">
        <f>IF(A23&lt;='APR and payment'!$E$5,C23-E23,"")</f>
        <v>4858.5162277048657</v>
      </c>
      <c r="E23" s="21">
        <f>IF(A23&lt;='APR and payment'!$E$5,F22*'APR and payment'!$E$6/'APR and payment'!$L$9,"")</f>
        <v>17602.71544707994</v>
      </c>
      <c r="F23" s="21">
        <f>IF(A23&lt;='APR and payment'!$E$5,F22-D23,"")</f>
        <v>3906856.0275678369</v>
      </c>
    </row>
    <row r="24" spans="1:6" x14ac:dyDescent="0.25">
      <c r="A24" s="15">
        <v>21</v>
      </c>
      <c r="B24" s="17">
        <f>IF(A24&lt;='APR and payment'!$E$5,'Remaining debt'!A24,"")</f>
        <v>21</v>
      </c>
      <c r="C24" s="21">
        <f>IF(A24&lt;='APR and payment'!$E$5,'APR and payment'!$E$24,"")</f>
        <v>22461.231674784805</v>
      </c>
      <c r="D24" s="21">
        <f>IF(A24&lt;='APR and payment'!$E$5,C24-E24,"")</f>
        <v>4880.3795507295399</v>
      </c>
      <c r="E24" s="21">
        <f>IF(A24&lt;='APR and payment'!$E$5,F23*'APR and payment'!$E$6/'APR and payment'!$L$9,"")</f>
        <v>17580.852124055265</v>
      </c>
      <c r="F24" s="21">
        <f>IF(A24&lt;='APR and payment'!$E$5,F23-D24,"")</f>
        <v>3901975.6480171075</v>
      </c>
    </row>
    <row r="25" spans="1:6" x14ac:dyDescent="0.25">
      <c r="A25" s="15">
        <v>22</v>
      </c>
      <c r="B25" s="17">
        <f>IF(A25&lt;='APR and payment'!$E$5,'Remaining debt'!A25,"")</f>
        <v>22</v>
      </c>
      <c r="C25" s="21">
        <f>IF(A25&lt;='APR and payment'!$E$5,'APR and payment'!$E$24,"")</f>
        <v>22461.231674784805</v>
      </c>
      <c r="D25" s="21">
        <f>IF(A25&lt;='APR and payment'!$E$5,C25-E25,"")</f>
        <v>4902.3412587078201</v>
      </c>
      <c r="E25" s="21">
        <f>IF(A25&lt;='APR and payment'!$E$5,F24*'APR and payment'!$E$6/'APR and payment'!$L$9,"")</f>
        <v>17558.890416076985</v>
      </c>
      <c r="F25" s="21">
        <f>IF(A25&lt;='APR and payment'!$E$5,F24-D25,"")</f>
        <v>3897073.3067583996</v>
      </c>
    </row>
    <row r="26" spans="1:6" x14ac:dyDescent="0.25">
      <c r="A26" s="15">
        <v>23</v>
      </c>
      <c r="B26" s="17">
        <f>IF(A26&lt;='APR and payment'!$E$5,'Remaining debt'!A26,"")</f>
        <v>23</v>
      </c>
      <c r="C26" s="21">
        <f>IF(A26&lt;='APR and payment'!$E$5,'APR and payment'!$E$24,"")</f>
        <v>22461.231674784805</v>
      </c>
      <c r="D26" s="21">
        <f>IF(A26&lt;='APR and payment'!$E$5,C26-E26,"")</f>
        <v>4924.4017943720064</v>
      </c>
      <c r="E26" s="21">
        <f>IF(A26&lt;='APR and payment'!$E$5,F25*'APR and payment'!$E$6/'APR and payment'!$L$9,"")</f>
        <v>17536.829880412799</v>
      </c>
      <c r="F26" s="21">
        <f>IF(A26&lt;='APR and payment'!$E$5,F25-D26,"")</f>
        <v>3892148.9049640275</v>
      </c>
    </row>
    <row r="27" spans="1:6" x14ac:dyDescent="0.25">
      <c r="A27" s="15">
        <v>24</v>
      </c>
      <c r="B27" s="17">
        <f>IF(A27&lt;='APR and payment'!$E$5,'Remaining debt'!A27,"")</f>
        <v>24</v>
      </c>
      <c r="C27" s="21">
        <f>IF(A27&lt;='APR and payment'!$E$5,'APR and payment'!$E$24,"")</f>
        <v>22461.231674784805</v>
      </c>
      <c r="D27" s="21">
        <f>IF(A27&lt;='APR and payment'!$E$5,C27-E27,"")</f>
        <v>4946.5616024466799</v>
      </c>
      <c r="E27" s="21">
        <f>IF(A27&lt;='APR and payment'!$E$5,F26*'APR and payment'!$E$6/'APR and payment'!$L$9,"")</f>
        <v>17514.670072338125</v>
      </c>
      <c r="F27" s="21">
        <f>IF(A27&lt;='APR and payment'!$E$5,F26-D27,"")</f>
        <v>3887202.3433615807</v>
      </c>
    </row>
    <row r="28" spans="1:6" x14ac:dyDescent="0.25">
      <c r="A28" s="15">
        <v>25</v>
      </c>
      <c r="B28" s="17">
        <f>IF(A28&lt;='APR and payment'!$E$5,'Remaining debt'!A28,"")</f>
        <v>25</v>
      </c>
      <c r="C28" s="21">
        <f>IF(A28&lt;='APR and payment'!$E$5,'APR and payment'!$E$24,"")</f>
        <v>22461.231674784805</v>
      </c>
      <c r="D28" s="21">
        <f>IF(A28&lt;='APR and payment'!$E$5,C28-E28,"")</f>
        <v>4968.8211296576919</v>
      </c>
      <c r="E28" s="21">
        <f>IF(A28&lt;='APR and payment'!$E$5,F27*'APR and payment'!$E$6/'APR and payment'!$L$9,"")</f>
        <v>17492.410545127113</v>
      </c>
      <c r="F28" s="21">
        <f>IF(A28&lt;='APR and payment'!$E$5,F27-D28,"")</f>
        <v>3882233.522231923</v>
      </c>
    </row>
    <row r="29" spans="1:6" x14ac:dyDescent="0.25">
      <c r="A29" s="15">
        <v>26</v>
      </c>
      <c r="B29" s="17">
        <f>IF(A29&lt;='APR and payment'!$E$5,'Remaining debt'!A29,"")</f>
        <v>26</v>
      </c>
      <c r="C29" s="21">
        <f>IF(A29&lt;='APR and payment'!$E$5,'APR and payment'!$E$24,"")</f>
        <v>22461.231674784805</v>
      </c>
      <c r="D29" s="21">
        <f>IF(A29&lt;='APR and payment'!$E$5,C29-E29,"")</f>
        <v>4991.1808247411536</v>
      </c>
      <c r="E29" s="21">
        <f>IF(A29&lt;='APR and payment'!$E$5,F28*'APR and payment'!$E$6/'APR and payment'!$L$9,"")</f>
        <v>17470.050850043652</v>
      </c>
      <c r="F29" s="21">
        <f>IF(A29&lt;='APR and payment'!$E$5,F28-D29,"")</f>
        <v>3877242.3414071817</v>
      </c>
    </row>
    <row r="30" spans="1:6" x14ac:dyDescent="0.25">
      <c r="A30" s="15">
        <v>27</v>
      </c>
      <c r="B30" s="17">
        <f>IF(A30&lt;='APR and payment'!$E$5,'Remaining debt'!A30,"")</f>
        <v>27</v>
      </c>
      <c r="C30" s="21">
        <f>IF(A30&lt;='APR and payment'!$E$5,'APR and payment'!$E$24,"")</f>
        <v>22461.231674784805</v>
      </c>
      <c r="D30" s="21">
        <f>IF(A30&lt;='APR and payment'!$E$5,C30-E30,"")</f>
        <v>5013.6411384524872</v>
      </c>
      <c r="E30" s="21">
        <f>IF(A30&lt;='APR and payment'!$E$5,F29*'APR and payment'!$E$6/'APR and payment'!$L$9,"")</f>
        <v>17447.590536332318</v>
      </c>
      <c r="F30" s="21">
        <f>IF(A30&lt;='APR and payment'!$E$5,F29-D30,"")</f>
        <v>3872228.7002687291</v>
      </c>
    </row>
    <row r="31" spans="1:6" x14ac:dyDescent="0.25">
      <c r="A31" s="15">
        <v>28</v>
      </c>
      <c r="B31" s="17">
        <f>IF(A31&lt;='APR and payment'!$E$5,'Remaining debt'!A31,"")</f>
        <v>28</v>
      </c>
      <c r="C31" s="21">
        <f>IF(A31&lt;='APR and payment'!$E$5,'APR and payment'!$E$24,"")</f>
        <v>22461.231674784805</v>
      </c>
      <c r="D31" s="21">
        <f>IF(A31&lt;='APR and payment'!$E$5,C31-E31,"")</f>
        <v>5036.2025235755245</v>
      </c>
      <c r="E31" s="21">
        <f>IF(A31&lt;='APR and payment'!$E$5,F30*'APR and payment'!$E$6/'APR and payment'!$L$9,"")</f>
        <v>17425.029151209281</v>
      </c>
      <c r="F31" s="21">
        <f>IF(A31&lt;='APR and payment'!$E$5,F30-D31,"")</f>
        <v>3867192.4977451535</v>
      </c>
    </row>
    <row r="32" spans="1:6" x14ac:dyDescent="0.25">
      <c r="A32" s="15">
        <v>29</v>
      </c>
      <c r="B32" s="17">
        <f>IF(A32&lt;='APR and payment'!$E$5,'Remaining debt'!A32,"")</f>
        <v>29</v>
      </c>
      <c r="C32" s="21">
        <f>IF(A32&lt;='APR and payment'!$E$5,'APR and payment'!$E$24,"")</f>
        <v>22461.231674784805</v>
      </c>
      <c r="D32" s="21">
        <f>IF(A32&lt;='APR and payment'!$E$5,C32-E32,"")</f>
        <v>5058.865434931613</v>
      </c>
      <c r="E32" s="21">
        <f>IF(A32&lt;='APR and payment'!$E$5,F31*'APR and payment'!$E$6/'APR and payment'!$L$9,"")</f>
        <v>17402.366239853192</v>
      </c>
      <c r="F32" s="21">
        <f>IF(A32&lt;='APR and payment'!$E$5,F31-D32,"")</f>
        <v>3862133.6323102219</v>
      </c>
    </row>
    <row r="33" spans="1:6" x14ac:dyDescent="0.25">
      <c r="A33" s="15">
        <v>30</v>
      </c>
      <c r="B33" s="17">
        <f>IF(A33&lt;='APR and payment'!$E$5,'Remaining debt'!A33,"")</f>
        <v>30</v>
      </c>
      <c r="C33" s="21">
        <f>IF(A33&lt;='APR and payment'!$E$5,'APR and payment'!$E$24,"")</f>
        <v>22461.231674784805</v>
      </c>
      <c r="D33" s="21">
        <f>IF(A33&lt;='APR and payment'!$E$5,C33-E33,"")</f>
        <v>5081.630329388805</v>
      </c>
      <c r="E33" s="21">
        <f>IF(A33&lt;='APR and payment'!$E$5,F32*'APR and payment'!$E$6/'APR and payment'!$L$9,"")</f>
        <v>17379.601345396</v>
      </c>
      <c r="F33" s="21">
        <f>IF(A33&lt;='APR and payment'!$E$5,F32-D33,"")</f>
        <v>3857052.0019808332</v>
      </c>
    </row>
    <row r="34" spans="1:6" x14ac:dyDescent="0.25">
      <c r="A34" s="15">
        <v>31</v>
      </c>
      <c r="B34" s="17">
        <f>IF(A34&lt;='APR and payment'!$E$5,'Remaining debt'!A34,"")</f>
        <v>31</v>
      </c>
      <c r="C34" s="21">
        <f>IF(A34&lt;='APR and payment'!$E$5,'APR and payment'!$E$24,"")</f>
        <v>22461.231674784805</v>
      </c>
      <c r="D34" s="21">
        <f>IF(A34&lt;='APR and payment'!$E$5,C34-E34,"")</f>
        <v>5104.4976658710548</v>
      </c>
      <c r="E34" s="21">
        <f>IF(A34&lt;='APR and payment'!$E$5,F33*'APR and payment'!$E$6/'APR and payment'!$L$9,"")</f>
        <v>17356.734008913751</v>
      </c>
      <c r="F34" s="21">
        <f>IF(A34&lt;='APR and payment'!$E$5,F33-D34,"")</f>
        <v>3851947.5043149623</v>
      </c>
    </row>
    <row r="35" spans="1:6" x14ac:dyDescent="0.25">
      <c r="A35" s="15">
        <v>32</v>
      </c>
      <c r="B35" s="17">
        <f>IF(A35&lt;='APR and payment'!$E$5,'Remaining debt'!A35,"")</f>
        <v>32</v>
      </c>
      <c r="C35" s="21">
        <f>IF(A35&lt;='APR and payment'!$E$5,'APR and payment'!$E$24,"")</f>
        <v>22461.231674784805</v>
      </c>
      <c r="D35" s="21">
        <f>IF(A35&lt;='APR and payment'!$E$5,C35-E35,"")</f>
        <v>5127.4679053674772</v>
      </c>
      <c r="E35" s="21">
        <f>IF(A35&lt;='APR and payment'!$E$5,F34*'APR and payment'!$E$6/'APR and payment'!$L$9,"")</f>
        <v>17333.763769417328</v>
      </c>
      <c r="F35" s="21">
        <f>IF(A35&lt;='APR and payment'!$E$5,F34-D35,"")</f>
        <v>3846820.036409595</v>
      </c>
    </row>
    <row r="36" spans="1:6" x14ac:dyDescent="0.25">
      <c r="A36" s="15">
        <v>33</v>
      </c>
      <c r="B36" s="17">
        <f>IF(A36&lt;='APR and payment'!$E$5,'Remaining debt'!A36,"")</f>
        <v>33</v>
      </c>
      <c r="C36" s="21">
        <f>IF(A36&lt;='APR and payment'!$E$5,'APR and payment'!$E$24,"")</f>
        <v>22461.231674784805</v>
      </c>
      <c r="D36" s="21">
        <f>IF(A36&lt;='APR and payment'!$E$5,C36-E36,"")</f>
        <v>5150.5415109416281</v>
      </c>
      <c r="E36" s="21">
        <f>IF(A36&lt;='APR and payment'!$E$5,F35*'APR and payment'!$E$6/'APR and payment'!$L$9,"")</f>
        <v>17310.690163843177</v>
      </c>
      <c r="F36" s="21">
        <f>IF(A36&lt;='APR and payment'!$E$5,F35-D36,"")</f>
        <v>3841669.4948986536</v>
      </c>
    </row>
    <row r="37" spans="1:6" x14ac:dyDescent="0.25">
      <c r="A37" s="15">
        <v>34</v>
      </c>
      <c r="B37" s="17">
        <f>IF(A37&lt;='APR and payment'!$E$5,'Remaining debt'!A37,"")</f>
        <v>34</v>
      </c>
      <c r="C37" s="21">
        <f>IF(A37&lt;='APR and payment'!$E$5,'APR and payment'!$E$24,"")</f>
        <v>22461.231674784805</v>
      </c>
      <c r="D37" s="21">
        <f>IF(A37&lt;='APR and payment'!$E$5,C37-E37,"")</f>
        <v>5173.7189477408647</v>
      </c>
      <c r="E37" s="21">
        <f>IF(A37&lt;='APR and payment'!$E$5,F36*'APR and payment'!$E$6/'APR and payment'!$L$9,"")</f>
        <v>17287.512727043941</v>
      </c>
      <c r="F37" s="21">
        <f>IF(A37&lt;='APR and payment'!$E$5,F36-D37,"")</f>
        <v>3836495.7759509129</v>
      </c>
    </row>
    <row r="38" spans="1:6" x14ac:dyDescent="0.25">
      <c r="A38" s="15">
        <v>35</v>
      </c>
      <c r="B38" s="17">
        <f>IF(A38&lt;='APR and payment'!$E$5,'Remaining debt'!A38,"")</f>
        <v>35</v>
      </c>
      <c r="C38" s="21">
        <f>IF(A38&lt;='APR and payment'!$E$5,'APR and payment'!$E$24,"")</f>
        <v>22461.231674784805</v>
      </c>
      <c r="D38" s="21">
        <f>IF(A38&lt;='APR and payment'!$E$5,C38-E38,"")</f>
        <v>5197.0006830056955</v>
      </c>
      <c r="E38" s="21">
        <f>IF(A38&lt;='APR and payment'!$E$5,F37*'APR and payment'!$E$6/'APR and payment'!$L$9,"")</f>
        <v>17264.23099177911</v>
      </c>
      <c r="F38" s="21">
        <f>IF(A38&lt;='APR and payment'!$E$5,F37-D38,"")</f>
        <v>3831298.775267907</v>
      </c>
    </row>
    <row r="39" spans="1:6" x14ac:dyDescent="0.25">
      <c r="A39" s="15">
        <v>36</v>
      </c>
      <c r="B39" s="17">
        <f>IF(A39&lt;='APR and payment'!$E$5,'Remaining debt'!A39,"")</f>
        <v>36</v>
      </c>
      <c r="C39" s="21">
        <f>IF(A39&lt;='APR and payment'!$E$5,'APR and payment'!$E$24,"")</f>
        <v>22461.231674784805</v>
      </c>
      <c r="D39" s="21">
        <f>IF(A39&lt;='APR and payment'!$E$5,C39-E39,"")</f>
        <v>5220.3871860792242</v>
      </c>
      <c r="E39" s="21">
        <f>IF(A39&lt;='APR and payment'!$E$5,F38*'APR and payment'!$E$6/'APR and payment'!$L$9,"")</f>
        <v>17240.844488705581</v>
      </c>
      <c r="F39" s="21">
        <f>IF(A39&lt;='APR and payment'!$E$5,F38-D39,"")</f>
        <v>3826078.3880818277</v>
      </c>
    </row>
    <row r="40" spans="1:6" x14ac:dyDescent="0.25">
      <c r="A40" s="15">
        <v>37</v>
      </c>
      <c r="B40" s="17">
        <f>IF(A40&lt;='APR and payment'!$E$5,'Remaining debt'!A40,"")</f>
        <v>37</v>
      </c>
      <c r="C40" s="21">
        <f>IF(A40&lt;='APR and payment'!$E$5,'APR and payment'!$E$24,"")</f>
        <v>22461.231674784805</v>
      </c>
      <c r="D40" s="21">
        <f>IF(A40&lt;='APR and payment'!$E$5,C40-E40,"")</f>
        <v>5243.8789284165832</v>
      </c>
      <c r="E40" s="21">
        <f>IF(A40&lt;='APR and payment'!$E$5,F39*'APR and payment'!$E$6/'APR and payment'!$L$9,"")</f>
        <v>17217.352746368222</v>
      </c>
      <c r="F40" s="21">
        <f>IF(A40&lt;='APR and payment'!$E$5,F39-D40,"")</f>
        <v>3820834.5091534113</v>
      </c>
    </row>
    <row r="41" spans="1:6" x14ac:dyDescent="0.25">
      <c r="A41" s="15">
        <v>38</v>
      </c>
      <c r="B41" s="17">
        <f>IF(A41&lt;='APR and payment'!$E$5,'Remaining debt'!A41,"")</f>
        <v>38</v>
      </c>
      <c r="C41" s="21">
        <f>IF(A41&lt;='APR and payment'!$E$5,'APR and payment'!$E$24,"")</f>
        <v>22461.231674784805</v>
      </c>
      <c r="D41" s="21">
        <f>IF(A41&lt;='APR and payment'!$E$5,C41-E41,"")</f>
        <v>5267.4763835944541</v>
      </c>
      <c r="E41" s="21">
        <f>IF(A41&lt;='APR and payment'!$E$5,F40*'APR and payment'!$E$6/'APR and payment'!$L$9,"")</f>
        <v>17193.755291190351</v>
      </c>
      <c r="F41" s="21">
        <f>IF(A41&lt;='APR and payment'!$E$5,F40-D41,"")</f>
        <v>3815567.0327698169</v>
      </c>
    </row>
    <row r="42" spans="1:6" x14ac:dyDescent="0.25">
      <c r="A42" s="15">
        <v>39</v>
      </c>
      <c r="B42" s="17">
        <f>IF(A42&lt;='APR and payment'!$E$5,'Remaining debt'!A42,"")</f>
        <v>39</v>
      </c>
      <c r="C42" s="21">
        <f>IF(A42&lt;='APR and payment'!$E$5,'APR and payment'!$E$24,"")</f>
        <v>22461.231674784805</v>
      </c>
      <c r="D42" s="21">
        <f>IF(A42&lt;='APR and payment'!$E$5,C42-E42,"")</f>
        <v>5291.1800273206318</v>
      </c>
      <c r="E42" s="21">
        <f>IF(A42&lt;='APR and payment'!$E$5,F41*'APR and payment'!$E$6/'APR and payment'!$L$9,"")</f>
        <v>17170.051647464174</v>
      </c>
      <c r="F42" s="21">
        <f>IF(A42&lt;='APR and payment'!$E$5,F41-D42,"")</f>
        <v>3810275.8527424964</v>
      </c>
    </row>
    <row r="43" spans="1:6" x14ac:dyDescent="0.25">
      <c r="A43" s="15">
        <v>40</v>
      </c>
      <c r="B43" s="17">
        <f>IF(A43&lt;='APR and payment'!$E$5,'Remaining debt'!A43,"")</f>
        <v>40</v>
      </c>
      <c r="C43" s="21">
        <f>IF(A43&lt;='APR and payment'!$E$5,'APR and payment'!$E$24,"")</f>
        <v>22461.231674784805</v>
      </c>
      <c r="D43" s="21">
        <f>IF(A43&lt;='APR and payment'!$E$5,C43-E43,"")</f>
        <v>5314.9903374435708</v>
      </c>
      <c r="E43" s="21">
        <f>IF(A43&lt;='APR and payment'!$E$5,F42*'APR and payment'!$E$6/'APR and payment'!$L$9,"")</f>
        <v>17146.241337341235</v>
      </c>
      <c r="F43" s="21">
        <f>IF(A43&lt;='APR and payment'!$E$5,F42-D43,"")</f>
        <v>3804960.8624050529</v>
      </c>
    </row>
    <row r="44" spans="1:6" x14ac:dyDescent="0.25">
      <c r="A44" s="15">
        <v>41</v>
      </c>
      <c r="B44" s="17">
        <f>IF(A44&lt;='APR and payment'!$E$5,'Remaining debt'!A44,"")</f>
        <v>41</v>
      </c>
      <c r="C44" s="21">
        <f>IF(A44&lt;='APR and payment'!$E$5,'APR and payment'!$E$24,"")</f>
        <v>22461.231674784805</v>
      </c>
      <c r="D44" s="21">
        <f>IF(A44&lt;='APR and payment'!$E$5,C44-E44,"")</f>
        <v>5338.9077939620693</v>
      </c>
      <c r="E44" s="21">
        <f>IF(A44&lt;='APR and payment'!$E$5,F43*'APR and payment'!$E$6/'APR and payment'!$L$9,"")</f>
        <v>17122.323880822736</v>
      </c>
      <c r="F44" s="21">
        <f>IF(A44&lt;='APR and payment'!$E$5,F43-D44,"")</f>
        <v>3799621.9546110909</v>
      </c>
    </row>
    <row r="45" spans="1:6" x14ac:dyDescent="0.25">
      <c r="A45" s="15">
        <v>42</v>
      </c>
      <c r="B45" s="17">
        <f>IF(A45&lt;='APR and payment'!$E$5,'Remaining debt'!A45,"")</f>
        <v>42</v>
      </c>
      <c r="C45" s="21">
        <f>IF(A45&lt;='APR and payment'!$E$5,'APR and payment'!$E$24,"")</f>
        <v>22461.231674784805</v>
      </c>
      <c r="D45" s="21">
        <f>IF(A45&lt;='APR and payment'!$E$5,C45-E45,"")</f>
        <v>5362.9328790348954</v>
      </c>
      <c r="E45" s="21">
        <f>IF(A45&lt;='APR and payment'!$E$5,F44*'APR and payment'!$E$6/'APR and payment'!$L$9,"")</f>
        <v>17098.29879574991</v>
      </c>
      <c r="F45" s="21">
        <f>IF(A45&lt;='APR and payment'!$E$5,F44-D45,"")</f>
        <v>3794259.021732056</v>
      </c>
    </row>
    <row r="46" spans="1:6" x14ac:dyDescent="0.25">
      <c r="A46" s="15">
        <v>43</v>
      </c>
      <c r="B46" s="17">
        <f>IF(A46&lt;='APR and payment'!$E$5,'Remaining debt'!A46,"")</f>
        <v>43</v>
      </c>
      <c r="C46" s="21">
        <f>IF(A46&lt;='APR and payment'!$E$5,'APR and payment'!$E$24,"")</f>
        <v>22461.231674784805</v>
      </c>
      <c r="D46" s="21">
        <f>IF(A46&lt;='APR and payment'!$E$5,C46-E46,"")</f>
        <v>5387.0660769905517</v>
      </c>
      <c r="E46" s="21">
        <f>IF(A46&lt;='APR and payment'!$E$5,F45*'APR and payment'!$E$6/'APR and payment'!$L$9,"")</f>
        <v>17074.165597794254</v>
      </c>
      <c r="F46" s="21">
        <f>IF(A46&lt;='APR and payment'!$E$5,F45-D46,"")</f>
        <v>3788871.9556550654</v>
      </c>
    </row>
    <row r="47" spans="1:6" x14ac:dyDescent="0.25">
      <c r="A47" s="15">
        <v>44</v>
      </c>
      <c r="B47" s="17">
        <f>IF(A47&lt;='APR and payment'!$E$5,'Remaining debt'!A47,"")</f>
        <v>44</v>
      </c>
      <c r="C47" s="21">
        <f>IF(A47&lt;='APR and payment'!$E$5,'APR and payment'!$E$24,"")</f>
        <v>22461.231674784805</v>
      </c>
      <c r="D47" s="21">
        <f>IF(A47&lt;='APR and payment'!$E$5,C47-E47,"")</f>
        <v>5411.3078743370133</v>
      </c>
      <c r="E47" s="21">
        <f>IF(A47&lt;='APR and payment'!$E$5,F46*'APR and payment'!$E$6/'APR and payment'!$L$9,"")</f>
        <v>17049.923800447792</v>
      </c>
      <c r="F47" s="21">
        <f>IF(A47&lt;='APR and payment'!$E$5,F46-D47,"")</f>
        <v>3783460.6477807285</v>
      </c>
    </row>
    <row r="48" spans="1:6" x14ac:dyDescent="0.25">
      <c r="A48" s="15">
        <v>45</v>
      </c>
      <c r="B48" s="17">
        <f>IF(A48&lt;='APR and payment'!$E$5,'Remaining debt'!A48,"")</f>
        <v>45</v>
      </c>
      <c r="C48" s="21">
        <f>IF(A48&lt;='APR and payment'!$E$5,'APR and payment'!$E$24,"")</f>
        <v>22461.231674784805</v>
      </c>
      <c r="D48" s="21">
        <f>IF(A48&lt;='APR and payment'!$E$5,C48-E48,"")</f>
        <v>5435.6587597715261</v>
      </c>
      <c r="E48" s="21">
        <f>IF(A48&lt;='APR and payment'!$E$5,F47*'APR and payment'!$E$6/'APR and payment'!$L$9,"")</f>
        <v>17025.572915013279</v>
      </c>
      <c r="F48" s="21">
        <f>IF(A48&lt;='APR and payment'!$E$5,F47-D48,"")</f>
        <v>3778024.9890209571</v>
      </c>
    </row>
    <row r="49" spans="1:6" x14ac:dyDescent="0.25">
      <c r="A49" s="15">
        <v>46</v>
      </c>
      <c r="B49" s="17">
        <f>IF(A49&lt;='APR and payment'!$E$5,'Remaining debt'!A49,"")</f>
        <v>46</v>
      </c>
      <c r="C49" s="21">
        <f>IF(A49&lt;='APR and payment'!$E$5,'APR and payment'!$E$24,"")</f>
        <v>22461.231674784805</v>
      </c>
      <c r="D49" s="21">
        <f>IF(A49&lt;='APR and payment'!$E$5,C49-E49,"")</f>
        <v>5460.1192241904973</v>
      </c>
      <c r="E49" s="21">
        <f>IF(A49&lt;='APR and payment'!$E$5,F48*'APR and payment'!$E$6/'APR and payment'!$L$9,"")</f>
        <v>17001.112450594308</v>
      </c>
      <c r="F49" s="21">
        <f>IF(A49&lt;='APR and payment'!$E$5,F48-D49,"")</f>
        <v>3772564.8697967664</v>
      </c>
    </row>
    <row r="50" spans="1:6" x14ac:dyDescent="0.25">
      <c r="A50" s="15">
        <v>47</v>
      </c>
      <c r="B50" s="17">
        <f>IF(A50&lt;='APR and payment'!$E$5,'Remaining debt'!A50,"")</f>
        <v>47</v>
      </c>
      <c r="C50" s="21">
        <f>IF(A50&lt;='APR and payment'!$E$5,'APR and payment'!$E$24,"")</f>
        <v>22461.231674784805</v>
      </c>
      <c r="D50" s="21">
        <f>IF(A50&lt;='APR and payment'!$E$5,C50-E50,"")</f>
        <v>5484.6897606993589</v>
      </c>
      <c r="E50" s="21">
        <f>IF(A50&lt;='APR and payment'!$E$5,F49*'APR and payment'!$E$6/'APR and payment'!$L$9,"")</f>
        <v>16976.541914085446</v>
      </c>
      <c r="F50" s="21">
        <f>IF(A50&lt;='APR and payment'!$E$5,F49-D50,"")</f>
        <v>3767080.180036067</v>
      </c>
    </row>
    <row r="51" spans="1:6" x14ac:dyDescent="0.25">
      <c r="A51" s="15">
        <v>48</v>
      </c>
      <c r="B51" s="17">
        <f>IF(A51&lt;='APR and payment'!$E$5,'Remaining debt'!A51,"")</f>
        <v>48</v>
      </c>
      <c r="C51" s="21">
        <f>IF(A51&lt;='APR and payment'!$E$5,'APR and payment'!$E$24,"")</f>
        <v>22461.231674784805</v>
      </c>
      <c r="D51" s="21">
        <f>IF(A51&lt;='APR and payment'!$E$5,C51-E51,"")</f>
        <v>5509.3708646225059</v>
      </c>
      <c r="E51" s="21">
        <f>IF(A51&lt;='APR and payment'!$E$5,F50*'APR and payment'!$E$6/'APR and payment'!$L$9,"")</f>
        <v>16951.860810162299</v>
      </c>
      <c r="F51" s="21">
        <f>IF(A51&lt;='APR and payment'!$E$5,F50-D51,"")</f>
        <v>3761570.8091714447</v>
      </c>
    </row>
    <row r="52" spans="1:6" x14ac:dyDescent="0.25">
      <c r="A52" s="15">
        <v>49</v>
      </c>
      <c r="B52" s="17">
        <f>IF(A52&lt;='APR and payment'!$E$5,'Remaining debt'!A52,"")</f>
        <v>49</v>
      </c>
      <c r="C52" s="21">
        <f>IF(A52&lt;='APR and payment'!$E$5,'APR and payment'!$E$24,"")</f>
        <v>22461.231674784805</v>
      </c>
      <c r="D52" s="21">
        <f>IF(A52&lt;='APR and payment'!$E$5,C52-E52,"")</f>
        <v>5534.163033513305</v>
      </c>
      <c r="E52" s="21">
        <f>IF(A52&lt;='APR and payment'!$E$5,F51*'APR and payment'!$E$6/'APR and payment'!$L$9,"")</f>
        <v>16927.0686412715</v>
      </c>
      <c r="F52" s="21">
        <f>IF(A52&lt;='APR and payment'!$E$5,F51-D52,"")</f>
        <v>3756036.6461379314</v>
      </c>
    </row>
    <row r="53" spans="1:6" x14ac:dyDescent="0.25">
      <c r="A53" s="15">
        <v>50</v>
      </c>
      <c r="B53" s="17">
        <f>IF(A53&lt;='APR and payment'!$E$5,'Remaining debt'!A53,"")</f>
        <v>50</v>
      </c>
      <c r="C53" s="21">
        <f>IF(A53&lt;='APR and payment'!$E$5,'APR and payment'!$E$24,"")</f>
        <v>22461.231674784805</v>
      </c>
      <c r="D53" s="21">
        <f>IF(A53&lt;='APR and payment'!$E$5,C53-E53,"")</f>
        <v>5559.0667671641131</v>
      </c>
      <c r="E53" s="21">
        <f>IF(A53&lt;='APR and payment'!$E$5,F52*'APR and payment'!$E$6/'APR and payment'!$L$9,"")</f>
        <v>16902.164907620692</v>
      </c>
      <c r="F53" s="21">
        <f>IF(A53&lt;='APR and payment'!$E$5,F52-D53,"")</f>
        <v>3750477.5793707673</v>
      </c>
    </row>
    <row r="54" spans="1:6" x14ac:dyDescent="0.25">
      <c r="A54" s="15">
        <v>51</v>
      </c>
      <c r="B54" s="17">
        <f>IF(A54&lt;='APR and payment'!$E$5,'Remaining debt'!A54,"")</f>
        <v>51</v>
      </c>
      <c r="C54" s="21">
        <f>IF(A54&lt;='APR and payment'!$E$5,'APR and payment'!$E$24,"")</f>
        <v>22461.231674784805</v>
      </c>
      <c r="D54" s="21">
        <f>IF(A54&lt;='APR and payment'!$E$5,C54-E54,"")</f>
        <v>5584.0825676163513</v>
      </c>
      <c r="E54" s="21">
        <f>IF(A54&lt;='APR and payment'!$E$5,F53*'APR and payment'!$E$6/'APR and payment'!$L$9,"")</f>
        <v>16877.149107168454</v>
      </c>
      <c r="F54" s="21">
        <f>IF(A54&lt;='APR and payment'!$E$5,F53-D54,"")</f>
        <v>3744893.496803151</v>
      </c>
    </row>
    <row r="55" spans="1:6" x14ac:dyDescent="0.25">
      <c r="A55" s="15">
        <v>52</v>
      </c>
      <c r="B55" s="17">
        <f>IF(A55&lt;='APR and payment'!$E$5,'Remaining debt'!A55,"")</f>
        <v>52</v>
      </c>
      <c r="C55" s="21">
        <f>IF(A55&lt;='APR and payment'!$E$5,'APR and payment'!$E$24,"")</f>
        <v>22461.231674784805</v>
      </c>
      <c r="D55" s="21">
        <f>IF(A55&lt;='APR and payment'!$E$5,C55-E55,"")</f>
        <v>5609.2109391706254</v>
      </c>
      <c r="E55" s="21">
        <f>IF(A55&lt;='APR and payment'!$E$5,F54*'APR and payment'!$E$6/'APR and payment'!$L$9,"")</f>
        <v>16852.02073561418</v>
      </c>
      <c r="F55" s="21">
        <f>IF(A55&lt;='APR and payment'!$E$5,F54-D55,"")</f>
        <v>3739284.2858639802</v>
      </c>
    </row>
    <row r="56" spans="1:6" x14ac:dyDescent="0.25">
      <c r="A56" s="15">
        <v>53</v>
      </c>
      <c r="B56" s="17">
        <f>IF(A56&lt;='APR and payment'!$E$5,'Remaining debt'!A56,"")</f>
        <v>53</v>
      </c>
      <c r="C56" s="21">
        <f>IF(A56&lt;='APR and payment'!$E$5,'APR and payment'!$E$24,"")</f>
        <v>22461.231674784805</v>
      </c>
      <c r="D56" s="21">
        <f>IF(A56&lt;='APR and payment'!$E$5,C56-E56,"")</f>
        <v>5634.4523883968941</v>
      </c>
      <c r="E56" s="21">
        <f>IF(A56&lt;='APR and payment'!$E$5,F55*'APR and payment'!$E$6/'APR and payment'!$L$9,"")</f>
        <v>16826.779286387911</v>
      </c>
      <c r="F56" s="21">
        <f>IF(A56&lt;='APR and payment'!$E$5,F55-D56,"")</f>
        <v>3733649.8334755832</v>
      </c>
    </row>
    <row r="57" spans="1:6" x14ac:dyDescent="0.25">
      <c r="A57" s="15">
        <v>54</v>
      </c>
      <c r="B57" s="17">
        <f>IF(A57&lt;='APR and payment'!$E$5,'Remaining debt'!A57,"")</f>
        <v>54</v>
      </c>
      <c r="C57" s="21">
        <f>IF(A57&lt;='APR and payment'!$E$5,'APR and payment'!$E$24,"")</f>
        <v>22461.231674784805</v>
      </c>
      <c r="D57" s="21">
        <f>IF(A57&lt;='APR and payment'!$E$5,C57-E57,"")</f>
        <v>5659.8074241446811</v>
      </c>
      <c r="E57" s="21">
        <f>IF(A57&lt;='APR and payment'!$E$5,F56*'APR and payment'!$E$6/'APR and payment'!$L$9,"")</f>
        <v>16801.424250640124</v>
      </c>
      <c r="F57" s="21">
        <f>IF(A57&lt;='APR and payment'!$E$5,F56-D57,"")</f>
        <v>3727990.0260514384</v>
      </c>
    </row>
    <row r="58" spans="1:6" x14ac:dyDescent="0.25">
      <c r="A58" s="15">
        <v>55</v>
      </c>
      <c r="B58" s="17">
        <f>IF(A58&lt;='APR and payment'!$E$5,'Remaining debt'!A58,"")</f>
        <v>55</v>
      </c>
      <c r="C58" s="21">
        <f>IF(A58&lt;='APR and payment'!$E$5,'APR and payment'!$E$24,"")</f>
        <v>22461.231674784805</v>
      </c>
      <c r="D58" s="21">
        <f>IF(A58&lt;='APR and payment'!$E$5,C58-E58,"")</f>
        <v>5685.276557553334</v>
      </c>
      <c r="E58" s="21">
        <f>IF(A58&lt;='APR and payment'!$E$5,F57*'APR and payment'!$E$6/'APR and payment'!$L$9,"")</f>
        <v>16775.955117231471</v>
      </c>
      <c r="F58" s="21">
        <f>IF(A58&lt;='APR and payment'!$E$5,F57-D58,"")</f>
        <v>3722304.7494938849</v>
      </c>
    </row>
    <row r="59" spans="1:6" x14ac:dyDescent="0.25">
      <c r="A59" s="15">
        <v>56</v>
      </c>
      <c r="B59" s="17">
        <f>IF(A59&lt;='APR and payment'!$E$5,'Remaining debt'!A59,"")</f>
        <v>56</v>
      </c>
      <c r="C59" s="21">
        <f>IF(A59&lt;='APR and payment'!$E$5,'APR and payment'!$E$24,"")</f>
        <v>22461.231674784805</v>
      </c>
      <c r="D59" s="21">
        <f>IF(A59&lt;='APR and payment'!$E$5,C59-E59,"")</f>
        <v>5710.8603020623232</v>
      </c>
      <c r="E59" s="21">
        <f>IF(A59&lt;='APR and payment'!$E$5,F58*'APR and payment'!$E$6/'APR and payment'!$L$9,"")</f>
        <v>16750.371372722482</v>
      </c>
      <c r="F59" s="21">
        <f>IF(A59&lt;='APR and payment'!$E$5,F58-D59,"")</f>
        <v>3716593.8891918226</v>
      </c>
    </row>
    <row r="60" spans="1:6" x14ac:dyDescent="0.25">
      <c r="A60" s="15">
        <v>57</v>
      </c>
      <c r="B60" s="17">
        <f>IF(A60&lt;='APR and payment'!$E$5,'Remaining debt'!A60,"")</f>
        <v>57</v>
      </c>
      <c r="C60" s="21">
        <f>IF(A60&lt;='APR and payment'!$E$5,'APR and payment'!$E$24,"")</f>
        <v>22461.231674784805</v>
      </c>
      <c r="D60" s="21">
        <f>IF(A60&lt;='APR and payment'!$E$5,C60-E60,"")</f>
        <v>5736.5591734216032</v>
      </c>
      <c r="E60" s="21">
        <f>IF(A60&lt;='APR and payment'!$E$5,F59*'APR and payment'!$E$6/'APR and payment'!$L$9,"")</f>
        <v>16724.672501363202</v>
      </c>
      <c r="F60" s="21">
        <f>IF(A60&lt;='APR and payment'!$E$5,F59-D60,"")</f>
        <v>3710857.3300184011</v>
      </c>
    </row>
    <row r="61" spans="1:6" x14ac:dyDescent="0.25">
      <c r="A61" s="15">
        <v>58</v>
      </c>
      <c r="B61" s="17">
        <f>IF(A61&lt;='APR and payment'!$E$5,'Remaining debt'!A61,"")</f>
        <v>58</v>
      </c>
      <c r="C61" s="21">
        <f>IF(A61&lt;='APR and payment'!$E$5,'APR and payment'!$E$24,"")</f>
        <v>22461.231674784805</v>
      </c>
      <c r="D61" s="21">
        <f>IF(A61&lt;='APR and payment'!$E$5,C61-E61,"")</f>
        <v>5762.373689701999</v>
      </c>
      <c r="E61" s="21">
        <f>IF(A61&lt;='APR and payment'!$E$5,F60*'APR and payment'!$E$6/'APR and payment'!$L$9,"")</f>
        <v>16698.857985082806</v>
      </c>
      <c r="F61" s="21">
        <f>IF(A61&lt;='APR and payment'!$E$5,F60-D61,"")</f>
        <v>3705094.9563286994</v>
      </c>
    </row>
    <row r="62" spans="1:6" x14ac:dyDescent="0.25">
      <c r="A62" s="15">
        <v>59</v>
      </c>
      <c r="B62" s="17">
        <f>IF(A62&lt;='APR and payment'!$E$5,'Remaining debt'!A62,"")</f>
        <v>59</v>
      </c>
      <c r="C62" s="21">
        <f>IF(A62&lt;='APR and payment'!$E$5,'APR and payment'!$E$24,"")</f>
        <v>22461.231674784805</v>
      </c>
      <c r="D62" s="21">
        <f>IF(A62&lt;='APR and payment'!$E$5,C62-E62,"")</f>
        <v>5788.3043713056577</v>
      </c>
      <c r="E62" s="21">
        <f>IF(A62&lt;='APR and payment'!$E$5,F61*'APR and payment'!$E$6/'APR and payment'!$L$9,"")</f>
        <v>16672.927303479148</v>
      </c>
      <c r="F62" s="21">
        <f>IF(A62&lt;='APR and payment'!$E$5,F61-D62,"")</f>
        <v>3699306.6519573936</v>
      </c>
    </row>
    <row r="63" spans="1:6" x14ac:dyDescent="0.25">
      <c r="A63" s="15">
        <v>60</v>
      </c>
      <c r="B63" s="17">
        <f>IF(A63&lt;='APR and payment'!$E$5,'Remaining debt'!A63,"")</f>
        <v>60</v>
      </c>
      <c r="C63" s="21">
        <f>IF(A63&lt;='APR and payment'!$E$5,'APR and payment'!$E$24,"")</f>
        <v>22461.231674784805</v>
      </c>
      <c r="D63" s="21">
        <f>IF(A63&lt;='APR and payment'!$E$5,C63-E63,"")</f>
        <v>5814.3517409765336</v>
      </c>
      <c r="E63" s="21">
        <f>IF(A63&lt;='APR and payment'!$E$5,F62*'APR and payment'!$E$6/'APR and payment'!$L$9,"")</f>
        <v>16646.879933808272</v>
      </c>
      <c r="F63" s="21">
        <f>IF(A63&lt;='APR and payment'!$E$5,F62-D63,"")</f>
        <v>3693492.3002164173</v>
      </c>
    </row>
    <row r="64" spans="1:6" x14ac:dyDescent="0.25">
      <c r="A64" s="15">
        <v>61</v>
      </c>
      <c r="B64" s="17">
        <f>IF(A64&lt;='APR and payment'!$E$5,'Remaining debt'!A64,"")</f>
        <v>61</v>
      </c>
      <c r="C64" s="21">
        <f>IF(A64&lt;='APR and payment'!$E$5,'APR and payment'!$E$24,"")</f>
        <v>22461.231674784805</v>
      </c>
      <c r="D64" s="21">
        <f>IF(A64&lt;='APR and payment'!$E$5,C64-E64,"")</f>
        <v>5840.5163238109271</v>
      </c>
      <c r="E64" s="21">
        <f>IF(A64&lt;='APR and payment'!$E$5,F63*'APR and payment'!$E$6/'APR and payment'!$L$9,"")</f>
        <v>16620.715350973878</v>
      </c>
      <c r="F64" s="21">
        <f>IF(A64&lt;='APR and payment'!$E$5,F63-D64,"")</f>
        <v>3687651.7838926064</v>
      </c>
    </row>
    <row r="65" spans="1:6" x14ac:dyDescent="0.25">
      <c r="A65" s="15">
        <v>62</v>
      </c>
      <c r="B65" s="17">
        <f>IF(A65&lt;='APR and payment'!$E$5,'Remaining debt'!A65,"")</f>
        <v>62</v>
      </c>
      <c r="C65" s="21">
        <f>IF(A65&lt;='APR and payment'!$E$5,'APR and payment'!$E$24,"")</f>
        <v>22461.231674784805</v>
      </c>
      <c r="D65" s="21">
        <f>IF(A65&lt;='APR and payment'!$E$5,C65-E65,"")</f>
        <v>5866.7986472680786</v>
      </c>
      <c r="E65" s="21">
        <f>IF(A65&lt;='APR and payment'!$E$5,F64*'APR and payment'!$E$6/'APR and payment'!$L$9,"")</f>
        <v>16594.433027516727</v>
      </c>
      <c r="F65" s="21">
        <f>IF(A65&lt;='APR and payment'!$E$5,F64-D65,"")</f>
        <v>3681784.9852453382</v>
      </c>
    </row>
    <row r="66" spans="1:6" x14ac:dyDescent="0.25">
      <c r="A66" s="15">
        <v>63</v>
      </c>
      <c r="B66" s="17">
        <f>IF(A66&lt;='APR and payment'!$E$5,'Remaining debt'!A66,"")</f>
        <v>63</v>
      </c>
      <c r="C66" s="21">
        <f>IF(A66&lt;='APR and payment'!$E$5,'APR and payment'!$E$24,"")</f>
        <v>22461.231674784805</v>
      </c>
      <c r="D66" s="21">
        <f>IF(A66&lt;='APR and payment'!$E$5,C66-E66,"")</f>
        <v>5893.1992411807842</v>
      </c>
      <c r="E66" s="21">
        <f>IF(A66&lt;='APR and payment'!$E$5,F65*'APR and payment'!$E$6/'APR and payment'!$L$9,"")</f>
        <v>16568.032433604021</v>
      </c>
      <c r="F66" s="21">
        <f>IF(A66&lt;='APR and payment'!$E$5,F65-D66,"")</f>
        <v>3675891.7860041573</v>
      </c>
    </row>
    <row r="67" spans="1:6" x14ac:dyDescent="0.25">
      <c r="A67" s="15">
        <v>64</v>
      </c>
      <c r="B67" s="17">
        <f>IF(A67&lt;='APR and payment'!$E$5,'Remaining debt'!A67,"")</f>
        <v>64</v>
      </c>
      <c r="C67" s="21">
        <f>IF(A67&lt;='APR and payment'!$E$5,'APR and payment'!$E$24,"")</f>
        <v>22461.231674784805</v>
      </c>
      <c r="D67" s="21">
        <f>IF(A67&lt;='APR and payment'!$E$5,C67-E67,"")</f>
        <v>5919.7186377660983</v>
      </c>
      <c r="E67" s="21">
        <f>IF(A67&lt;='APR and payment'!$E$5,F66*'APR and payment'!$E$6/'APR and payment'!$L$9,"")</f>
        <v>16541.513037018707</v>
      </c>
      <c r="F67" s="21">
        <f>IF(A67&lt;='APR and payment'!$E$5,F66-D67,"")</f>
        <v>3669972.067366391</v>
      </c>
    </row>
    <row r="68" spans="1:6" x14ac:dyDescent="0.25">
      <c r="A68" s="15">
        <v>65</v>
      </c>
      <c r="B68" s="17">
        <f>IF(A68&lt;='APR and payment'!$E$5,'Remaining debt'!A68,"")</f>
        <v>65</v>
      </c>
      <c r="C68" s="21">
        <f>IF(A68&lt;='APR and payment'!$E$5,'APR and payment'!$E$24,"")</f>
        <v>22461.231674784805</v>
      </c>
      <c r="D68" s="21">
        <f>IF(A68&lt;='APR and payment'!$E$5,C68-E68,"")</f>
        <v>5946.3573716360479</v>
      </c>
      <c r="E68" s="21">
        <f>IF(A68&lt;='APR and payment'!$E$5,F67*'APR and payment'!$E$6/'APR and payment'!$L$9,"")</f>
        <v>16514.874303148757</v>
      </c>
      <c r="F68" s="21">
        <f>IF(A68&lt;='APR and payment'!$E$5,F67-D68,"")</f>
        <v>3664025.7099947548</v>
      </c>
    </row>
    <row r="69" spans="1:6" x14ac:dyDescent="0.25">
      <c r="A69" s="15">
        <v>66</v>
      </c>
      <c r="B69" s="17">
        <f>IF(A69&lt;='APR and payment'!$E$5,'Remaining debt'!A69,"")</f>
        <v>66</v>
      </c>
      <c r="C69" s="21">
        <f>IF(A69&lt;='APR and payment'!$E$5,'APR and payment'!$E$24,"")</f>
        <v>22461.231674784805</v>
      </c>
      <c r="D69" s="21">
        <f>IF(A69&lt;='APR and payment'!$E$5,C69-E69,"")</f>
        <v>5973.1159798084082</v>
      </c>
      <c r="E69" s="21">
        <f>IF(A69&lt;='APR and payment'!$E$5,F68*'APR and payment'!$E$6/'APR and payment'!$L$9,"")</f>
        <v>16488.115694976397</v>
      </c>
      <c r="F69" s="21">
        <f>IF(A69&lt;='APR and payment'!$E$5,F68-D69,"")</f>
        <v>3658052.5940149464</v>
      </c>
    </row>
    <row r="70" spans="1:6" x14ac:dyDescent="0.25">
      <c r="A70" s="15">
        <v>67</v>
      </c>
      <c r="B70" s="17">
        <f>IF(A70&lt;='APR and payment'!$E$5,'Remaining debt'!A70,"")</f>
        <v>67</v>
      </c>
      <c r="C70" s="21">
        <f>IF(A70&lt;='APR and payment'!$E$5,'APR and payment'!$E$24,"")</f>
        <v>22461.231674784805</v>
      </c>
      <c r="D70" s="21">
        <f>IF(A70&lt;='APR and payment'!$E$5,C70-E70,"")</f>
        <v>5999.995001717547</v>
      </c>
      <c r="E70" s="21">
        <f>IF(A70&lt;='APR and payment'!$E$5,F69*'APR and payment'!$E$6/'APR and payment'!$L$9,"")</f>
        <v>16461.236673067258</v>
      </c>
      <c r="F70" s="21">
        <f>IF(A70&lt;='APR and payment'!$E$5,F69-D70,"")</f>
        <v>3652052.5990132289</v>
      </c>
    </row>
    <row r="71" spans="1:6" x14ac:dyDescent="0.25">
      <c r="A71" s="15">
        <v>68</v>
      </c>
      <c r="B71" s="17">
        <f>IF(A71&lt;='APR and payment'!$E$5,'Remaining debt'!A71,"")</f>
        <v>68</v>
      </c>
      <c r="C71" s="21">
        <f>IF(A71&lt;='APR and payment'!$E$5,'APR and payment'!$E$24,"")</f>
        <v>22461.231674784805</v>
      </c>
      <c r="D71" s="21">
        <f>IF(A71&lt;='APR and payment'!$E$5,C71-E71,"")</f>
        <v>6026.9949792252737</v>
      </c>
      <c r="E71" s="21">
        <f>IF(A71&lt;='APR and payment'!$E$5,F70*'APR and payment'!$E$6/'APR and payment'!$L$9,"")</f>
        <v>16434.236695559532</v>
      </c>
      <c r="F71" s="21">
        <f>IF(A71&lt;='APR and payment'!$E$5,F70-D71,"")</f>
        <v>3646025.6040340038</v>
      </c>
    </row>
    <row r="72" spans="1:6" x14ac:dyDescent="0.25">
      <c r="A72" s="15">
        <v>69</v>
      </c>
      <c r="B72" s="17">
        <f>IF(A72&lt;='APR and payment'!$E$5,'Remaining debt'!A72,"")</f>
        <v>69</v>
      </c>
      <c r="C72" s="21">
        <f>IF(A72&lt;='APR and payment'!$E$5,'APR and payment'!$E$24,"")</f>
        <v>22461.231674784805</v>
      </c>
      <c r="D72" s="21">
        <f>IF(A72&lt;='APR and payment'!$E$5,C72-E72,"")</f>
        <v>6054.1164566317893</v>
      </c>
      <c r="E72" s="21">
        <f>IF(A72&lt;='APR and payment'!$E$5,F71*'APR and payment'!$E$6/'APR and payment'!$L$9,"")</f>
        <v>16407.115218153016</v>
      </c>
      <c r="F72" s="21">
        <f>IF(A72&lt;='APR and payment'!$E$5,F71-D72,"")</f>
        <v>3639971.4875773722</v>
      </c>
    </row>
    <row r="73" spans="1:6" x14ac:dyDescent="0.25">
      <c r="A73" s="15">
        <v>70</v>
      </c>
      <c r="B73" s="17">
        <f>IF(A73&lt;='APR and payment'!$E$5,'Remaining debt'!A73,"")</f>
        <v>70</v>
      </c>
      <c r="C73" s="21">
        <f>IF(A73&lt;='APR and payment'!$E$5,'APR and payment'!$E$24,"")</f>
        <v>22461.231674784805</v>
      </c>
      <c r="D73" s="21">
        <f>IF(A73&lt;='APR and payment'!$E$5,C73-E73,"")</f>
        <v>6081.3599806866296</v>
      </c>
      <c r="E73" s="21">
        <f>IF(A73&lt;='APR and payment'!$E$5,F72*'APR and payment'!$E$6/'APR and payment'!$L$9,"")</f>
        <v>16379.871694098176</v>
      </c>
      <c r="F73" s="21">
        <f>IF(A73&lt;='APR and payment'!$E$5,F72-D73,"")</f>
        <v>3633890.1275966857</v>
      </c>
    </row>
    <row r="74" spans="1:6" x14ac:dyDescent="0.25">
      <c r="A74" s="15">
        <v>71</v>
      </c>
      <c r="B74" s="17">
        <f>IF(A74&lt;='APR and payment'!$E$5,'Remaining debt'!A74,"")</f>
        <v>71</v>
      </c>
      <c r="C74" s="21">
        <f>IF(A74&lt;='APR and payment'!$E$5,'APR and payment'!$E$24,"")</f>
        <v>22461.231674784805</v>
      </c>
      <c r="D74" s="21">
        <f>IF(A74&lt;='APR and payment'!$E$5,C74-E74,"")</f>
        <v>6108.7261005997188</v>
      </c>
      <c r="E74" s="21">
        <f>IF(A74&lt;='APR and payment'!$E$5,F73*'APR and payment'!$E$6/'APR and payment'!$L$9,"")</f>
        <v>16352.505574185087</v>
      </c>
      <c r="F74" s="21">
        <f>IF(A74&lt;='APR and payment'!$E$5,F73-D74,"")</f>
        <v>3627781.4014960858</v>
      </c>
    </row>
    <row r="75" spans="1:6" x14ac:dyDescent="0.25">
      <c r="A75" s="15">
        <v>72</v>
      </c>
      <c r="B75" s="17">
        <f>IF(A75&lt;='APR and payment'!$E$5,'Remaining debt'!A75,"")</f>
        <v>72</v>
      </c>
      <c r="C75" s="21">
        <f>IF(A75&lt;='APR and payment'!$E$5,'APR and payment'!$E$24,"")</f>
        <v>22461.231674784805</v>
      </c>
      <c r="D75" s="21">
        <f>IF(A75&lt;='APR and payment'!$E$5,C75-E75,"")</f>
        <v>6136.2153680524189</v>
      </c>
      <c r="E75" s="21">
        <f>IF(A75&lt;='APR and payment'!$E$5,F74*'APR and payment'!$E$6/'APR and payment'!$L$9,"")</f>
        <v>16325.016306732387</v>
      </c>
      <c r="F75" s="21">
        <f>IF(A75&lt;='APR and payment'!$E$5,F74-D75,"")</f>
        <v>3621645.1861280333</v>
      </c>
    </row>
    <row r="76" spans="1:6" x14ac:dyDescent="0.25">
      <c r="A76" s="15">
        <v>73</v>
      </c>
      <c r="B76" s="17">
        <f>IF(A76&lt;='APR and payment'!$E$5,'Remaining debt'!A76,"")</f>
        <v>73</v>
      </c>
      <c r="C76" s="21">
        <f>IF(A76&lt;='APR and payment'!$E$5,'APR and payment'!$E$24,"")</f>
        <v>22461.231674784805</v>
      </c>
      <c r="D76" s="21">
        <f>IF(A76&lt;='APR and payment'!$E$5,C76-E76,"")</f>
        <v>6163.8283372086553</v>
      </c>
      <c r="E76" s="21">
        <f>IF(A76&lt;='APR and payment'!$E$5,F75*'APR and payment'!$E$6/'APR and payment'!$L$9,"")</f>
        <v>16297.40333757615</v>
      </c>
      <c r="F76" s="21">
        <f>IF(A76&lt;='APR and payment'!$E$5,F75-D76,"")</f>
        <v>3615481.3577908245</v>
      </c>
    </row>
    <row r="77" spans="1:6" x14ac:dyDescent="0.25">
      <c r="A77" s="15">
        <v>74</v>
      </c>
      <c r="B77" s="17">
        <f>IF(A77&lt;='APR and payment'!$E$5,'Remaining debt'!A77,"")</f>
        <v>74</v>
      </c>
      <c r="C77" s="21">
        <f>IF(A77&lt;='APR and payment'!$E$5,'APR and payment'!$E$24,"")</f>
        <v>22461.231674784805</v>
      </c>
      <c r="D77" s="21">
        <f>IF(A77&lt;='APR and payment'!$E$5,C77-E77,"")</f>
        <v>6191.5655647260955</v>
      </c>
      <c r="E77" s="21">
        <f>IF(A77&lt;='APR and payment'!$E$5,F76*'APR and payment'!$E$6/'APR and payment'!$L$9,"")</f>
        <v>16269.66611005871</v>
      </c>
      <c r="F77" s="21">
        <f>IF(A77&lt;='APR and payment'!$E$5,F76-D77,"")</f>
        <v>3609289.7922260985</v>
      </c>
    </row>
    <row r="78" spans="1:6" x14ac:dyDescent="0.25">
      <c r="A78" s="15">
        <v>75</v>
      </c>
      <c r="B78" s="17">
        <f>IF(A78&lt;='APR and payment'!$E$5,'Remaining debt'!A78,"")</f>
        <v>75</v>
      </c>
      <c r="C78" s="21">
        <f>IF(A78&lt;='APR and payment'!$E$5,'APR and payment'!$E$24,"")</f>
        <v>22461.231674784805</v>
      </c>
      <c r="D78" s="21">
        <f>IF(A78&lt;='APR and payment'!$E$5,C78-E78,"")</f>
        <v>6219.4276097673628</v>
      </c>
      <c r="E78" s="21">
        <f>IF(A78&lt;='APR and payment'!$E$5,F77*'APR and payment'!$E$6/'APR and payment'!$L$9,"")</f>
        <v>16241.804065017443</v>
      </c>
      <c r="F78" s="21">
        <f>IF(A78&lt;='APR and payment'!$E$5,F77-D78,"")</f>
        <v>3603070.3646163312</v>
      </c>
    </row>
    <row r="79" spans="1:6" x14ac:dyDescent="0.25">
      <c r="A79" s="15">
        <v>76</v>
      </c>
      <c r="B79" s="17">
        <f>IF(A79&lt;='APR and payment'!$E$5,'Remaining debt'!A79,"")</f>
        <v>76</v>
      </c>
      <c r="C79" s="21">
        <f>IF(A79&lt;='APR and payment'!$E$5,'APR and payment'!$E$24,"")</f>
        <v>22461.231674784805</v>
      </c>
      <c r="D79" s="21">
        <f>IF(A79&lt;='APR and payment'!$E$5,C79-E79,"")</f>
        <v>6247.4150340113156</v>
      </c>
      <c r="E79" s="21">
        <f>IF(A79&lt;='APR and payment'!$E$5,F78*'APR and payment'!$E$6/'APR and payment'!$L$9,"")</f>
        <v>16213.81664077349</v>
      </c>
      <c r="F79" s="21">
        <f>IF(A79&lt;='APR and payment'!$E$5,F78-D79,"")</f>
        <v>3596822.9495823197</v>
      </c>
    </row>
    <row r="80" spans="1:6" x14ac:dyDescent="0.25">
      <c r="A80" s="15">
        <v>77</v>
      </c>
      <c r="B80" s="17">
        <f>IF(A80&lt;='APR and payment'!$E$5,'Remaining debt'!A80,"")</f>
        <v>77</v>
      </c>
      <c r="C80" s="21">
        <f>IF(A80&lt;='APR and payment'!$E$5,'APR and payment'!$E$24,"")</f>
        <v>22461.231674784805</v>
      </c>
      <c r="D80" s="21">
        <f>IF(A80&lt;='APR and payment'!$E$5,C80-E80,"")</f>
        <v>6275.5284016643673</v>
      </c>
      <c r="E80" s="21">
        <f>IF(A80&lt;='APR and payment'!$E$5,F79*'APR and payment'!$E$6/'APR and payment'!$L$9,"")</f>
        <v>16185.703273120438</v>
      </c>
      <c r="F80" s="21">
        <f>IF(A80&lt;='APR and payment'!$E$5,F79-D80,"")</f>
        <v>3590547.4211806552</v>
      </c>
    </row>
    <row r="81" spans="1:6" x14ac:dyDescent="0.25">
      <c r="A81" s="15">
        <v>78</v>
      </c>
      <c r="B81" s="17">
        <f>IF(A81&lt;='APR and payment'!$E$5,'Remaining debt'!A81,"")</f>
        <v>78</v>
      </c>
      <c r="C81" s="21">
        <f>IF(A81&lt;='APR and payment'!$E$5,'APR and payment'!$E$24,"")</f>
        <v>22461.231674784805</v>
      </c>
      <c r="D81" s="21">
        <f>IF(A81&lt;='APR and payment'!$E$5,C81-E81,"")</f>
        <v>6303.7682794718585</v>
      </c>
      <c r="E81" s="21">
        <f>IF(A81&lt;='APR and payment'!$E$5,F80*'APR and payment'!$E$6/'APR and payment'!$L$9,"")</f>
        <v>16157.463395312947</v>
      </c>
      <c r="F81" s="21">
        <f>IF(A81&lt;='APR and payment'!$E$5,F80-D81,"")</f>
        <v>3584243.6529011833</v>
      </c>
    </row>
    <row r="82" spans="1:6" x14ac:dyDescent="0.25">
      <c r="A82" s="15">
        <v>79</v>
      </c>
      <c r="B82" s="17">
        <f>IF(A82&lt;='APR and payment'!$E$5,'Remaining debt'!A82,"")</f>
        <v>79</v>
      </c>
      <c r="C82" s="21">
        <f>IF(A82&lt;='APR and payment'!$E$5,'APR and payment'!$E$24,"")</f>
        <v>22461.231674784805</v>
      </c>
      <c r="D82" s="21">
        <f>IF(A82&lt;='APR and payment'!$E$5,C82-E82,"")</f>
        <v>6332.1352367294803</v>
      </c>
      <c r="E82" s="21">
        <f>IF(A82&lt;='APR and payment'!$E$5,F81*'APR and payment'!$E$6/'APR and payment'!$L$9,"")</f>
        <v>16129.096438055325</v>
      </c>
      <c r="F82" s="21">
        <f>IF(A82&lt;='APR and payment'!$E$5,F81-D82,"")</f>
        <v>3577911.5176644539</v>
      </c>
    </row>
    <row r="83" spans="1:6" x14ac:dyDescent="0.25">
      <c r="A83" s="15">
        <v>80</v>
      </c>
      <c r="B83" s="17">
        <f>IF(A83&lt;='APR and payment'!$E$5,'Remaining debt'!A83,"")</f>
        <v>80</v>
      </c>
      <c r="C83" s="21">
        <f>IF(A83&lt;='APR and payment'!$E$5,'APR and payment'!$E$24,"")</f>
        <v>22461.231674784805</v>
      </c>
      <c r="D83" s="21">
        <f>IF(A83&lt;='APR and payment'!$E$5,C83-E83,"")</f>
        <v>6360.6298452947631</v>
      </c>
      <c r="E83" s="21">
        <f>IF(A83&lt;='APR and payment'!$E$5,F82*'APR and payment'!$E$6/'APR and payment'!$L$9,"")</f>
        <v>16100.601829490042</v>
      </c>
      <c r="F83" s="21">
        <f>IF(A83&lt;='APR and payment'!$E$5,F82-D83,"")</f>
        <v>3571550.8878191593</v>
      </c>
    </row>
    <row r="84" spans="1:6" x14ac:dyDescent="0.25">
      <c r="A84" s="15">
        <v>81</v>
      </c>
      <c r="B84" s="17">
        <f>IF(A84&lt;='APR and payment'!$E$5,'Remaining debt'!A84,"")</f>
        <v>81</v>
      </c>
      <c r="C84" s="21">
        <f>IF(A84&lt;='APR and payment'!$E$5,'APR and payment'!$E$24,"")</f>
        <v>22461.231674784805</v>
      </c>
      <c r="D84" s="21">
        <f>IF(A84&lt;='APR and payment'!$E$5,C84-E84,"")</f>
        <v>6389.2526795985887</v>
      </c>
      <c r="E84" s="21">
        <f>IF(A84&lt;='APR and payment'!$E$5,F83*'APR and payment'!$E$6/'APR and payment'!$L$9,"")</f>
        <v>16071.978995186217</v>
      </c>
      <c r="F84" s="21">
        <f>IF(A84&lt;='APR and payment'!$E$5,F83-D84,"")</f>
        <v>3565161.6351395608</v>
      </c>
    </row>
    <row r="85" spans="1:6" x14ac:dyDescent="0.25">
      <c r="A85" s="15">
        <v>82</v>
      </c>
      <c r="B85" s="17">
        <f>IF(A85&lt;='APR and payment'!$E$5,'Remaining debt'!A85,"")</f>
        <v>82</v>
      </c>
      <c r="C85" s="21">
        <f>IF(A85&lt;='APR and payment'!$E$5,'APR and payment'!$E$24,"")</f>
        <v>22461.231674784805</v>
      </c>
      <c r="D85" s="21">
        <f>IF(A85&lt;='APR and payment'!$E$5,C85-E85,"")</f>
        <v>6418.0043166567812</v>
      </c>
      <c r="E85" s="21">
        <f>IF(A85&lt;='APR and payment'!$E$5,F84*'APR and payment'!$E$6/'APR and payment'!$L$9,"")</f>
        <v>16043.227358128024</v>
      </c>
      <c r="F85" s="21">
        <f>IF(A85&lt;='APR and payment'!$E$5,F84-D85,"")</f>
        <v>3558743.6308229039</v>
      </c>
    </row>
    <row r="86" spans="1:6" x14ac:dyDescent="0.25">
      <c r="A86" s="15">
        <v>83</v>
      </c>
      <c r="B86" s="17">
        <f>IF(A86&lt;='APR and payment'!$E$5,'Remaining debt'!A86,"")</f>
        <v>83</v>
      </c>
      <c r="C86" s="21">
        <f>IF(A86&lt;='APR and payment'!$E$5,'APR and payment'!$E$24,"")</f>
        <v>22461.231674784805</v>
      </c>
      <c r="D86" s="21">
        <f>IF(A86&lt;='APR and payment'!$E$5,C86-E86,"")</f>
        <v>6446.8853360817393</v>
      </c>
      <c r="E86" s="21">
        <f>IF(A86&lt;='APR and payment'!$E$5,F85*'APR and payment'!$E$6/'APR and payment'!$L$9,"")</f>
        <v>16014.346338703066</v>
      </c>
      <c r="F86" s="21">
        <f>IF(A86&lt;='APR and payment'!$E$5,F85-D86,"")</f>
        <v>3552296.745486822</v>
      </c>
    </row>
    <row r="87" spans="1:6" x14ac:dyDescent="0.25">
      <c r="A87" s="15">
        <v>84</v>
      </c>
      <c r="B87" s="17">
        <f>IF(A87&lt;='APR and payment'!$E$5,'Remaining debt'!A87,"")</f>
        <v>84</v>
      </c>
      <c r="C87" s="21">
        <f>IF(A87&lt;='APR and payment'!$E$5,'APR and payment'!$E$24,"")</f>
        <v>22461.231674784805</v>
      </c>
      <c r="D87" s="21">
        <f>IF(A87&lt;='APR and payment'!$E$5,C87-E87,"")</f>
        <v>6475.8963200941052</v>
      </c>
      <c r="E87" s="21">
        <f>IF(A87&lt;='APR and payment'!$E$5,F86*'APR and payment'!$E$6/'APR and payment'!$L$9,"")</f>
        <v>15985.3353546907</v>
      </c>
      <c r="F87" s="21">
        <f>IF(A87&lt;='APR and payment'!$E$5,F86-D87,"")</f>
        <v>3545820.8491667281</v>
      </c>
    </row>
    <row r="88" spans="1:6" x14ac:dyDescent="0.25">
      <c r="A88" s="15">
        <v>85</v>
      </c>
      <c r="B88" s="17">
        <f>IF(A88&lt;='APR and payment'!$E$5,'Remaining debt'!A88,"")</f>
        <v>85</v>
      </c>
      <c r="C88" s="21">
        <f>IF(A88&lt;='APR and payment'!$E$5,'APR and payment'!$E$24,"")</f>
        <v>22461.231674784805</v>
      </c>
      <c r="D88" s="21">
        <f>IF(A88&lt;='APR and payment'!$E$5,C88-E88,"")</f>
        <v>6505.037853534528</v>
      </c>
      <c r="E88" s="21">
        <f>IF(A88&lt;='APR and payment'!$E$5,F87*'APR and payment'!$E$6/'APR and payment'!$L$9,"")</f>
        <v>15956.193821250277</v>
      </c>
      <c r="F88" s="21">
        <f>IF(A88&lt;='APR and payment'!$E$5,F87-D88,"")</f>
        <v>3539315.8113131938</v>
      </c>
    </row>
    <row r="89" spans="1:6" x14ac:dyDescent="0.25">
      <c r="A89" s="15">
        <v>86</v>
      </c>
      <c r="B89" s="17">
        <f>IF(A89&lt;='APR and payment'!$E$5,'Remaining debt'!A89,"")</f>
        <v>86</v>
      </c>
      <c r="C89" s="21">
        <f>IF(A89&lt;='APR and payment'!$E$5,'APR and payment'!$E$24,"")</f>
        <v>22461.231674784805</v>
      </c>
      <c r="D89" s="21">
        <f>IF(A89&lt;='APR and payment'!$E$5,C89-E89,"")</f>
        <v>6534.3105238754342</v>
      </c>
      <c r="E89" s="21">
        <f>IF(A89&lt;='APR and payment'!$E$5,F88*'APR and payment'!$E$6/'APR and payment'!$L$9,"")</f>
        <v>15926.921150909371</v>
      </c>
      <c r="F89" s="21">
        <f>IF(A89&lt;='APR and payment'!$E$5,F88-D89,"")</f>
        <v>3532781.5007893182</v>
      </c>
    </row>
    <row r="90" spans="1:6" x14ac:dyDescent="0.25">
      <c r="A90" s="15">
        <v>87</v>
      </c>
      <c r="B90" s="17">
        <f>IF(A90&lt;='APR and payment'!$E$5,'Remaining debt'!A90,"")</f>
        <v>87</v>
      </c>
      <c r="C90" s="21">
        <f>IF(A90&lt;='APR and payment'!$E$5,'APR and payment'!$E$24,"")</f>
        <v>22461.231674784805</v>
      </c>
      <c r="D90" s="21">
        <f>IF(A90&lt;='APR and payment'!$E$5,C90-E90,"")</f>
        <v>6563.714921232875</v>
      </c>
      <c r="E90" s="21">
        <f>IF(A90&lt;='APR and payment'!$E$5,F89*'APR and payment'!$E$6/'APR and payment'!$L$9,"")</f>
        <v>15897.51675355193</v>
      </c>
      <c r="F90" s="21">
        <f>IF(A90&lt;='APR and payment'!$E$5,F89-D90,"")</f>
        <v>3526217.7858680855</v>
      </c>
    </row>
    <row r="91" spans="1:6" x14ac:dyDescent="0.25">
      <c r="A91" s="15">
        <v>88</v>
      </c>
      <c r="B91" s="17">
        <f>IF(A91&lt;='APR and payment'!$E$5,'Remaining debt'!A91,"")</f>
        <v>88</v>
      </c>
      <c r="C91" s="21">
        <f>IF(A91&lt;='APR and payment'!$E$5,'APR and payment'!$E$24,"")</f>
        <v>22461.231674784805</v>
      </c>
      <c r="D91" s="21">
        <f>IF(A91&lt;='APR and payment'!$E$5,C91-E91,"")</f>
        <v>6593.2516383784205</v>
      </c>
      <c r="E91" s="21">
        <f>IF(A91&lt;='APR and payment'!$E$5,F90*'APR and payment'!$E$6/'APR and payment'!$L$9,"")</f>
        <v>15867.980036406385</v>
      </c>
      <c r="F91" s="21">
        <f>IF(A91&lt;='APR and payment'!$E$5,F90-D91,"")</f>
        <v>3519624.534229707</v>
      </c>
    </row>
    <row r="92" spans="1:6" x14ac:dyDescent="0.25">
      <c r="A92" s="15">
        <v>89</v>
      </c>
      <c r="B92" s="17">
        <f>IF(A92&lt;='APR and payment'!$E$5,'Remaining debt'!A92,"")</f>
        <v>89</v>
      </c>
      <c r="C92" s="21">
        <f>IF(A92&lt;='APR and payment'!$E$5,'APR and payment'!$E$24,"")</f>
        <v>22461.231674784805</v>
      </c>
      <c r="D92" s="21">
        <f>IF(A92&lt;='APR and payment'!$E$5,C92-E92,"")</f>
        <v>6622.9212707511233</v>
      </c>
      <c r="E92" s="21">
        <f>IF(A92&lt;='APR and payment'!$E$5,F91*'APR and payment'!$E$6/'APR and payment'!$L$9,"")</f>
        <v>15838.310404033682</v>
      </c>
      <c r="F92" s="21">
        <f>IF(A92&lt;='APR and payment'!$E$5,F91-D92,"")</f>
        <v>3513001.612958956</v>
      </c>
    </row>
    <row r="93" spans="1:6" x14ac:dyDescent="0.25">
      <c r="A93" s="15">
        <v>90</v>
      </c>
      <c r="B93" s="17">
        <f>IF(A93&lt;='APR and payment'!$E$5,'Remaining debt'!A93,"")</f>
        <v>90</v>
      </c>
      <c r="C93" s="21">
        <f>IF(A93&lt;='APR and payment'!$E$5,'APR and payment'!$E$24,"")</f>
        <v>22461.231674784805</v>
      </c>
      <c r="D93" s="21">
        <f>IF(A93&lt;='APR and payment'!$E$5,C93-E93,"")</f>
        <v>6652.7244164695039</v>
      </c>
      <c r="E93" s="21">
        <f>IF(A93&lt;='APR and payment'!$E$5,F92*'APR and payment'!$E$6/'APR and payment'!$L$9,"")</f>
        <v>15808.507258315301</v>
      </c>
      <c r="F93" s="21">
        <f>IF(A93&lt;='APR and payment'!$E$5,F92-D93,"")</f>
        <v>3506348.8885424864</v>
      </c>
    </row>
    <row r="94" spans="1:6" x14ac:dyDescent="0.25">
      <c r="A94" s="15">
        <v>91</v>
      </c>
      <c r="B94" s="17">
        <f>IF(A94&lt;='APR and payment'!$E$5,'Remaining debt'!A94,"")</f>
        <v>91</v>
      </c>
      <c r="C94" s="21">
        <f>IF(A94&lt;='APR and payment'!$E$5,'APR and payment'!$E$24,"")</f>
        <v>22461.231674784805</v>
      </c>
      <c r="D94" s="21">
        <f>IF(A94&lt;='APR and payment'!$E$5,C94-E94,"")</f>
        <v>6682.6616763436159</v>
      </c>
      <c r="E94" s="21">
        <f>IF(A94&lt;='APR and payment'!$E$5,F93*'APR and payment'!$E$6/'APR and payment'!$L$9,"")</f>
        <v>15778.569998441189</v>
      </c>
      <c r="F94" s="21">
        <f>IF(A94&lt;='APR and payment'!$E$5,F93-D94,"")</f>
        <v>3499666.2268661428</v>
      </c>
    </row>
    <row r="95" spans="1:6" x14ac:dyDescent="0.25">
      <c r="A95" s="15">
        <v>92</v>
      </c>
      <c r="B95" s="17">
        <f>IF(A95&lt;='APR and payment'!$E$5,'Remaining debt'!A95,"")</f>
        <v>92</v>
      </c>
      <c r="C95" s="21">
        <f>IF(A95&lt;='APR and payment'!$E$5,'APR and payment'!$E$24,"")</f>
        <v>22461.231674784805</v>
      </c>
      <c r="D95" s="21">
        <f>IF(A95&lt;='APR and payment'!$E$5,C95-E95,"")</f>
        <v>6712.7336538871623</v>
      </c>
      <c r="E95" s="21">
        <f>IF(A95&lt;='APR and payment'!$E$5,F94*'APR and payment'!$E$6/'APR and payment'!$L$9,"")</f>
        <v>15748.498020897643</v>
      </c>
      <c r="F95" s="21">
        <f>IF(A95&lt;='APR and payment'!$E$5,F94-D95,"")</f>
        <v>3492953.4932122556</v>
      </c>
    </row>
    <row r="96" spans="1:6" x14ac:dyDescent="0.25">
      <c r="A96" s="15">
        <v>93</v>
      </c>
      <c r="B96" s="17">
        <f>IF(A96&lt;='APR and payment'!$E$5,'Remaining debt'!A96,"")</f>
        <v>93</v>
      </c>
      <c r="C96" s="21">
        <f>IF(A96&lt;='APR and payment'!$E$5,'APR and payment'!$E$24,"")</f>
        <v>22461.231674784805</v>
      </c>
      <c r="D96" s="21">
        <f>IF(A96&lt;='APR and payment'!$E$5,C96-E96,"")</f>
        <v>6742.9409553296555</v>
      </c>
      <c r="E96" s="21">
        <f>IF(A96&lt;='APR and payment'!$E$5,F95*'APR and payment'!$E$6/'APR and payment'!$L$9,"")</f>
        <v>15718.29071945515</v>
      </c>
      <c r="F96" s="21">
        <f>IF(A96&lt;='APR and payment'!$E$5,F95-D96,"")</f>
        <v>3486210.552256926</v>
      </c>
    </row>
    <row r="97" spans="1:6" x14ac:dyDescent="0.25">
      <c r="A97" s="15">
        <v>94</v>
      </c>
      <c r="B97" s="17">
        <f>IF(A97&lt;='APR and payment'!$E$5,'Remaining debt'!A97,"")</f>
        <v>94</v>
      </c>
      <c r="C97" s="21">
        <f>IF(A97&lt;='APR and payment'!$E$5,'APR and payment'!$E$24,"")</f>
        <v>22461.231674784805</v>
      </c>
      <c r="D97" s="21">
        <f>IF(A97&lt;='APR and payment'!$E$5,C97-E97,"")</f>
        <v>6773.2841896286391</v>
      </c>
      <c r="E97" s="21">
        <f>IF(A97&lt;='APR and payment'!$E$5,F96*'APR and payment'!$E$6/'APR and payment'!$L$9,"")</f>
        <v>15687.947485156166</v>
      </c>
      <c r="F97" s="21">
        <f>IF(A97&lt;='APR and payment'!$E$5,F96-D97,"")</f>
        <v>3479437.2680672975</v>
      </c>
    </row>
    <row r="98" spans="1:6" x14ac:dyDescent="0.25">
      <c r="A98" s="15">
        <v>95</v>
      </c>
      <c r="B98" s="17">
        <f>IF(A98&lt;='APR and payment'!$E$5,'Remaining debt'!A98,"")</f>
        <v>95</v>
      </c>
      <c r="C98" s="21">
        <f>IF(A98&lt;='APR and payment'!$E$5,'APR and payment'!$E$24,"")</f>
        <v>22461.231674784805</v>
      </c>
      <c r="D98" s="21">
        <f>IF(A98&lt;='APR and payment'!$E$5,C98-E98,"")</f>
        <v>6803.7639684819678</v>
      </c>
      <c r="E98" s="21">
        <f>IF(A98&lt;='APR and payment'!$E$5,F97*'APR and payment'!$E$6/'APR and payment'!$L$9,"")</f>
        <v>15657.467706302838</v>
      </c>
      <c r="F98" s="21">
        <f>IF(A98&lt;='APR and payment'!$E$5,F97-D98,"")</f>
        <v>3472633.5040988154</v>
      </c>
    </row>
    <row r="99" spans="1:6" x14ac:dyDescent="0.25">
      <c r="A99" s="15">
        <v>96</v>
      </c>
      <c r="B99" s="17">
        <f>IF(A99&lt;='APR and payment'!$E$5,'Remaining debt'!A99,"")</f>
        <v>96</v>
      </c>
      <c r="C99" s="21">
        <f>IF(A99&lt;='APR and payment'!$E$5,'APR and payment'!$E$24,"")</f>
        <v>22461.231674784805</v>
      </c>
      <c r="D99" s="21">
        <f>IF(A99&lt;='APR and payment'!$E$5,C99-E99,"")</f>
        <v>6834.3809063401368</v>
      </c>
      <c r="E99" s="21">
        <f>IF(A99&lt;='APR and payment'!$E$5,F98*'APR and payment'!$E$6/'APR and payment'!$L$9,"")</f>
        <v>15626.850768444669</v>
      </c>
      <c r="F99" s="21">
        <f>IF(A99&lt;='APR and payment'!$E$5,F98-D99,"")</f>
        <v>3465799.1231924752</v>
      </c>
    </row>
    <row r="100" spans="1:6" x14ac:dyDescent="0.25">
      <c r="A100" s="15">
        <v>97</v>
      </c>
      <c r="B100" s="17">
        <f>IF(A100&lt;='APR and payment'!$E$5,'Remaining debt'!A100,"")</f>
        <v>97</v>
      </c>
      <c r="C100" s="21">
        <f>IF(A100&lt;='APR and payment'!$E$5,'APR and payment'!$E$24,"")</f>
        <v>22461.231674784805</v>
      </c>
      <c r="D100" s="21">
        <f>IF(A100&lt;='APR and payment'!$E$5,C100-E100,"")</f>
        <v>6865.1356204186686</v>
      </c>
      <c r="E100" s="21">
        <f>IF(A100&lt;='APR and payment'!$E$5,F99*'APR and payment'!$E$6/'APR and payment'!$L$9,"")</f>
        <v>15596.096054366137</v>
      </c>
      <c r="F100" s="21">
        <f>IF(A100&lt;='APR and payment'!$E$5,F99-D100,"")</f>
        <v>3458933.9875720567</v>
      </c>
    </row>
    <row r="101" spans="1:6" x14ac:dyDescent="0.25">
      <c r="A101" s="15">
        <v>98</v>
      </c>
      <c r="B101" s="17">
        <f>IF(A101&lt;='APR and payment'!$E$5,'Remaining debt'!A101,"")</f>
        <v>98</v>
      </c>
      <c r="C101" s="21">
        <f>IF(A101&lt;='APR and payment'!$E$5,'APR and payment'!$E$24,"")</f>
        <v>22461.231674784805</v>
      </c>
      <c r="D101" s="21">
        <f>IF(A101&lt;='APR and payment'!$E$5,C101-E101,"")</f>
        <v>6896.02873071055</v>
      </c>
      <c r="E101" s="21">
        <f>IF(A101&lt;='APR and payment'!$E$5,F100*'APR and payment'!$E$6/'APR and payment'!$L$9,"")</f>
        <v>15565.202944074255</v>
      </c>
      <c r="F101" s="21">
        <f>IF(A101&lt;='APR and payment'!$E$5,F100-D101,"")</f>
        <v>3452037.9588413462</v>
      </c>
    </row>
    <row r="102" spans="1:6" x14ac:dyDescent="0.25">
      <c r="A102" s="15">
        <v>99</v>
      </c>
      <c r="B102" s="17">
        <f>IF(A102&lt;='APR and payment'!$E$5,'Remaining debt'!A102,"")</f>
        <v>99</v>
      </c>
      <c r="C102" s="21">
        <f>IF(A102&lt;='APR and payment'!$E$5,'APR and payment'!$E$24,"")</f>
        <v>22461.231674784805</v>
      </c>
      <c r="D102" s="21">
        <f>IF(A102&lt;='APR and payment'!$E$5,C102-E102,"")</f>
        <v>6927.0608599987481</v>
      </c>
      <c r="E102" s="21">
        <f>IF(A102&lt;='APR and payment'!$E$5,F101*'APR and payment'!$E$6/'APR and payment'!$L$9,"")</f>
        <v>15534.170814786057</v>
      </c>
      <c r="F102" s="21">
        <f>IF(A102&lt;='APR and payment'!$E$5,F101-D102,"")</f>
        <v>3445110.8979813475</v>
      </c>
    </row>
    <row r="103" spans="1:6" x14ac:dyDescent="0.25">
      <c r="A103" s="15">
        <v>100</v>
      </c>
      <c r="B103" s="17">
        <f>IF(A103&lt;='APR and payment'!$E$5,'Remaining debt'!A103,"")</f>
        <v>100</v>
      </c>
      <c r="C103" s="21">
        <f>IF(A103&lt;='APR and payment'!$E$5,'APR and payment'!$E$24,"")</f>
        <v>22461.231674784805</v>
      </c>
      <c r="D103" s="21">
        <f>IF(A103&lt;='APR and payment'!$E$5,C103-E103,"")</f>
        <v>6958.2326338687435</v>
      </c>
      <c r="E103" s="21">
        <f>IF(A103&lt;='APR and payment'!$E$5,F102*'APR and payment'!$E$6/'APR and payment'!$L$9,"")</f>
        <v>15502.999040916062</v>
      </c>
      <c r="F103" s="21">
        <f>IF(A103&lt;='APR and payment'!$E$5,F102-D103,"")</f>
        <v>3438152.6653474788</v>
      </c>
    </row>
    <row r="104" spans="1:6" x14ac:dyDescent="0.25">
      <c r="A104" s="15">
        <v>101</v>
      </c>
      <c r="B104" s="17">
        <f>IF(A104&lt;='APR and payment'!$E$5,'Remaining debt'!A104,"")</f>
        <v>101</v>
      </c>
      <c r="C104" s="21">
        <f>IF(A104&lt;='APR and payment'!$E$5,'APR and payment'!$E$24,"")</f>
        <v>22461.231674784805</v>
      </c>
      <c r="D104" s="21">
        <f>IF(A104&lt;='APR and payment'!$E$5,C104-E104,"")</f>
        <v>6989.544680721152</v>
      </c>
      <c r="E104" s="21">
        <f>IF(A104&lt;='APR and payment'!$E$5,F103*'APR and payment'!$E$6/'APR and payment'!$L$9,"")</f>
        <v>15471.686994063653</v>
      </c>
      <c r="F104" s="21">
        <f>IF(A104&lt;='APR and payment'!$E$5,F103-D104,"")</f>
        <v>3431163.1206667577</v>
      </c>
    </row>
    <row r="105" spans="1:6" x14ac:dyDescent="0.25">
      <c r="A105" s="15">
        <v>102</v>
      </c>
      <c r="B105" s="17">
        <f>IF(A105&lt;='APR and payment'!$E$5,'Remaining debt'!A105,"")</f>
        <v>102</v>
      </c>
      <c r="C105" s="21">
        <f>IF(A105&lt;='APR and payment'!$E$5,'APR and payment'!$E$24,"")</f>
        <v>22461.231674784805</v>
      </c>
      <c r="D105" s="21">
        <f>IF(A105&lt;='APR and payment'!$E$5,C105-E105,"")</f>
        <v>7020.9976317843957</v>
      </c>
      <c r="E105" s="21">
        <f>IF(A105&lt;='APR and payment'!$E$5,F104*'APR and payment'!$E$6/'APR and payment'!$L$9,"")</f>
        <v>15440.23404300041</v>
      </c>
      <c r="F105" s="21">
        <f>IF(A105&lt;='APR and payment'!$E$5,F104-D105,"")</f>
        <v>3424142.1230349732</v>
      </c>
    </row>
    <row r="106" spans="1:6" x14ac:dyDescent="0.25">
      <c r="A106" s="15">
        <v>103</v>
      </c>
      <c r="B106" s="17">
        <f>IF(A106&lt;='APR and payment'!$E$5,'Remaining debt'!A106,"")</f>
        <v>103</v>
      </c>
      <c r="C106" s="21">
        <f>IF(A106&lt;='APR and payment'!$E$5,'APR and payment'!$E$24,"")</f>
        <v>22461.231674784805</v>
      </c>
      <c r="D106" s="21">
        <f>IF(A106&lt;='APR and payment'!$E$5,C106-E106,"")</f>
        <v>7052.5921211274272</v>
      </c>
      <c r="E106" s="21">
        <f>IF(A106&lt;='APR and payment'!$E$5,F105*'APR and payment'!$E$6/'APR and payment'!$L$9,"")</f>
        <v>15408.639553657378</v>
      </c>
      <c r="F106" s="21">
        <f>IF(A106&lt;='APR and payment'!$E$5,F105-D106,"")</f>
        <v>3417089.5309138456</v>
      </c>
    </row>
    <row r="107" spans="1:6" x14ac:dyDescent="0.25">
      <c r="A107" s="15">
        <v>104</v>
      </c>
      <c r="B107" s="17">
        <f>IF(A107&lt;='APR and payment'!$E$5,'Remaining debt'!A107,"")</f>
        <v>104</v>
      </c>
      <c r="C107" s="21">
        <f>IF(A107&lt;='APR and payment'!$E$5,'APR and payment'!$E$24,"")</f>
        <v>22461.231674784805</v>
      </c>
      <c r="D107" s="21">
        <f>IF(A107&lt;='APR and payment'!$E$5,C107-E107,"")</f>
        <v>7084.3287856725019</v>
      </c>
      <c r="E107" s="21">
        <f>IF(A107&lt;='APR and payment'!$E$5,F106*'APR and payment'!$E$6/'APR and payment'!$L$9,"")</f>
        <v>15376.902889112303</v>
      </c>
      <c r="F107" s="21">
        <f>IF(A107&lt;='APR and payment'!$E$5,F106-D107,"")</f>
        <v>3410005.2021281733</v>
      </c>
    </row>
    <row r="108" spans="1:6" x14ac:dyDescent="0.25">
      <c r="A108" s="15">
        <v>105</v>
      </c>
      <c r="B108" s="17">
        <f>IF(A108&lt;='APR and payment'!$E$5,'Remaining debt'!A108,"")</f>
        <v>105</v>
      </c>
      <c r="C108" s="21">
        <f>IF(A108&lt;='APR and payment'!$E$5,'APR and payment'!$E$24,"")</f>
        <v>22461.231674784805</v>
      </c>
      <c r="D108" s="21">
        <f>IF(A108&lt;='APR and payment'!$E$5,C108-E108,"")</f>
        <v>7116.2082652080262</v>
      </c>
      <c r="E108" s="21">
        <f>IF(A108&lt;='APR and payment'!$E$5,F107*'APR and payment'!$E$6/'APR and payment'!$L$9,"")</f>
        <v>15345.023409576779</v>
      </c>
      <c r="F108" s="21">
        <f>IF(A108&lt;='APR and payment'!$E$5,F107-D108,"")</f>
        <v>3402888.9938629651</v>
      </c>
    </row>
    <row r="109" spans="1:6" x14ac:dyDescent="0.25">
      <c r="A109" s="15">
        <v>106</v>
      </c>
      <c r="B109" s="17">
        <f>IF(A109&lt;='APR and payment'!$E$5,'Remaining debt'!A109,"")</f>
        <v>106</v>
      </c>
      <c r="C109" s="21">
        <f>IF(A109&lt;='APR and payment'!$E$5,'APR and payment'!$E$24,"")</f>
        <v>22461.231674784805</v>
      </c>
      <c r="D109" s="21">
        <f>IF(A109&lt;='APR and payment'!$E$5,C109-E109,"")</f>
        <v>7148.2312024014627</v>
      </c>
      <c r="E109" s="21">
        <f>IF(A109&lt;='APR and payment'!$E$5,F108*'APR and payment'!$E$6/'APR and payment'!$L$9,"")</f>
        <v>15313.000472383343</v>
      </c>
      <c r="F109" s="21">
        <f>IF(A109&lt;='APR and payment'!$E$5,F108-D109,"")</f>
        <v>3395740.7626605635</v>
      </c>
    </row>
    <row r="110" spans="1:6" x14ac:dyDescent="0.25">
      <c r="A110" s="15">
        <v>107</v>
      </c>
      <c r="B110" s="17">
        <f>IF(A110&lt;='APR and payment'!$E$5,'Remaining debt'!A110,"")</f>
        <v>107</v>
      </c>
      <c r="C110" s="21">
        <f>IF(A110&lt;='APR and payment'!$E$5,'APR and payment'!$E$24,"")</f>
        <v>22461.231674784805</v>
      </c>
      <c r="D110" s="21">
        <f>IF(A110&lt;='APR and payment'!$E$5,C110-E110,"")</f>
        <v>7180.3982428122708</v>
      </c>
      <c r="E110" s="21">
        <f>IF(A110&lt;='APR and payment'!$E$5,F109*'APR and payment'!$E$6/'APR and payment'!$L$9,"")</f>
        <v>15280.833431972535</v>
      </c>
      <c r="F110" s="21">
        <f>IF(A110&lt;='APR and payment'!$E$5,F109-D110,"")</f>
        <v>3388560.3644177513</v>
      </c>
    </row>
    <row r="111" spans="1:6" x14ac:dyDescent="0.25">
      <c r="A111" s="15">
        <v>108</v>
      </c>
      <c r="B111" s="17">
        <f>IF(A111&lt;='APR and payment'!$E$5,'Remaining debt'!A111,"")</f>
        <v>108</v>
      </c>
      <c r="C111" s="21">
        <f>IF(A111&lt;='APR and payment'!$E$5,'APR and payment'!$E$24,"")</f>
        <v>22461.231674784805</v>
      </c>
      <c r="D111" s="21">
        <f>IF(A111&lt;='APR and payment'!$E$5,C111-E111,"")</f>
        <v>7212.7100349049251</v>
      </c>
      <c r="E111" s="21">
        <f>IF(A111&lt;='APR and payment'!$E$5,F110*'APR and payment'!$E$6/'APR and payment'!$L$9,"")</f>
        <v>15248.52163987988</v>
      </c>
      <c r="F111" s="21">
        <f>IF(A111&lt;='APR and payment'!$E$5,F110-D111,"")</f>
        <v>3381347.6543828463</v>
      </c>
    </row>
    <row r="112" spans="1:6" x14ac:dyDescent="0.25">
      <c r="A112" s="15">
        <v>109</v>
      </c>
      <c r="B112" s="17">
        <f>IF(A112&lt;='APR and payment'!$E$5,'Remaining debt'!A112,"")</f>
        <v>109</v>
      </c>
      <c r="C112" s="21">
        <f>IF(A112&lt;='APR and payment'!$E$5,'APR and payment'!$E$24,"")</f>
        <v>22461.231674784805</v>
      </c>
      <c r="D112" s="21">
        <f>IF(A112&lt;='APR and payment'!$E$5,C112-E112,"")</f>
        <v>7245.1672300619957</v>
      </c>
      <c r="E112" s="21">
        <f>IF(A112&lt;='APR and payment'!$E$5,F111*'APR and payment'!$E$6/'APR and payment'!$L$9,"")</f>
        <v>15216.06444472281</v>
      </c>
      <c r="F112" s="21">
        <f>IF(A112&lt;='APR and payment'!$E$5,F111-D112,"")</f>
        <v>3374102.4871527841</v>
      </c>
    </row>
    <row r="113" spans="1:6" x14ac:dyDescent="0.25">
      <c r="A113" s="15">
        <v>110</v>
      </c>
      <c r="B113" s="17">
        <f>IF(A113&lt;='APR and payment'!$E$5,'Remaining debt'!A113,"")</f>
        <v>110</v>
      </c>
      <c r="C113" s="21">
        <f>IF(A113&lt;='APR and payment'!$E$5,'APR and payment'!$E$24,"")</f>
        <v>22461.231674784805</v>
      </c>
      <c r="D113" s="21">
        <f>IF(A113&lt;='APR and payment'!$E$5,C113-E113,"")</f>
        <v>7277.7704825972778</v>
      </c>
      <c r="E113" s="21">
        <f>IF(A113&lt;='APR and payment'!$E$5,F112*'APR and payment'!$E$6/'APR and payment'!$L$9,"")</f>
        <v>15183.461192187528</v>
      </c>
      <c r="F113" s="21">
        <f>IF(A113&lt;='APR and payment'!$E$5,F112-D113,"")</f>
        <v>3366824.7166701867</v>
      </c>
    </row>
    <row r="114" spans="1:6" x14ac:dyDescent="0.25">
      <c r="A114" s="15">
        <v>111</v>
      </c>
      <c r="B114" s="17">
        <f>IF(A114&lt;='APR and payment'!$E$5,'Remaining debt'!A114,"")</f>
        <v>111</v>
      </c>
      <c r="C114" s="21">
        <f>IF(A114&lt;='APR and payment'!$E$5,'APR and payment'!$E$24,"")</f>
        <v>22461.231674784805</v>
      </c>
      <c r="D114" s="21">
        <f>IF(A114&lt;='APR and payment'!$E$5,C114-E114,"")</f>
        <v>7310.5204497689647</v>
      </c>
      <c r="E114" s="21">
        <f>IF(A114&lt;='APR and payment'!$E$5,F113*'APR and payment'!$E$6/'APR and payment'!$L$9,"")</f>
        <v>15150.711225015841</v>
      </c>
      <c r="F114" s="21">
        <f>IF(A114&lt;='APR and payment'!$E$5,F113-D114,"")</f>
        <v>3359514.196220418</v>
      </c>
    </row>
    <row r="115" spans="1:6" x14ac:dyDescent="0.25">
      <c r="A115" s="15">
        <v>112</v>
      </c>
      <c r="B115" s="17">
        <f>IF(A115&lt;='APR and payment'!$E$5,'Remaining debt'!A115,"")</f>
        <v>112</v>
      </c>
      <c r="C115" s="21">
        <f>IF(A115&lt;='APR and payment'!$E$5,'APR and payment'!$E$24,"")</f>
        <v>22461.231674784805</v>
      </c>
      <c r="D115" s="21">
        <f>IF(A115&lt;='APR and payment'!$E$5,C115-E115,"")</f>
        <v>7343.4177917929246</v>
      </c>
      <c r="E115" s="21">
        <f>IF(A115&lt;='APR and payment'!$E$5,F114*'APR and payment'!$E$6/'APR and payment'!$L$9,"")</f>
        <v>15117.813882991881</v>
      </c>
      <c r="F115" s="21">
        <f>IF(A115&lt;='APR and payment'!$E$5,F114-D115,"")</f>
        <v>3352170.7784286248</v>
      </c>
    </row>
    <row r="116" spans="1:6" x14ac:dyDescent="0.25">
      <c r="A116" s="15">
        <v>113</v>
      </c>
      <c r="B116" s="17">
        <f>IF(A116&lt;='APR and payment'!$E$5,'Remaining debt'!A116,"")</f>
        <v>113</v>
      </c>
      <c r="C116" s="21">
        <f>IF(A116&lt;='APR and payment'!$E$5,'APR and payment'!$E$24,"")</f>
        <v>22461.231674784805</v>
      </c>
      <c r="D116" s="21">
        <f>IF(A116&lt;='APR and payment'!$E$5,C116-E116,"")</f>
        <v>7376.463171855994</v>
      </c>
      <c r="E116" s="21">
        <f>IF(A116&lt;='APR and payment'!$E$5,F115*'APR and payment'!$E$6/'APR and payment'!$L$9,"")</f>
        <v>15084.768502928811</v>
      </c>
      <c r="F116" s="21">
        <f>IF(A116&lt;='APR and payment'!$E$5,F115-D116,"")</f>
        <v>3344794.3152567688</v>
      </c>
    </row>
    <row r="117" spans="1:6" x14ac:dyDescent="0.25">
      <c r="A117" s="15">
        <v>114</v>
      </c>
      <c r="B117" s="17">
        <f>IF(A117&lt;='APR and payment'!$E$5,'Remaining debt'!A117,"")</f>
        <v>114</v>
      </c>
      <c r="C117" s="21">
        <f>IF(A117&lt;='APR and payment'!$E$5,'APR and payment'!$E$24,"")</f>
        <v>22461.231674784805</v>
      </c>
      <c r="D117" s="21">
        <f>IF(A117&lt;='APR and payment'!$E$5,C117-E117,"")</f>
        <v>7409.6572561293469</v>
      </c>
      <c r="E117" s="21">
        <f>IF(A117&lt;='APR and payment'!$E$5,F116*'APR and payment'!$E$6/'APR and payment'!$L$9,"")</f>
        <v>15051.574418655458</v>
      </c>
      <c r="F117" s="21">
        <f>IF(A117&lt;='APR and payment'!$E$5,F116-D117,"")</f>
        <v>3337384.6580006396</v>
      </c>
    </row>
    <row r="118" spans="1:6" x14ac:dyDescent="0.25">
      <c r="A118" s="15">
        <v>115</v>
      </c>
      <c r="B118" s="17">
        <f>IF(A118&lt;='APR and payment'!$E$5,'Remaining debt'!A118,"")</f>
        <v>115</v>
      </c>
      <c r="C118" s="21">
        <f>IF(A118&lt;='APR and payment'!$E$5,'APR and payment'!$E$24,"")</f>
        <v>22461.231674784805</v>
      </c>
      <c r="D118" s="21">
        <f>IF(A118&lt;='APR and payment'!$E$5,C118-E118,"")</f>
        <v>7443.0007137819284</v>
      </c>
      <c r="E118" s="21">
        <f>IF(A118&lt;='APR and payment'!$E$5,F117*'APR and payment'!$E$6/'APR and payment'!$L$9,"")</f>
        <v>15018.230961002877</v>
      </c>
      <c r="F118" s="21">
        <f>IF(A118&lt;='APR and payment'!$E$5,F117-D118,"")</f>
        <v>3329941.6572868577</v>
      </c>
    </row>
    <row r="119" spans="1:6" x14ac:dyDescent="0.25">
      <c r="A119" s="15">
        <v>116</v>
      </c>
      <c r="B119" s="17">
        <f>IF(A119&lt;='APR and payment'!$E$5,'Remaining debt'!A119,"")</f>
        <v>116</v>
      </c>
      <c r="C119" s="21">
        <f>IF(A119&lt;='APR and payment'!$E$5,'APR and payment'!$E$24,"")</f>
        <v>22461.231674784805</v>
      </c>
      <c r="D119" s="21">
        <f>IF(A119&lt;='APR and payment'!$E$5,C119-E119,"")</f>
        <v>7476.4942169939441</v>
      </c>
      <c r="E119" s="21">
        <f>IF(A119&lt;='APR and payment'!$E$5,F118*'APR and payment'!$E$6/'APR and payment'!$L$9,"")</f>
        <v>14984.737457790861</v>
      </c>
      <c r="F119" s="21">
        <f>IF(A119&lt;='APR and payment'!$E$5,F118-D119,"")</f>
        <v>3322465.1630698638</v>
      </c>
    </row>
    <row r="120" spans="1:6" x14ac:dyDescent="0.25">
      <c r="A120" s="15">
        <v>117</v>
      </c>
      <c r="B120" s="17">
        <f>IF(A120&lt;='APR and payment'!$E$5,'Remaining debt'!A120,"")</f>
        <v>117</v>
      </c>
      <c r="C120" s="21">
        <f>IF(A120&lt;='APR and payment'!$E$5,'APR and payment'!$E$24,"")</f>
        <v>22461.231674784805</v>
      </c>
      <c r="D120" s="21">
        <f>IF(A120&lt;='APR and payment'!$E$5,C120-E120,"")</f>
        <v>7510.1384409704169</v>
      </c>
      <c r="E120" s="21">
        <f>IF(A120&lt;='APR and payment'!$E$5,F119*'APR and payment'!$E$6/'APR and payment'!$L$9,"")</f>
        <v>14951.093233814388</v>
      </c>
      <c r="F120" s="21">
        <f>IF(A120&lt;='APR and payment'!$E$5,F119-D120,"")</f>
        <v>3314955.0246288935</v>
      </c>
    </row>
    <row r="121" spans="1:6" x14ac:dyDescent="0.25">
      <c r="A121" s="15">
        <v>118</v>
      </c>
      <c r="B121" s="17">
        <f>IF(A121&lt;='APR and payment'!$E$5,'Remaining debt'!A121,"")</f>
        <v>118</v>
      </c>
      <c r="C121" s="21">
        <f>IF(A121&lt;='APR and payment'!$E$5,'APR and payment'!$E$24,"")</f>
        <v>22461.231674784805</v>
      </c>
      <c r="D121" s="21">
        <f>IF(A121&lt;='APR and payment'!$E$5,C121-E121,"")</f>
        <v>7543.9340639547845</v>
      </c>
      <c r="E121" s="21">
        <f>IF(A121&lt;='APR and payment'!$E$5,F120*'APR and payment'!$E$6/'APR and payment'!$L$9,"")</f>
        <v>14917.297610830021</v>
      </c>
      <c r="F121" s="21">
        <f>IF(A121&lt;='APR and payment'!$E$5,F120-D121,"")</f>
        <v>3307411.0905649387</v>
      </c>
    </row>
    <row r="122" spans="1:6" x14ac:dyDescent="0.25">
      <c r="A122" s="15">
        <v>119</v>
      </c>
      <c r="B122" s="17">
        <f>IF(A122&lt;='APR and payment'!$E$5,'Remaining debt'!A122,"")</f>
        <v>119</v>
      </c>
      <c r="C122" s="21">
        <f>IF(A122&lt;='APR and payment'!$E$5,'APR and payment'!$E$24,"")</f>
        <v>22461.231674784805</v>
      </c>
      <c r="D122" s="21">
        <f>IF(A122&lt;='APR and payment'!$E$5,C122-E122,"")</f>
        <v>7577.8817672425812</v>
      </c>
      <c r="E122" s="21">
        <f>IF(A122&lt;='APR and payment'!$E$5,F121*'APR and payment'!$E$6/'APR and payment'!$L$9,"")</f>
        <v>14883.349907542224</v>
      </c>
      <c r="F122" s="21">
        <f>IF(A122&lt;='APR and payment'!$E$5,F121-D122,"")</f>
        <v>3299833.208797696</v>
      </c>
    </row>
    <row r="123" spans="1:6" x14ac:dyDescent="0.25">
      <c r="A123" s="15">
        <v>120</v>
      </c>
      <c r="B123" s="17">
        <f>IF(A123&lt;='APR and payment'!$E$5,'Remaining debt'!A123,"")</f>
        <v>120</v>
      </c>
      <c r="C123" s="21">
        <f>IF(A123&lt;='APR and payment'!$E$5,'APR and payment'!$E$24,"")</f>
        <v>22461.231674784805</v>
      </c>
      <c r="D123" s="21">
        <f>IF(A123&lt;='APR and payment'!$E$5,C123-E123,"")</f>
        <v>7611.9822351951716</v>
      </c>
      <c r="E123" s="21">
        <f>IF(A123&lt;='APR and payment'!$E$5,F122*'APR and payment'!$E$6/'APR and payment'!$L$9,"")</f>
        <v>14849.249439589634</v>
      </c>
      <c r="F123" s="21">
        <f>IF(A123&lt;='APR and payment'!$E$5,F122-D123,"")</f>
        <v>3292221.2265625009</v>
      </c>
    </row>
    <row r="124" spans="1:6" x14ac:dyDescent="0.25">
      <c r="A124" s="15">
        <v>121</v>
      </c>
      <c r="B124" s="17">
        <f>IF(A124&lt;='APR and payment'!$E$5,'Remaining debt'!A124,"")</f>
        <v>121</v>
      </c>
      <c r="C124" s="21">
        <f>IF(A124&lt;='APR and payment'!$E$5,'APR and payment'!$E$24,"")</f>
        <v>22461.231674784805</v>
      </c>
      <c r="D124" s="21">
        <f>IF(A124&lt;='APR and payment'!$E$5,C124-E124,"")</f>
        <v>7646.2361552535531</v>
      </c>
      <c r="E124" s="21">
        <f>IF(A124&lt;='APR and payment'!$E$5,F123*'APR and payment'!$E$6/'APR and payment'!$L$9,"")</f>
        <v>14814.995519531252</v>
      </c>
      <c r="F124" s="21">
        <f>IF(A124&lt;='APR and payment'!$E$5,F123-D124,"")</f>
        <v>3284574.9904072476</v>
      </c>
    </row>
    <row r="125" spans="1:6" x14ac:dyDescent="0.25">
      <c r="A125" s="15">
        <v>122</v>
      </c>
      <c r="B125" s="17">
        <f>IF(A125&lt;='APR and payment'!$E$5,'Remaining debt'!A125,"")</f>
        <v>122</v>
      </c>
      <c r="C125" s="21">
        <f>IF(A125&lt;='APR and payment'!$E$5,'APR and payment'!$E$24,"")</f>
        <v>22461.231674784805</v>
      </c>
      <c r="D125" s="21">
        <f>IF(A125&lt;='APR and payment'!$E$5,C125-E125,"")</f>
        <v>7680.6442179521928</v>
      </c>
      <c r="E125" s="21">
        <f>IF(A125&lt;='APR and payment'!$E$5,F124*'APR and payment'!$E$6/'APR and payment'!$L$9,"")</f>
        <v>14780.587456832613</v>
      </c>
      <c r="F125" s="21">
        <f>IF(A125&lt;='APR and payment'!$E$5,F124-D125,"")</f>
        <v>3276894.3461892954</v>
      </c>
    </row>
    <row r="126" spans="1:6" x14ac:dyDescent="0.25">
      <c r="A126" s="15">
        <v>123</v>
      </c>
      <c r="B126" s="17">
        <f>IF(A126&lt;='APR and payment'!$E$5,'Remaining debt'!A126,"")</f>
        <v>123</v>
      </c>
      <c r="C126" s="21">
        <f>IF(A126&lt;='APR and payment'!$E$5,'APR and payment'!$E$24,"")</f>
        <v>22461.231674784805</v>
      </c>
      <c r="D126" s="21">
        <f>IF(A126&lt;='APR and payment'!$E$5,C126-E126,"")</f>
        <v>7715.2071169329756</v>
      </c>
      <c r="E126" s="21">
        <f>IF(A126&lt;='APR and payment'!$E$5,F125*'APR and payment'!$E$6/'APR and payment'!$L$9,"")</f>
        <v>14746.02455785183</v>
      </c>
      <c r="F126" s="21">
        <f>IF(A126&lt;='APR and payment'!$E$5,F125-D126,"")</f>
        <v>3269179.1390723623</v>
      </c>
    </row>
    <row r="127" spans="1:6" x14ac:dyDescent="0.25">
      <c r="A127" s="15">
        <v>124</v>
      </c>
      <c r="B127" s="17">
        <f>IF(A127&lt;='APR and payment'!$E$5,'Remaining debt'!A127,"")</f>
        <v>124</v>
      </c>
      <c r="C127" s="21">
        <f>IF(A127&lt;='APR and payment'!$E$5,'APR and payment'!$E$24,"")</f>
        <v>22461.231674784805</v>
      </c>
      <c r="D127" s="21">
        <f>IF(A127&lt;='APR and payment'!$E$5,C127-E127,"")</f>
        <v>7749.925548959176</v>
      </c>
      <c r="E127" s="21">
        <f>IF(A127&lt;='APR and payment'!$E$5,F126*'APR and payment'!$E$6/'APR and payment'!$L$9,"")</f>
        <v>14711.306125825629</v>
      </c>
      <c r="F127" s="21">
        <f>IF(A127&lt;='APR and payment'!$E$5,F126-D127,"")</f>
        <v>3261429.2135234033</v>
      </c>
    </row>
    <row r="128" spans="1:6" x14ac:dyDescent="0.25">
      <c r="A128" s="15">
        <v>125</v>
      </c>
      <c r="B128" s="17">
        <f>IF(A128&lt;='APR and payment'!$E$5,'Remaining debt'!A128,"")</f>
        <v>125</v>
      </c>
      <c r="C128" s="21">
        <f>IF(A128&lt;='APR and payment'!$E$5,'APR and payment'!$E$24,"")</f>
        <v>22461.231674784805</v>
      </c>
      <c r="D128" s="21">
        <f>IF(A128&lt;='APR and payment'!$E$5,C128-E128,"")</f>
        <v>7784.8002139294895</v>
      </c>
      <c r="E128" s="21">
        <f>IF(A128&lt;='APR and payment'!$E$5,F127*'APR and payment'!$E$6/'APR and payment'!$L$9,"")</f>
        <v>14676.431460855316</v>
      </c>
      <c r="F128" s="21">
        <f>IF(A128&lt;='APR and payment'!$E$5,F127-D128,"")</f>
        <v>3253644.413309474</v>
      </c>
    </row>
    <row r="129" spans="1:6" x14ac:dyDescent="0.25">
      <c r="A129" s="15">
        <v>126</v>
      </c>
      <c r="B129" s="17">
        <f>IF(A129&lt;='APR and payment'!$E$5,'Remaining debt'!A129,"")</f>
        <v>126</v>
      </c>
      <c r="C129" s="21">
        <f>IF(A129&lt;='APR and payment'!$E$5,'APR and payment'!$E$24,"")</f>
        <v>22461.231674784805</v>
      </c>
      <c r="D129" s="21">
        <f>IF(A129&lt;='APR and payment'!$E$5,C129-E129,"")</f>
        <v>7819.8318148921717</v>
      </c>
      <c r="E129" s="21">
        <f>IF(A129&lt;='APR and payment'!$E$5,F128*'APR and payment'!$E$6/'APR and payment'!$L$9,"")</f>
        <v>14641.399859892634</v>
      </c>
      <c r="F129" s="21">
        <f>IF(A129&lt;='APR and payment'!$E$5,F128-D129,"")</f>
        <v>3245824.5814945819</v>
      </c>
    </row>
    <row r="130" spans="1:6" x14ac:dyDescent="0.25">
      <c r="A130" s="15">
        <v>127</v>
      </c>
      <c r="B130" s="17">
        <f>IF(A130&lt;='APR and payment'!$E$5,'Remaining debt'!A130,"")</f>
        <v>127</v>
      </c>
      <c r="C130" s="21">
        <f>IF(A130&lt;='APR and payment'!$E$5,'APR and payment'!$E$24,"")</f>
        <v>22461.231674784805</v>
      </c>
      <c r="D130" s="21">
        <f>IF(A130&lt;='APR and payment'!$E$5,C130-E130,"")</f>
        <v>7855.0210580591865</v>
      </c>
      <c r="E130" s="21">
        <f>IF(A130&lt;='APR and payment'!$E$5,F129*'APR and payment'!$E$6/'APR and payment'!$L$9,"")</f>
        <v>14606.210616725619</v>
      </c>
      <c r="F130" s="21">
        <f>IF(A130&lt;='APR and payment'!$E$5,F129-D130,"")</f>
        <v>3237969.5604365226</v>
      </c>
    </row>
    <row r="131" spans="1:6" x14ac:dyDescent="0.25">
      <c r="A131" s="15">
        <v>128</v>
      </c>
      <c r="B131" s="17">
        <f>IF(A131&lt;='APR and payment'!$E$5,'Remaining debt'!A131,"")</f>
        <v>128</v>
      </c>
      <c r="C131" s="21">
        <f>IF(A131&lt;='APR and payment'!$E$5,'APR and payment'!$E$24,"")</f>
        <v>22461.231674784805</v>
      </c>
      <c r="D131" s="21">
        <f>IF(A131&lt;='APR and payment'!$E$5,C131-E131,"")</f>
        <v>7890.3686528204544</v>
      </c>
      <c r="E131" s="21">
        <f>IF(A131&lt;='APR and payment'!$E$5,F130*'APR and payment'!$E$6/'APR and payment'!$L$9,"")</f>
        <v>14570.863021964351</v>
      </c>
      <c r="F131" s="21">
        <f>IF(A131&lt;='APR and payment'!$E$5,F130-D131,"")</f>
        <v>3230079.191783702</v>
      </c>
    </row>
    <row r="132" spans="1:6" x14ac:dyDescent="0.25">
      <c r="A132" s="15">
        <v>129</v>
      </c>
      <c r="B132" s="17">
        <f>IF(A132&lt;='APR and payment'!$E$5,'Remaining debt'!A132,"")</f>
        <v>129</v>
      </c>
      <c r="C132" s="21">
        <f>IF(A132&lt;='APR and payment'!$E$5,'APR and payment'!$E$24,"")</f>
        <v>22461.231674784805</v>
      </c>
      <c r="D132" s="21">
        <f>IF(A132&lt;='APR and payment'!$E$5,C132-E132,"")</f>
        <v>7925.8753117581473</v>
      </c>
      <c r="E132" s="21">
        <f>IF(A132&lt;='APR and payment'!$E$5,F131*'APR and payment'!$E$6/'APR and payment'!$L$9,"")</f>
        <v>14535.356363026658</v>
      </c>
      <c r="F132" s="21">
        <f>IF(A132&lt;='APR and payment'!$E$5,F131-D132,"")</f>
        <v>3222153.3164719436</v>
      </c>
    </row>
    <row r="133" spans="1:6" x14ac:dyDescent="0.25">
      <c r="A133" s="15">
        <v>130</v>
      </c>
      <c r="B133" s="17">
        <f>IF(A133&lt;='APR and payment'!$E$5,'Remaining debt'!A133,"")</f>
        <v>130</v>
      </c>
      <c r="C133" s="21">
        <f>IF(A133&lt;='APR and payment'!$E$5,'APR and payment'!$E$24,"")</f>
        <v>22461.231674784805</v>
      </c>
      <c r="D133" s="21">
        <f>IF(A133&lt;='APR and payment'!$E$5,C133-E133,"")</f>
        <v>7961.5417506610593</v>
      </c>
      <c r="E133" s="21">
        <f>IF(A133&lt;='APR and payment'!$E$5,F132*'APR and payment'!$E$6/'APR and payment'!$L$9,"")</f>
        <v>14499.689924123746</v>
      </c>
      <c r="F133" s="21">
        <f>IF(A133&lt;='APR and payment'!$E$5,F132-D133,"")</f>
        <v>3214191.7747212825</v>
      </c>
    </row>
    <row r="134" spans="1:6" x14ac:dyDescent="0.25">
      <c r="A134" s="15">
        <v>131</v>
      </c>
      <c r="B134" s="17">
        <f>IF(A134&lt;='APR and payment'!$E$5,'Remaining debt'!A134,"")</f>
        <v>131</v>
      </c>
      <c r="C134" s="21">
        <f>IF(A134&lt;='APR and payment'!$E$5,'APR and payment'!$E$24,"")</f>
        <v>22461.231674784805</v>
      </c>
      <c r="D134" s="21">
        <f>IF(A134&lt;='APR and payment'!$E$5,C134-E134,"")</f>
        <v>7997.3686885390325</v>
      </c>
      <c r="E134" s="21">
        <f>IF(A134&lt;='APR and payment'!$E$5,F133*'APR and payment'!$E$6/'APR and payment'!$L$9,"")</f>
        <v>14463.862986245773</v>
      </c>
      <c r="F134" s="21">
        <f>IF(A134&lt;='APR and payment'!$E$5,F133-D134,"")</f>
        <v>3206194.4060327434</v>
      </c>
    </row>
    <row r="135" spans="1:6" x14ac:dyDescent="0.25">
      <c r="A135" s="15">
        <v>132</v>
      </c>
      <c r="B135" s="17">
        <f>IF(A135&lt;='APR and payment'!$E$5,'Remaining debt'!A135,"")</f>
        <v>132</v>
      </c>
      <c r="C135" s="21">
        <f>IF(A135&lt;='APR and payment'!$E$5,'APR and payment'!$E$24,"")</f>
        <v>22461.231674784805</v>
      </c>
      <c r="D135" s="21">
        <f>IF(A135&lt;='APR and payment'!$E$5,C135-E135,"")</f>
        <v>8033.3568476374603</v>
      </c>
      <c r="E135" s="21">
        <f>IF(A135&lt;='APR and payment'!$E$5,F134*'APR and payment'!$E$6/'APR and payment'!$L$9,"")</f>
        <v>14427.874827147345</v>
      </c>
      <c r="F135" s="21">
        <f>IF(A135&lt;='APR and payment'!$E$5,F134-D135,"")</f>
        <v>3198161.0491851061</v>
      </c>
    </row>
    <row r="136" spans="1:6" x14ac:dyDescent="0.25">
      <c r="A136" s="15">
        <v>133</v>
      </c>
      <c r="B136" s="17">
        <f>IF(A136&lt;='APR and payment'!$E$5,'Remaining debt'!A136,"")</f>
        <v>133</v>
      </c>
      <c r="C136" s="21">
        <f>IF(A136&lt;='APR and payment'!$E$5,'APR and payment'!$E$24,"")</f>
        <v>22461.231674784805</v>
      </c>
      <c r="D136" s="21">
        <f>IF(A136&lt;='APR and payment'!$E$5,C136-E136,"")</f>
        <v>8069.5069534518279</v>
      </c>
      <c r="E136" s="21">
        <f>IF(A136&lt;='APR and payment'!$E$5,F135*'APR and payment'!$E$6/'APR and payment'!$L$9,"")</f>
        <v>14391.724721332977</v>
      </c>
      <c r="F136" s="21">
        <f>IF(A136&lt;='APR and payment'!$E$5,F135-D136,"")</f>
        <v>3190091.5422316543</v>
      </c>
    </row>
    <row r="137" spans="1:6" x14ac:dyDescent="0.25">
      <c r="A137" s="15">
        <v>134</v>
      </c>
      <c r="B137" s="17">
        <f>IF(A137&lt;='APR and payment'!$E$5,'Remaining debt'!A137,"")</f>
        <v>134</v>
      </c>
      <c r="C137" s="21">
        <f>IF(A137&lt;='APR and payment'!$E$5,'APR and payment'!$E$24,"")</f>
        <v>22461.231674784805</v>
      </c>
      <c r="D137" s="21">
        <f>IF(A137&lt;='APR and payment'!$E$5,C137-E137,"")</f>
        <v>8105.8197347423611</v>
      </c>
      <c r="E137" s="21">
        <f>IF(A137&lt;='APR and payment'!$E$5,F136*'APR and payment'!$E$6/'APR and payment'!$L$9,"")</f>
        <v>14355.411940042444</v>
      </c>
      <c r="F137" s="21">
        <f>IF(A137&lt;='APR and payment'!$E$5,F136-D137,"")</f>
        <v>3181985.7224969119</v>
      </c>
    </row>
    <row r="138" spans="1:6" x14ac:dyDescent="0.25">
      <c r="A138" s="15">
        <v>135</v>
      </c>
      <c r="B138" s="17">
        <f>IF(A138&lt;='APR and payment'!$E$5,'Remaining debt'!A138,"")</f>
        <v>135</v>
      </c>
      <c r="C138" s="21">
        <f>IF(A138&lt;='APR and payment'!$E$5,'APR and payment'!$E$24,"")</f>
        <v>22461.231674784805</v>
      </c>
      <c r="D138" s="21">
        <f>IF(A138&lt;='APR and payment'!$E$5,C138-E138,"")</f>
        <v>8142.2959235487015</v>
      </c>
      <c r="E138" s="21">
        <f>IF(A138&lt;='APR and payment'!$E$5,F137*'APR and payment'!$E$6/'APR and payment'!$L$9,"")</f>
        <v>14318.935751236104</v>
      </c>
      <c r="F138" s="21">
        <f>IF(A138&lt;='APR and payment'!$E$5,F137-D138,"")</f>
        <v>3173843.4265733631</v>
      </c>
    </row>
    <row r="139" spans="1:6" x14ac:dyDescent="0.25">
      <c r="A139" s="15">
        <v>136</v>
      </c>
      <c r="B139" s="17">
        <f>IF(A139&lt;='APR and payment'!$E$5,'Remaining debt'!A139,"")</f>
        <v>136</v>
      </c>
      <c r="C139" s="21">
        <f>IF(A139&lt;='APR and payment'!$E$5,'APR and payment'!$E$24,"")</f>
        <v>22461.231674784805</v>
      </c>
      <c r="D139" s="21">
        <f>IF(A139&lt;='APR and payment'!$E$5,C139-E139,"")</f>
        <v>8178.9362552046714</v>
      </c>
      <c r="E139" s="21">
        <f>IF(A139&lt;='APR and payment'!$E$5,F138*'APR and payment'!$E$6/'APR and payment'!$L$9,"")</f>
        <v>14282.295419580134</v>
      </c>
      <c r="F139" s="21">
        <f>IF(A139&lt;='APR and payment'!$E$5,F138-D139,"")</f>
        <v>3165664.4903181586</v>
      </c>
    </row>
    <row r="140" spans="1:6" x14ac:dyDescent="0.25">
      <c r="A140" s="15">
        <v>137</v>
      </c>
      <c r="B140" s="17">
        <f>IF(A140&lt;='APR and payment'!$E$5,'Remaining debt'!A140,"")</f>
        <v>137</v>
      </c>
      <c r="C140" s="21">
        <f>IF(A140&lt;='APR and payment'!$E$5,'APR and payment'!$E$24,"")</f>
        <v>22461.231674784805</v>
      </c>
      <c r="D140" s="21">
        <f>IF(A140&lt;='APR and payment'!$E$5,C140-E140,"")</f>
        <v>8215.7414683530915</v>
      </c>
      <c r="E140" s="21">
        <f>IF(A140&lt;='APR and payment'!$E$5,F139*'APR and payment'!$E$6/'APR and payment'!$L$9,"")</f>
        <v>14245.490206431714</v>
      </c>
      <c r="F140" s="21">
        <f>IF(A140&lt;='APR and payment'!$E$5,F139-D140,"")</f>
        <v>3157448.7488498054</v>
      </c>
    </row>
    <row r="141" spans="1:6" x14ac:dyDescent="0.25">
      <c r="A141" s="15">
        <v>138</v>
      </c>
      <c r="B141" s="17">
        <f>IF(A141&lt;='APR and payment'!$E$5,'Remaining debt'!A141,"")</f>
        <v>138</v>
      </c>
      <c r="C141" s="21">
        <f>IF(A141&lt;='APR and payment'!$E$5,'APR and payment'!$E$24,"")</f>
        <v>22461.231674784805</v>
      </c>
      <c r="D141" s="21">
        <f>IF(A141&lt;='APR and payment'!$E$5,C141-E141,"")</f>
        <v>8252.7123049606798</v>
      </c>
      <c r="E141" s="21">
        <f>IF(A141&lt;='APR and payment'!$E$5,F140*'APR and payment'!$E$6/'APR and payment'!$L$9,"")</f>
        <v>14208.519369824126</v>
      </c>
      <c r="F141" s="21">
        <f>IF(A141&lt;='APR and payment'!$E$5,F140-D141,"")</f>
        <v>3149196.036544845</v>
      </c>
    </row>
    <row r="142" spans="1:6" x14ac:dyDescent="0.25">
      <c r="A142" s="15">
        <v>139</v>
      </c>
      <c r="B142" s="17">
        <f>IF(A142&lt;='APR and payment'!$E$5,'Remaining debt'!A142,"")</f>
        <v>139</v>
      </c>
      <c r="C142" s="21">
        <f>IF(A142&lt;='APR and payment'!$E$5,'APR and payment'!$E$24,"")</f>
        <v>22461.231674784805</v>
      </c>
      <c r="D142" s="21">
        <f>IF(A142&lt;='APR and payment'!$E$5,C142-E142,"")</f>
        <v>8289.8495103330024</v>
      </c>
      <c r="E142" s="21">
        <f>IF(A142&lt;='APR and payment'!$E$5,F141*'APR and payment'!$E$6/'APR and payment'!$L$9,"")</f>
        <v>14171.382164451803</v>
      </c>
      <c r="F142" s="21">
        <f>IF(A142&lt;='APR and payment'!$E$5,F141-D142,"")</f>
        <v>3140906.1870345119</v>
      </c>
    </row>
    <row r="143" spans="1:6" x14ac:dyDescent="0.25">
      <c r="A143" s="15">
        <v>140</v>
      </c>
      <c r="B143" s="17">
        <f>IF(A143&lt;='APR and payment'!$E$5,'Remaining debt'!A143,"")</f>
        <v>140</v>
      </c>
      <c r="C143" s="21">
        <f>IF(A143&lt;='APR and payment'!$E$5,'APR and payment'!$E$24,"")</f>
        <v>22461.231674784805</v>
      </c>
      <c r="D143" s="21">
        <f>IF(A143&lt;='APR and payment'!$E$5,C143-E143,"")</f>
        <v>8327.1538331295033</v>
      </c>
      <c r="E143" s="21">
        <f>IF(A143&lt;='APR and payment'!$E$5,F142*'APR and payment'!$E$6/'APR and payment'!$L$9,"")</f>
        <v>14134.077841655302</v>
      </c>
      <c r="F143" s="21">
        <f>IF(A143&lt;='APR and payment'!$E$5,F142-D143,"")</f>
        <v>3132579.0332013825</v>
      </c>
    </row>
    <row r="144" spans="1:6" x14ac:dyDescent="0.25">
      <c r="A144" s="15">
        <v>141</v>
      </c>
      <c r="B144" s="17">
        <f>IF(A144&lt;='APR and payment'!$E$5,'Remaining debt'!A144,"")</f>
        <v>141</v>
      </c>
      <c r="C144" s="21">
        <f>IF(A144&lt;='APR and payment'!$E$5,'APR and payment'!$E$24,"")</f>
        <v>22461.231674784805</v>
      </c>
      <c r="D144" s="21">
        <f>IF(A144&lt;='APR and payment'!$E$5,C144-E144,"")</f>
        <v>8364.626025378584</v>
      </c>
      <c r="E144" s="21">
        <f>IF(A144&lt;='APR and payment'!$E$5,F143*'APR and payment'!$E$6/'APR and payment'!$L$9,"")</f>
        <v>14096.605649406221</v>
      </c>
      <c r="F144" s="21">
        <f>IF(A144&lt;='APR and payment'!$E$5,F143-D144,"")</f>
        <v>3124214.4071760038</v>
      </c>
    </row>
    <row r="145" spans="1:6" x14ac:dyDescent="0.25">
      <c r="A145" s="15">
        <v>142</v>
      </c>
      <c r="B145" s="17">
        <f>IF(A145&lt;='APR and payment'!$E$5,'Remaining debt'!A145,"")</f>
        <v>142</v>
      </c>
      <c r="C145" s="21">
        <f>IF(A145&lt;='APR and payment'!$E$5,'APR and payment'!$E$24,"")</f>
        <v>22461.231674784805</v>
      </c>
      <c r="D145" s="21">
        <f>IF(A145&lt;='APR and payment'!$E$5,C145-E145,"")</f>
        <v>8402.2668424927888</v>
      </c>
      <c r="E145" s="21">
        <f>IF(A145&lt;='APR and payment'!$E$5,F144*'APR and payment'!$E$6/'APR and payment'!$L$9,"")</f>
        <v>14058.964832292017</v>
      </c>
      <c r="F145" s="21">
        <f>IF(A145&lt;='APR and payment'!$E$5,F144-D145,"")</f>
        <v>3115812.1403335109</v>
      </c>
    </row>
    <row r="146" spans="1:6" x14ac:dyDescent="0.25">
      <c r="A146" s="15">
        <v>143</v>
      </c>
      <c r="B146" s="17">
        <f>IF(A146&lt;='APR and payment'!$E$5,'Remaining debt'!A146,"")</f>
        <v>143</v>
      </c>
      <c r="C146" s="21">
        <f>IF(A146&lt;='APR and payment'!$E$5,'APR and payment'!$E$24,"")</f>
        <v>22461.231674784805</v>
      </c>
      <c r="D146" s="21">
        <f>IF(A146&lt;='APR and payment'!$E$5,C146-E146,"")</f>
        <v>8440.0770432840054</v>
      </c>
      <c r="E146" s="21">
        <f>IF(A146&lt;='APR and payment'!$E$5,F145*'APR and payment'!$E$6/'APR and payment'!$L$9,"")</f>
        <v>14021.1546315008</v>
      </c>
      <c r="F146" s="21">
        <f>IF(A146&lt;='APR and payment'!$E$5,F145-D146,"")</f>
        <v>3107372.0632902267</v>
      </c>
    </row>
    <row r="147" spans="1:6" x14ac:dyDescent="0.25">
      <c r="A147" s="15">
        <v>144</v>
      </c>
      <c r="B147" s="17">
        <f>IF(A147&lt;='APR and payment'!$E$5,'Remaining debt'!A147,"")</f>
        <v>144</v>
      </c>
      <c r="C147" s="21">
        <f>IF(A147&lt;='APR and payment'!$E$5,'APR and payment'!$E$24,"")</f>
        <v>22461.231674784805</v>
      </c>
      <c r="D147" s="21">
        <f>IF(A147&lt;='APR and payment'!$E$5,C147-E147,"")</f>
        <v>8478.0573899787869</v>
      </c>
      <c r="E147" s="21">
        <f>IF(A147&lt;='APR and payment'!$E$5,F146*'APR and payment'!$E$6/'APR and payment'!$L$9,"")</f>
        <v>13983.174284806018</v>
      </c>
      <c r="F147" s="21">
        <f>IF(A147&lt;='APR and payment'!$E$5,F146-D147,"")</f>
        <v>3098894.005900248</v>
      </c>
    </row>
    <row r="148" spans="1:6" x14ac:dyDescent="0.25">
      <c r="A148" s="15">
        <v>145</v>
      </c>
      <c r="B148" s="17">
        <f>IF(A148&lt;='APR and payment'!$E$5,'Remaining debt'!A148,"")</f>
        <v>145</v>
      </c>
      <c r="C148" s="21">
        <f>IF(A148&lt;='APR and payment'!$E$5,'APR and payment'!$E$24,"")</f>
        <v>22461.231674784805</v>
      </c>
      <c r="D148" s="21">
        <f>IF(A148&lt;='APR and payment'!$E$5,C148-E148,"")</f>
        <v>8516.2086482336908</v>
      </c>
      <c r="E148" s="21">
        <f>IF(A148&lt;='APR and payment'!$E$5,F147*'APR and payment'!$E$6/'APR and payment'!$L$9,"")</f>
        <v>13945.023026551115</v>
      </c>
      <c r="F148" s="21">
        <f>IF(A148&lt;='APR and payment'!$E$5,F147-D148,"")</f>
        <v>3090377.7972520143</v>
      </c>
    </row>
    <row r="149" spans="1:6" x14ac:dyDescent="0.25">
      <c r="A149" s="15">
        <v>146</v>
      </c>
      <c r="B149" s="17">
        <f>IF(A149&lt;='APR and payment'!$E$5,'Remaining debt'!A149,"")</f>
        <v>146</v>
      </c>
      <c r="C149" s="21">
        <f>IF(A149&lt;='APR and payment'!$E$5,'APR and payment'!$E$24,"")</f>
        <v>22461.231674784805</v>
      </c>
      <c r="D149" s="21">
        <f>IF(A149&lt;='APR and payment'!$E$5,C149-E149,"")</f>
        <v>8554.5315871507428</v>
      </c>
      <c r="E149" s="21">
        <f>IF(A149&lt;='APR and payment'!$E$5,F148*'APR and payment'!$E$6/'APR and payment'!$L$9,"")</f>
        <v>13906.700087634063</v>
      </c>
      <c r="F149" s="21">
        <f>IF(A149&lt;='APR and payment'!$E$5,F148-D149,"")</f>
        <v>3081823.2656648634</v>
      </c>
    </row>
    <row r="150" spans="1:6" x14ac:dyDescent="0.25">
      <c r="A150" s="15">
        <v>147</v>
      </c>
      <c r="B150" s="17">
        <f>IF(A150&lt;='APR and payment'!$E$5,'Remaining debt'!A150,"")</f>
        <v>147</v>
      </c>
      <c r="C150" s="21">
        <f>IF(A150&lt;='APR and payment'!$E$5,'APR and payment'!$E$24,"")</f>
        <v>22461.231674784805</v>
      </c>
      <c r="D150" s="21">
        <f>IF(A150&lt;='APR and payment'!$E$5,C150-E150,"")</f>
        <v>8593.0269792929212</v>
      </c>
      <c r="E150" s="21">
        <f>IF(A150&lt;='APR and payment'!$E$5,F149*'APR and payment'!$E$6/'APR and payment'!$L$9,"")</f>
        <v>13868.204695491884</v>
      </c>
      <c r="F150" s="21">
        <f>IF(A150&lt;='APR and payment'!$E$5,F149-D150,"")</f>
        <v>3073230.2386855707</v>
      </c>
    </row>
    <row r="151" spans="1:6" x14ac:dyDescent="0.25">
      <c r="A151" s="15">
        <v>148</v>
      </c>
      <c r="B151" s="17">
        <f>IF(A151&lt;='APR and payment'!$E$5,'Remaining debt'!A151,"")</f>
        <v>148</v>
      </c>
      <c r="C151" s="21">
        <f>IF(A151&lt;='APR and payment'!$E$5,'APR and payment'!$E$24,"")</f>
        <v>22461.231674784805</v>
      </c>
      <c r="D151" s="21">
        <f>IF(A151&lt;='APR and payment'!$E$5,C151-E151,"")</f>
        <v>8631.695600699737</v>
      </c>
      <c r="E151" s="21">
        <f>IF(A151&lt;='APR and payment'!$E$5,F150*'APR and payment'!$E$6/'APR and payment'!$L$9,"")</f>
        <v>13829.536074085068</v>
      </c>
      <c r="F151" s="21">
        <f>IF(A151&lt;='APR and payment'!$E$5,F150-D151,"")</f>
        <v>3064598.543084871</v>
      </c>
    </row>
    <row r="152" spans="1:6" x14ac:dyDescent="0.25">
      <c r="A152" s="15">
        <v>149</v>
      </c>
      <c r="B152" s="17">
        <f>IF(A152&lt;='APR and payment'!$E$5,'Remaining debt'!A152,"")</f>
        <v>149</v>
      </c>
      <c r="C152" s="21">
        <f>IF(A152&lt;='APR and payment'!$E$5,'APR and payment'!$E$24,"")</f>
        <v>22461.231674784805</v>
      </c>
      <c r="D152" s="21">
        <f>IF(A152&lt;='APR and payment'!$E$5,C152-E152,"")</f>
        <v>8670.5382309028846</v>
      </c>
      <c r="E152" s="21">
        <f>IF(A152&lt;='APR and payment'!$E$5,F151*'APR and payment'!$E$6/'APR and payment'!$L$9,"")</f>
        <v>13790.693443881921</v>
      </c>
      <c r="F152" s="21">
        <f>IF(A152&lt;='APR and payment'!$E$5,F151-D152,"")</f>
        <v>3055928.004853968</v>
      </c>
    </row>
    <row r="153" spans="1:6" x14ac:dyDescent="0.25">
      <c r="A153" s="15">
        <v>150</v>
      </c>
      <c r="B153" s="17">
        <f>IF(A153&lt;='APR and payment'!$E$5,'Remaining debt'!A153,"")</f>
        <v>150</v>
      </c>
      <c r="C153" s="21">
        <f>IF(A153&lt;='APR and payment'!$E$5,'APR and payment'!$E$24,"")</f>
        <v>22461.231674784805</v>
      </c>
      <c r="D153" s="21">
        <f>IF(A153&lt;='APR and payment'!$E$5,C153-E153,"")</f>
        <v>8709.55565294195</v>
      </c>
      <c r="E153" s="21">
        <f>IF(A153&lt;='APR and payment'!$E$5,F152*'APR and payment'!$E$6/'APR and payment'!$L$9,"")</f>
        <v>13751.676021842855</v>
      </c>
      <c r="F153" s="21">
        <f>IF(A153&lt;='APR and payment'!$E$5,F152-D153,"")</f>
        <v>3047218.449201026</v>
      </c>
    </row>
    <row r="154" spans="1:6" x14ac:dyDescent="0.25">
      <c r="A154" s="15">
        <v>151</v>
      </c>
      <c r="B154" s="17">
        <f>IF(A154&lt;='APR and payment'!$E$5,'Remaining debt'!A154,"")</f>
        <v>151</v>
      </c>
      <c r="C154" s="21">
        <f>IF(A154&lt;='APR and payment'!$E$5,'APR and payment'!$E$24,"")</f>
        <v>22461.231674784805</v>
      </c>
      <c r="D154" s="21">
        <f>IF(A154&lt;='APR and payment'!$E$5,C154-E154,"")</f>
        <v>8748.7486533801894</v>
      </c>
      <c r="E154" s="21">
        <f>IF(A154&lt;='APR and payment'!$E$5,F153*'APR and payment'!$E$6/'APR and payment'!$L$9,"")</f>
        <v>13712.483021404616</v>
      </c>
      <c r="F154" s="21">
        <f>IF(A154&lt;='APR and payment'!$E$5,F153-D154,"")</f>
        <v>3038469.7005476458</v>
      </c>
    </row>
    <row r="155" spans="1:6" x14ac:dyDescent="0.25">
      <c r="A155" s="15">
        <v>152</v>
      </c>
      <c r="B155" s="17">
        <f>IF(A155&lt;='APR and payment'!$E$5,'Remaining debt'!A155,"")</f>
        <v>152</v>
      </c>
      <c r="C155" s="21">
        <f>IF(A155&lt;='APR and payment'!$E$5,'APR and payment'!$E$24,"")</f>
        <v>22461.231674784805</v>
      </c>
      <c r="D155" s="21">
        <f>IF(A155&lt;='APR and payment'!$E$5,C155-E155,"")</f>
        <v>8788.118022320401</v>
      </c>
      <c r="E155" s="21">
        <f>IF(A155&lt;='APR and payment'!$E$5,F154*'APR and payment'!$E$6/'APR and payment'!$L$9,"")</f>
        <v>13673.113652464404</v>
      </c>
      <c r="F155" s="21">
        <f>IF(A155&lt;='APR and payment'!$E$5,F154-D155,"")</f>
        <v>3029681.5825253255</v>
      </c>
    </row>
    <row r="156" spans="1:6" x14ac:dyDescent="0.25">
      <c r="A156" s="15">
        <v>153</v>
      </c>
      <c r="B156" s="17">
        <f>IF(A156&lt;='APR and payment'!$E$5,'Remaining debt'!A156,"")</f>
        <v>153</v>
      </c>
      <c r="C156" s="21">
        <f>IF(A156&lt;='APR and payment'!$E$5,'APR and payment'!$E$24,"")</f>
        <v>22461.231674784805</v>
      </c>
      <c r="D156" s="21">
        <f>IF(A156&lt;='APR and payment'!$E$5,C156-E156,"")</f>
        <v>8827.6645534208401</v>
      </c>
      <c r="E156" s="21">
        <f>IF(A156&lt;='APR and payment'!$E$5,F155*'APR and payment'!$E$6/'APR and payment'!$L$9,"")</f>
        <v>13633.567121363965</v>
      </c>
      <c r="F156" s="21">
        <f>IF(A156&lt;='APR and payment'!$E$5,F155-D156,"")</f>
        <v>3020853.9179719049</v>
      </c>
    </row>
    <row r="157" spans="1:6" x14ac:dyDescent="0.25">
      <c r="A157" s="15">
        <v>154</v>
      </c>
      <c r="B157" s="17">
        <f>IF(A157&lt;='APR and payment'!$E$5,'Remaining debt'!A157,"")</f>
        <v>154</v>
      </c>
      <c r="C157" s="21">
        <f>IF(A157&lt;='APR and payment'!$E$5,'APR and payment'!$E$24,"")</f>
        <v>22461.231674784805</v>
      </c>
      <c r="D157" s="21">
        <f>IF(A157&lt;='APR and payment'!$E$5,C157-E157,"")</f>
        <v>8867.3890439112329</v>
      </c>
      <c r="E157" s="21">
        <f>IF(A157&lt;='APR and payment'!$E$5,F156*'APR and payment'!$E$6/'APR and payment'!$L$9,"")</f>
        <v>13593.842630873572</v>
      </c>
      <c r="F157" s="21">
        <f>IF(A157&lt;='APR and payment'!$E$5,F156-D157,"")</f>
        <v>3011986.5289279935</v>
      </c>
    </row>
    <row r="158" spans="1:6" x14ac:dyDescent="0.25">
      <c r="A158" s="15">
        <v>155</v>
      </c>
      <c r="B158" s="17">
        <f>IF(A158&lt;='APR and payment'!$E$5,'Remaining debt'!A158,"")</f>
        <v>155</v>
      </c>
      <c r="C158" s="21">
        <f>IF(A158&lt;='APR and payment'!$E$5,'APR and payment'!$E$24,"")</f>
        <v>22461.231674784805</v>
      </c>
      <c r="D158" s="21">
        <f>IF(A158&lt;='APR and payment'!$E$5,C158-E158,"")</f>
        <v>8907.2922946088347</v>
      </c>
      <c r="E158" s="21">
        <f>IF(A158&lt;='APR and payment'!$E$5,F157*'APR and payment'!$E$6/'APR and payment'!$L$9,"")</f>
        <v>13553.939380175971</v>
      </c>
      <c r="F158" s="21">
        <f>IF(A158&lt;='APR and payment'!$E$5,F157-D158,"")</f>
        <v>3003079.2366333846</v>
      </c>
    </row>
    <row r="159" spans="1:6" x14ac:dyDescent="0.25">
      <c r="A159" s="15">
        <v>156</v>
      </c>
      <c r="B159" s="17">
        <f>IF(A159&lt;='APR and payment'!$E$5,'Remaining debt'!A159,"")</f>
        <v>156</v>
      </c>
      <c r="C159" s="21">
        <f>IF(A159&lt;='APR and payment'!$E$5,'APR and payment'!$E$24,"")</f>
        <v>22461.231674784805</v>
      </c>
      <c r="D159" s="21">
        <f>IF(A159&lt;='APR and payment'!$E$5,C159-E159,"")</f>
        <v>8947.3751099345736</v>
      </c>
      <c r="E159" s="21">
        <f>IF(A159&lt;='APR and payment'!$E$5,F158*'APR and payment'!$E$6/'APR and payment'!$L$9,"")</f>
        <v>13513.856564850232</v>
      </c>
      <c r="F159" s="21">
        <f>IF(A159&lt;='APR and payment'!$E$5,F158-D159,"")</f>
        <v>2994131.8615234499</v>
      </c>
    </row>
    <row r="160" spans="1:6" x14ac:dyDescent="0.25">
      <c r="A160" s="15">
        <v>157</v>
      </c>
      <c r="B160" s="17">
        <f>IF(A160&lt;='APR and payment'!$E$5,'Remaining debt'!A160,"")</f>
        <v>157</v>
      </c>
      <c r="C160" s="21">
        <f>IF(A160&lt;='APR and payment'!$E$5,'APR and payment'!$E$24,"")</f>
        <v>22461.231674784805</v>
      </c>
      <c r="D160" s="21">
        <f>IF(A160&lt;='APR and payment'!$E$5,C160-E160,"")</f>
        <v>8987.6382979292812</v>
      </c>
      <c r="E160" s="21">
        <f>IF(A160&lt;='APR and payment'!$E$5,F159*'APR and payment'!$E$6/'APR and payment'!$L$9,"")</f>
        <v>13473.593376855524</v>
      </c>
      <c r="F160" s="21">
        <f>IF(A160&lt;='APR and payment'!$E$5,F159-D160,"")</f>
        <v>2985144.2232255205</v>
      </c>
    </row>
    <row r="161" spans="1:6" x14ac:dyDescent="0.25">
      <c r="A161" s="15">
        <v>158</v>
      </c>
      <c r="B161" s="17">
        <f>IF(A161&lt;='APR and payment'!$E$5,'Remaining debt'!A161,"")</f>
        <v>158</v>
      </c>
      <c r="C161" s="21">
        <f>IF(A161&lt;='APR and payment'!$E$5,'APR and payment'!$E$24,"")</f>
        <v>22461.231674784805</v>
      </c>
      <c r="D161" s="21">
        <f>IF(A161&lt;='APR and payment'!$E$5,C161-E161,"")</f>
        <v>9028.0826702699651</v>
      </c>
      <c r="E161" s="21">
        <f>IF(A161&lt;='APR and payment'!$E$5,F160*'APR and payment'!$E$6/'APR and payment'!$L$9,"")</f>
        <v>13433.14900451484</v>
      </c>
      <c r="F161" s="21">
        <f>IF(A161&lt;='APR and payment'!$E$5,F160-D161,"")</f>
        <v>2976116.1405552505</v>
      </c>
    </row>
    <row r="162" spans="1:6" x14ac:dyDescent="0.25">
      <c r="A162" s="15">
        <v>159</v>
      </c>
      <c r="B162" s="17">
        <f>IF(A162&lt;='APR and payment'!$E$5,'Remaining debt'!A162,"")</f>
        <v>159</v>
      </c>
      <c r="C162" s="21">
        <f>IF(A162&lt;='APR and payment'!$E$5,'APR and payment'!$E$24,"")</f>
        <v>22461.231674784805</v>
      </c>
      <c r="D162" s="21">
        <f>IF(A162&lt;='APR and payment'!$E$5,C162-E162,"")</f>
        <v>9068.7090422861784</v>
      </c>
      <c r="E162" s="21">
        <f>IF(A162&lt;='APR and payment'!$E$5,F161*'APR and payment'!$E$6/'APR and payment'!$L$9,"")</f>
        <v>13392.522632498627</v>
      </c>
      <c r="F162" s="21">
        <f>IF(A162&lt;='APR and payment'!$E$5,F161-D162,"")</f>
        <v>2967047.4315129644</v>
      </c>
    </row>
    <row r="163" spans="1:6" x14ac:dyDescent="0.25">
      <c r="A163" s="15">
        <v>160</v>
      </c>
      <c r="B163" s="17">
        <f>IF(A163&lt;='APR and payment'!$E$5,'Remaining debt'!A163,"")</f>
        <v>160</v>
      </c>
      <c r="C163" s="21">
        <f>IF(A163&lt;='APR and payment'!$E$5,'APR and payment'!$E$24,"")</f>
        <v>22461.231674784805</v>
      </c>
      <c r="D163" s="21">
        <f>IF(A163&lt;='APR and payment'!$E$5,C163-E163,"")</f>
        <v>9109.5182329764666</v>
      </c>
      <c r="E163" s="21">
        <f>IF(A163&lt;='APR and payment'!$E$5,F162*'APR and payment'!$E$6/'APR and payment'!$L$9,"")</f>
        <v>13351.713441808339</v>
      </c>
      <c r="F163" s="21">
        <f>IF(A163&lt;='APR and payment'!$E$5,F162-D163,"")</f>
        <v>2957937.9132799879</v>
      </c>
    </row>
    <row r="164" spans="1:6" x14ac:dyDescent="0.25">
      <c r="A164" s="15">
        <v>161</v>
      </c>
      <c r="B164" s="17">
        <f>IF(A164&lt;='APR and payment'!$E$5,'Remaining debt'!A164,"")</f>
        <v>161</v>
      </c>
      <c r="C164" s="21">
        <f>IF(A164&lt;='APR and payment'!$E$5,'APR and payment'!$E$24,"")</f>
        <v>22461.231674784805</v>
      </c>
      <c r="D164" s="21">
        <f>IF(A164&lt;='APR and payment'!$E$5,C164-E164,"")</f>
        <v>9150.5110650248589</v>
      </c>
      <c r="E164" s="21">
        <f>IF(A164&lt;='APR and payment'!$E$5,F163*'APR and payment'!$E$6/'APR and payment'!$L$9,"")</f>
        <v>13310.720609759946</v>
      </c>
      <c r="F164" s="21">
        <f>IF(A164&lt;='APR and payment'!$E$5,F163-D164,"")</f>
        <v>2948787.402214963</v>
      </c>
    </row>
    <row r="165" spans="1:6" x14ac:dyDescent="0.25">
      <c r="A165" s="15">
        <v>162</v>
      </c>
      <c r="B165" s="17">
        <f>IF(A165&lt;='APR and payment'!$E$5,'Remaining debt'!A165,"")</f>
        <v>162</v>
      </c>
      <c r="C165" s="21">
        <f>IF(A165&lt;='APR and payment'!$E$5,'APR and payment'!$E$24,"")</f>
        <v>22461.231674784805</v>
      </c>
      <c r="D165" s="21">
        <f>IF(A165&lt;='APR and payment'!$E$5,C165-E165,"")</f>
        <v>9191.6883648174717</v>
      </c>
      <c r="E165" s="21">
        <f>IF(A165&lt;='APR and payment'!$E$5,F164*'APR and payment'!$E$6/'APR and payment'!$L$9,"")</f>
        <v>13269.543309967334</v>
      </c>
      <c r="F165" s="21">
        <f>IF(A165&lt;='APR and payment'!$E$5,F164-D165,"")</f>
        <v>2939595.7138501457</v>
      </c>
    </row>
    <row r="166" spans="1:6" x14ac:dyDescent="0.25">
      <c r="A166" s="15">
        <v>163</v>
      </c>
      <c r="B166" s="17">
        <f>IF(A166&lt;='APR and payment'!$E$5,'Remaining debt'!A166,"")</f>
        <v>163</v>
      </c>
      <c r="C166" s="21">
        <f>IF(A166&lt;='APR and payment'!$E$5,'APR and payment'!$E$24,"")</f>
        <v>22461.231674784805</v>
      </c>
      <c r="D166" s="21">
        <f>IF(A166&lt;='APR and payment'!$E$5,C166-E166,"")</f>
        <v>9233.0509624591486</v>
      </c>
      <c r="E166" s="21">
        <f>IF(A166&lt;='APR and payment'!$E$5,F165*'APR and payment'!$E$6/'APR and payment'!$L$9,"")</f>
        <v>13228.180712325657</v>
      </c>
      <c r="F166" s="21">
        <f>IF(A166&lt;='APR and payment'!$E$5,F165-D166,"")</f>
        <v>2930362.6628876864</v>
      </c>
    </row>
    <row r="167" spans="1:6" x14ac:dyDescent="0.25">
      <c r="A167" s="15">
        <v>164</v>
      </c>
      <c r="B167" s="17">
        <f>IF(A167&lt;='APR and payment'!$E$5,'Remaining debt'!A167,"")</f>
        <v>164</v>
      </c>
      <c r="C167" s="21">
        <f>IF(A167&lt;='APR and payment'!$E$5,'APR and payment'!$E$24,"")</f>
        <v>22461.231674784805</v>
      </c>
      <c r="D167" s="21">
        <f>IF(A167&lt;='APR and payment'!$E$5,C167-E167,"")</f>
        <v>9274.5996917902175</v>
      </c>
      <c r="E167" s="21">
        <f>IF(A167&lt;='APR and payment'!$E$5,F166*'APR and payment'!$E$6/'APR and payment'!$L$9,"")</f>
        <v>13186.631982994588</v>
      </c>
      <c r="F167" s="21">
        <f>IF(A167&lt;='APR and payment'!$E$5,F166-D167,"")</f>
        <v>2921088.0631958963</v>
      </c>
    </row>
    <row r="168" spans="1:6" x14ac:dyDescent="0.25">
      <c r="A168" s="15">
        <v>165</v>
      </c>
      <c r="B168" s="17">
        <f>IF(A168&lt;='APR and payment'!$E$5,'Remaining debt'!A168,"")</f>
        <v>165</v>
      </c>
      <c r="C168" s="21">
        <f>IF(A168&lt;='APR and payment'!$E$5,'APR and payment'!$E$24,"")</f>
        <v>22461.231674784805</v>
      </c>
      <c r="D168" s="21">
        <f>IF(A168&lt;='APR and payment'!$E$5,C168-E168,"")</f>
        <v>9316.335390403272</v>
      </c>
      <c r="E168" s="21">
        <f>IF(A168&lt;='APR and payment'!$E$5,F167*'APR and payment'!$E$6/'APR and payment'!$L$9,"")</f>
        <v>13144.896284381533</v>
      </c>
      <c r="F168" s="21">
        <f>IF(A168&lt;='APR and payment'!$E$5,F167-D168,"")</f>
        <v>2911771.7278054929</v>
      </c>
    </row>
    <row r="169" spans="1:6" x14ac:dyDescent="0.25">
      <c r="A169" s="15">
        <v>166</v>
      </c>
      <c r="B169" s="17">
        <f>IF(A169&lt;='APR and payment'!$E$5,'Remaining debt'!A169,"")</f>
        <v>166</v>
      </c>
      <c r="C169" s="21">
        <f>IF(A169&lt;='APR and payment'!$E$5,'APR and payment'!$E$24,"")</f>
        <v>22461.231674784805</v>
      </c>
      <c r="D169" s="21">
        <f>IF(A169&lt;='APR and payment'!$E$5,C169-E169,"")</f>
        <v>9358.2588996600862</v>
      </c>
      <c r="E169" s="21">
        <f>IF(A169&lt;='APR and payment'!$E$5,F168*'APR and payment'!$E$6/'APR and payment'!$L$9,"")</f>
        <v>13102.972775124719</v>
      </c>
      <c r="F169" s="21">
        <f>IF(A169&lt;='APR and payment'!$E$5,F168-D169,"")</f>
        <v>2902413.4689058326</v>
      </c>
    </row>
    <row r="170" spans="1:6" x14ac:dyDescent="0.25">
      <c r="A170" s="15">
        <v>167</v>
      </c>
      <c r="B170" s="17">
        <f>IF(A170&lt;='APR and payment'!$E$5,'Remaining debt'!A170,"")</f>
        <v>167</v>
      </c>
      <c r="C170" s="21">
        <f>IF(A170&lt;='APR and payment'!$E$5,'APR and payment'!$E$24,"")</f>
        <v>22461.231674784805</v>
      </c>
      <c r="D170" s="21">
        <f>IF(A170&lt;='APR and payment'!$E$5,C170-E170,"")</f>
        <v>9400.3710647085591</v>
      </c>
      <c r="E170" s="21">
        <f>IF(A170&lt;='APR and payment'!$E$5,F169*'APR and payment'!$E$6/'APR and payment'!$L$9,"")</f>
        <v>13060.860610076246</v>
      </c>
      <c r="F170" s="21">
        <f>IF(A170&lt;='APR and payment'!$E$5,F169-D170,"")</f>
        <v>2893013.0978411241</v>
      </c>
    </row>
    <row r="171" spans="1:6" x14ac:dyDescent="0.25">
      <c r="A171" s="15">
        <v>168</v>
      </c>
      <c r="B171" s="17">
        <f>IF(A171&lt;='APR and payment'!$E$5,'Remaining debt'!A171,"")</f>
        <v>168</v>
      </c>
      <c r="C171" s="21">
        <f>IF(A171&lt;='APR and payment'!$E$5,'APR and payment'!$E$24,"")</f>
        <v>22461.231674784805</v>
      </c>
      <c r="D171" s="21">
        <f>IF(A171&lt;='APR and payment'!$E$5,C171-E171,"")</f>
        <v>9442.6727344997471</v>
      </c>
      <c r="E171" s="21">
        <f>IF(A171&lt;='APR and payment'!$E$5,F170*'APR and payment'!$E$6/'APR and payment'!$L$9,"")</f>
        <v>13018.558940285058</v>
      </c>
      <c r="F171" s="21">
        <f>IF(A171&lt;='APR and payment'!$E$5,F170-D171,"")</f>
        <v>2883570.4251066241</v>
      </c>
    </row>
    <row r="172" spans="1:6" x14ac:dyDescent="0.25">
      <c r="A172" s="15">
        <v>169</v>
      </c>
      <c r="B172" s="17">
        <f>IF(A172&lt;='APR and payment'!$E$5,'Remaining debt'!A172,"")</f>
        <v>169</v>
      </c>
      <c r="C172" s="21">
        <f>IF(A172&lt;='APR and payment'!$E$5,'APR and payment'!$E$24,"")</f>
        <v>22461.231674784805</v>
      </c>
      <c r="D172" s="21">
        <f>IF(A172&lt;='APR and payment'!$E$5,C172-E172,"")</f>
        <v>9485.1647618049956</v>
      </c>
      <c r="E172" s="21">
        <f>IF(A172&lt;='APR and payment'!$E$5,F171*'APR and payment'!$E$6/'APR and payment'!$L$9,"")</f>
        <v>12976.06691297981</v>
      </c>
      <c r="F172" s="21">
        <f>IF(A172&lt;='APR and payment'!$E$5,F171-D172,"")</f>
        <v>2874085.2603448192</v>
      </c>
    </row>
    <row r="173" spans="1:6" x14ac:dyDescent="0.25">
      <c r="A173" s="15">
        <v>170</v>
      </c>
      <c r="B173" s="17">
        <f>IF(A173&lt;='APR and payment'!$E$5,'Remaining debt'!A173,"")</f>
        <v>170</v>
      </c>
      <c r="C173" s="21">
        <f>IF(A173&lt;='APR and payment'!$E$5,'APR and payment'!$E$24,"")</f>
        <v>22461.231674784805</v>
      </c>
      <c r="D173" s="21">
        <f>IF(A173&lt;='APR and payment'!$E$5,C173-E173,"")</f>
        <v>9527.848003233119</v>
      </c>
      <c r="E173" s="21">
        <f>IF(A173&lt;='APR and payment'!$E$5,F172*'APR and payment'!$E$6/'APR and payment'!$L$9,"")</f>
        <v>12933.383671551686</v>
      </c>
      <c r="F173" s="21">
        <f>IF(A173&lt;='APR and payment'!$E$5,F172-D173,"")</f>
        <v>2864557.4123415858</v>
      </c>
    </row>
    <row r="174" spans="1:6" x14ac:dyDescent="0.25">
      <c r="A174" s="15">
        <v>171</v>
      </c>
      <c r="B174" s="17">
        <f>IF(A174&lt;='APR and payment'!$E$5,'Remaining debt'!A174,"")</f>
        <v>171</v>
      </c>
      <c r="C174" s="21">
        <f>IF(A174&lt;='APR and payment'!$E$5,'APR and payment'!$E$24,"")</f>
        <v>22461.231674784805</v>
      </c>
      <c r="D174" s="21">
        <f>IF(A174&lt;='APR and payment'!$E$5,C174-E174,"")</f>
        <v>9570.7233192476688</v>
      </c>
      <c r="E174" s="21">
        <f>IF(A174&lt;='APR and payment'!$E$5,F173*'APR and payment'!$E$6/'APR and payment'!$L$9,"")</f>
        <v>12890.508355537137</v>
      </c>
      <c r="F174" s="21">
        <f>IF(A174&lt;='APR and payment'!$E$5,F173-D174,"")</f>
        <v>2854986.689022338</v>
      </c>
    </row>
    <row r="175" spans="1:6" x14ac:dyDescent="0.25">
      <c r="A175" s="15">
        <v>172</v>
      </c>
      <c r="B175" s="17">
        <f>IF(A175&lt;='APR and payment'!$E$5,'Remaining debt'!A175,"")</f>
        <v>172</v>
      </c>
      <c r="C175" s="21">
        <f>IF(A175&lt;='APR and payment'!$E$5,'APR and payment'!$E$24,"")</f>
        <v>22461.231674784805</v>
      </c>
      <c r="D175" s="21">
        <f>IF(A175&lt;='APR and payment'!$E$5,C175-E175,"")</f>
        <v>9613.7915741842844</v>
      </c>
      <c r="E175" s="21">
        <f>IF(A175&lt;='APR and payment'!$E$5,F174*'APR and payment'!$E$6/'APR and payment'!$L$9,"")</f>
        <v>12847.440100600521</v>
      </c>
      <c r="F175" s="21">
        <f>IF(A175&lt;='APR and payment'!$E$5,F174-D175,"")</f>
        <v>2845372.8974481537</v>
      </c>
    </row>
    <row r="176" spans="1:6" x14ac:dyDescent="0.25">
      <c r="A176" s="15">
        <v>173</v>
      </c>
      <c r="B176" s="17">
        <f>IF(A176&lt;='APR and payment'!$E$5,'Remaining debt'!A176,"")</f>
        <v>173</v>
      </c>
      <c r="C176" s="21">
        <f>IF(A176&lt;='APR and payment'!$E$5,'APR and payment'!$E$24,"")</f>
        <v>22461.231674784805</v>
      </c>
      <c r="D176" s="21">
        <f>IF(A176&lt;='APR and payment'!$E$5,C176-E176,"")</f>
        <v>9657.0536362681141</v>
      </c>
      <c r="E176" s="21">
        <f>IF(A176&lt;='APR and payment'!$E$5,F175*'APR and payment'!$E$6/'APR and payment'!$L$9,"")</f>
        <v>12804.178038516691</v>
      </c>
      <c r="F176" s="21">
        <f>IF(A176&lt;='APR and payment'!$E$5,F175-D176,"")</f>
        <v>2835715.8438118855</v>
      </c>
    </row>
    <row r="177" spans="1:6" x14ac:dyDescent="0.25">
      <c r="A177" s="15">
        <v>174</v>
      </c>
      <c r="B177" s="17">
        <f>IF(A177&lt;='APR and payment'!$E$5,'Remaining debt'!A177,"")</f>
        <v>174</v>
      </c>
      <c r="C177" s="21">
        <f>IF(A177&lt;='APR and payment'!$E$5,'APR and payment'!$E$24,"")</f>
        <v>22461.231674784805</v>
      </c>
      <c r="D177" s="21">
        <f>IF(A177&lt;='APR and payment'!$E$5,C177-E177,"")</f>
        <v>9700.5103776313208</v>
      </c>
      <c r="E177" s="21">
        <f>IF(A177&lt;='APR and payment'!$E$5,F176*'APR and payment'!$E$6/'APR and payment'!$L$9,"")</f>
        <v>12760.721297153485</v>
      </c>
      <c r="F177" s="21">
        <f>IF(A177&lt;='APR and payment'!$E$5,F176-D177,"")</f>
        <v>2826015.3334342539</v>
      </c>
    </row>
    <row r="178" spans="1:6" x14ac:dyDescent="0.25">
      <c r="A178" s="15">
        <v>175</v>
      </c>
      <c r="B178" s="17">
        <f>IF(A178&lt;='APR and payment'!$E$5,'Remaining debt'!A178,"")</f>
        <v>175</v>
      </c>
      <c r="C178" s="21">
        <f>IF(A178&lt;='APR and payment'!$E$5,'APR and payment'!$E$24,"")</f>
        <v>22461.231674784805</v>
      </c>
      <c r="D178" s="21">
        <f>IF(A178&lt;='APR and payment'!$E$5,C178-E178,"")</f>
        <v>9744.1626743306642</v>
      </c>
      <c r="E178" s="21">
        <f>IF(A178&lt;='APR and payment'!$E$5,F177*'APR and payment'!$E$6/'APR and payment'!$L$9,"")</f>
        <v>12717.069000454141</v>
      </c>
      <c r="F178" s="21">
        <f>IF(A178&lt;='APR and payment'!$E$5,F177-D178,"")</f>
        <v>2816271.1707599233</v>
      </c>
    </row>
    <row r="179" spans="1:6" x14ac:dyDescent="0.25">
      <c r="A179" s="15">
        <v>176</v>
      </c>
      <c r="B179" s="17">
        <f>IF(A179&lt;='APR and payment'!$E$5,'Remaining debt'!A179,"")</f>
        <v>176</v>
      </c>
      <c r="C179" s="21">
        <f>IF(A179&lt;='APR and payment'!$E$5,'APR and payment'!$E$24,"")</f>
        <v>22461.231674784805</v>
      </c>
      <c r="D179" s="21">
        <f>IF(A179&lt;='APR and payment'!$E$5,C179-E179,"")</f>
        <v>9788.0114063651508</v>
      </c>
      <c r="E179" s="21">
        <f>IF(A179&lt;='APR and payment'!$E$5,F178*'APR and payment'!$E$6/'APR and payment'!$L$9,"")</f>
        <v>12673.220268419655</v>
      </c>
      <c r="F179" s="21">
        <f>IF(A179&lt;='APR and payment'!$E$5,F178-D179,"")</f>
        <v>2806483.159353558</v>
      </c>
    </row>
    <row r="180" spans="1:6" x14ac:dyDescent="0.25">
      <c r="A180" s="15">
        <v>177</v>
      </c>
      <c r="B180" s="17">
        <f>IF(A180&lt;='APR and payment'!$E$5,'Remaining debt'!A180,"")</f>
        <v>177</v>
      </c>
      <c r="C180" s="21">
        <f>IF(A180&lt;='APR and payment'!$E$5,'APR and payment'!$E$24,"")</f>
        <v>22461.231674784805</v>
      </c>
      <c r="D180" s="21">
        <f>IF(A180&lt;='APR and payment'!$E$5,C180-E180,"")</f>
        <v>9832.0574576937961</v>
      </c>
      <c r="E180" s="21">
        <f>IF(A180&lt;='APR and payment'!$E$5,F179*'APR and payment'!$E$6/'APR and payment'!$L$9,"")</f>
        <v>12629.174217091009</v>
      </c>
      <c r="F180" s="21">
        <f>IF(A180&lt;='APR and payment'!$E$5,F179-D180,"")</f>
        <v>2796651.1018958641</v>
      </c>
    </row>
    <row r="181" spans="1:6" x14ac:dyDescent="0.25">
      <c r="A181" s="15">
        <v>178</v>
      </c>
      <c r="B181" s="17">
        <f>IF(A181&lt;='APR and payment'!$E$5,'Remaining debt'!A181,"")</f>
        <v>178</v>
      </c>
      <c r="C181" s="21">
        <f>IF(A181&lt;='APR and payment'!$E$5,'APR and payment'!$E$24,"")</f>
        <v>22461.231674784805</v>
      </c>
      <c r="D181" s="21">
        <f>IF(A181&lt;='APR and payment'!$E$5,C181-E181,"")</f>
        <v>9876.3017162534179</v>
      </c>
      <c r="E181" s="21">
        <f>IF(A181&lt;='APR and payment'!$E$5,F180*'APR and payment'!$E$6/'APR and payment'!$L$9,"")</f>
        <v>12584.929958531387</v>
      </c>
      <c r="F181" s="21">
        <f>IF(A181&lt;='APR and payment'!$E$5,F180-D181,"")</f>
        <v>2786774.8001796105</v>
      </c>
    </row>
    <row r="182" spans="1:6" x14ac:dyDescent="0.25">
      <c r="A182" s="15">
        <v>179</v>
      </c>
      <c r="B182" s="17">
        <f>IF(A182&lt;='APR and payment'!$E$5,'Remaining debt'!A182,"")</f>
        <v>179</v>
      </c>
      <c r="C182" s="21">
        <f>IF(A182&lt;='APR and payment'!$E$5,'APR and payment'!$E$24,"")</f>
        <v>22461.231674784805</v>
      </c>
      <c r="D182" s="21">
        <f>IF(A182&lt;='APR and payment'!$E$5,C182-E182,"")</f>
        <v>9920.7450739765591</v>
      </c>
      <c r="E182" s="21">
        <f>IF(A182&lt;='APR and payment'!$E$5,F181*'APR and payment'!$E$6/'APR and payment'!$L$9,"")</f>
        <v>12540.486600808246</v>
      </c>
      <c r="F182" s="21">
        <f>IF(A182&lt;='APR and payment'!$E$5,F181-D182,"")</f>
        <v>2776854.055105634</v>
      </c>
    </row>
    <row r="183" spans="1:6" x14ac:dyDescent="0.25">
      <c r="A183" s="15">
        <v>180</v>
      </c>
      <c r="B183" s="17">
        <f>IF(A183&lt;='APR and payment'!$E$5,'Remaining debt'!A183,"")</f>
        <v>180</v>
      </c>
      <c r="C183" s="21">
        <f>IF(A183&lt;='APR and payment'!$E$5,'APR and payment'!$E$24,"")</f>
        <v>22461.231674784805</v>
      </c>
      <c r="D183" s="21">
        <f>IF(A183&lt;='APR and payment'!$E$5,C183-E183,"")</f>
        <v>9965.3884268094516</v>
      </c>
      <c r="E183" s="21">
        <f>IF(A183&lt;='APR and payment'!$E$5,F182*'APR and payment'!$E$6/'APR and payment'!$L$9,"")</f>
        <v>12495.843247975354</v>
      </c>
      <c r="F183" s="21">
        <f>IF(A183&lt;='APR and payment'!$E$5,F182-D183,"")</f>
        <v>2766888.6666788245</v>
      </c>
    </row>
    <row r="184" spans="1:6" x14ac:dyDescent="0.25">
      <c r="A184" s="15">
        <v>181</v>
      </c>
      <c r="B184" s="17">
        <f>IF(A184&lt;='APR and payment'!$E$5,'Remaining debt'!A184,"")</f>
        <v>181</v>
      </c>
      <c r="C184" s="21">
        <f>IF(A184&lt;='APR and payment'!$E$5,'APR and payment'!$E$24,"")</f>
        <v>22461.231674784805</v>
      </c>
      <c r="D184" s="21">
        <f>IF(A184&lt;='APR and payment'!$E$5,C184-E184,"")</f>
        <v>10010.232674730096</v>
      </c>
      <c r="E184" s="21">
        <f>IF(A184&lt;='APR and payment'!$E$5,F183*'APR and payment'!$E$6/'APR and payment'!$L$9,"")</f>
        <v>12450.99900005471</v>
      </c>
      <c r="F184" s="21">
        <f>IF(A184&lt;='APR and payment'!$E$5,F183-D184,"")</f>
        <v>2756878.4340040945</v>
      </c>
    </row>
    <row r="185" spans="1:6" x14ac:dyDescent="0.25">
      <c r="A185" s="15">
        <v>182</v>
      </c>
      <c r="B185" s="17">
        <f>IF(A185&lt;='APR and payment'!$E$5,'Remaining debt'!A185,"")</f>
        <v>182</v>
      </c>
      <c r="C185" s="21">
        <f>IF(A185&lt;='APR and payment'!$E$5,'APR and payment'!$E$24,"")</f>
        <v>22461.231674784805</v>
      </c>
      <c r="D185" s="21">
        <f>IF(A185&lt;='APR and payment'!$E$5,C185-E185,"")</f>
        <v>10055.278721766381</v>
      </c>
      <c r="E185" s="21">
        <f>IF(A185&lt;='APR and payment'!$E$5,F184*'APR and payment'!$E$6/'APR and payment'!$L$9,"")</f>
        <v>12405.952953018425</v>
      </c>
      <c r="F185" s="21">
        <f>IF(A185&lt;='APR and payment'!$E$5,F184-D185,"")</f>
        <v>2746823.1552823279</v>
      </c>
    </row>
    <row r="186" spans="1:6" x14ac:dyDescent="0.25">
      <c r="A186" s="15">
        <v>183</v>
      </c>
      <c r="B186" s="17">
        <f>IF(A186&lt;='APR and payment'!$E$5,'Remaining debt'!A186,"")</f>
        <v>183</v>
      </c>
      <c r="C186" s="21">
        <f>IF(A186&lt;='APR and payment'!$E$5,'APR and payment'!$E$24,"")</f>
        <v>22461.231674784805</v>
      </c>
      <c r="D186" s="21">
        <f>IF(A186&lt;='APR and payment'!$E$5,C186-E186,"")</f>
        <v>10100.527476014331</v>
      </c>
      <c r="E186" s="21">
        <f>IF(A186&lt;='APR and payment'!$E$5,F185*'APR and payment'!$E$6/'APR and payment'!$L$9,"")</f>
        <v>12360.704198770474</v>
      </c>
      <c r="F186" s="21">
        <f>IF(A186&lt;='APR and payment'!$E$5,F185-D186,"")</f>
        <v>2736722.6278063138</v>
      </c>
    </row>
    <row r="187" spans="1:6" x14ac:dyDescent="0.25">
      <c r="A187" s="15">
        <v>184</v>
      </c>
      <c r="B187" s="17">
        <f>IF(A187&lt;='APR and payment'!$E$5,'Remaining debt'!A187,"")</f>
        <v>184</v>
      </c>
      <c r="C187" s="21">
        <f>IF(A187&lt;='APR and payment'!$E$5,'APR and payment'!$E$24,"")</f>
        <v>22461.231674784805</v>
      </c>
      <c r="D187" s="21">
        <f>IF(A187&lt;='APR and payment'!$E$5,C187-E187,"")</f>
        <v>10145.979849656393</v>
      </c>
      <c r="E187" s="21">
        <f>IF(A187&lt;='APR and payment'!$E$5,F186*'APR and payment'!$E$6/'APR and payment'!$L$9,"")</f>
        <v>12315.251825128413</v>
      </c>
      <c r="F187" s="21">
        <f>IF(A187&lt;='APR and payment'!$E$5,F186-D187,"")</f>
        <v>2726576.6479566572</v>
      </c>
    </row>
    <row r="188" spans="1:6" x14ac:dyDescent="0.25">
      <c r="A188" s="15">
        <v>185</v>
      </c>
      <c r="B188" s="17">
        <f>IF(A188&lt;='APR and payment'!$E$5,'Remaining debt'!A188,"")</f>
        <v>185</v>
      </c>
      <c r="C188" s="21">
        <f>IF(A188&lt;='APR and payment'!$E$5,'APR and payment'!$E$24,"")</f>
        <v>22461.231674784805</v>
      </c>
      <c r="D188" s="21">
        <f>IF(A188&lt;='APR and payment'!$E$5,C188-E188,"")</f>
        <v>10191.636758979848</v>
      </c>
      <c r="E188" s="21">
        <f>IF(A188&lt;='APR and payment'!$E$5,F187*'APR and payment'!$E$6/'APR and payment'!$L$9,"")</f>
        <v>12269.594915804957</v>
      </c>
      <c r="F188" s="21">
        <f>IF(A188&lt;='APR and payment'!$E$5,F187-D188,"")</f>
        <v>2716385.0111976773</v>
      </c>
    </row>
    <row r="189" spans="1:6" x14ac:dyDescent="0.25">
      <c r="A189" s="15">
        <v>186</v>
      </c>
      <c r="B189" s="17">
        <f>IF(A189&lt;='APR and payment'!$E$5,'Remaining debt'!A189,"")</f>
        <v>186</v>
      </c>
      <c r="C189" s="21">
        <f>IF(A189&lt;='APR and payment'!$E$5,'APR and payment'!$E$24,"")</f>
        <v>22461.231674784805</v>
      </c>
      <c r="D189" s="21">
        <f>IF(A189&lt;='APR and payment'!$E$5,C189-E189,"")</f>
        <v>10237.499124395257</v>
      </c>
      <c r="E189" s="21">
        <f>IF(A189&lt;='APR and payment'!$E$5,F188*'APR and payment'!$E$6/'APR and payment'!$L$9,"")</f>
        <v>12223.732550389548</v>
      </c>
      <c r="F189" s="21">
        <f>IF(A189&lt;='APR and payment'!$E$5,F188-D189,"")</f>
        <v>2706147.5120732822</v>
      </c>
    </row>
    <row r="190" spans="1:6" x14ac:dyDescent="0.25">
      <c r="A190" s="15">
        <v>187</v>
      </c>
      <c r="B190" s="17">
        <f>IF(A190&lt;='APR and payment'!$E$5,'Remaining debt'!A190,"")</f>
        <v>187</v>
      </c>
      <c r="C190" s="21">
        <f>IF(A190&lt;='APR and payment'!$E$5,'APR and payment'!$E$24,"")</f>
        <v>22461.231674784805</v>
      </c>
      <c r="D190" s="21">
        <f>IF(A190&lt;='APR and payment'!$E$5,C190-E190,"")</f>
        <v>10283.567870455036</v>
      </c>
      <c r="E190" s="21">
        <f>IF(A190&lt;='APR and payment'!$E$5,F189*'APR and payment'!$E$6/'APR and payment'!$L$9,"")</f>
        <v>12177.66380432977</v>
      </c>
      <c r="F190" s="21">
        <f>IF(A190&lt;='APR and payment'!$E$5,F189-D190,"")</f>
        <v>2695863.9442028273</v>
      </c>
    </row>
    <row r="191" spans="1:6" x14ac:dyDescent="0.25">
      <c r="A191" s="15">
        <v>188</v>
      </c>
      <c r="B191" s="17">
        <f>IF(A191&lt;='APR and payment'!$E$5,'Remaining debt'!A191,"")</f>
        <v>188</v>
      </c>
      <c r="C191" s="21">
        <f>IF(A191&lt;='APR and payment'!$E$5,'APR and payment'!$E$24,"")</f>
        <v>22461.231674784805</v>
      </c>
      <c r="D191" s="21">
        <f>IF(A191&lt;='APR and payment'!$E$5,C191-E191,"")</f>
        <v>10329.843925872081</v>
      </c>
      <c r="E191" s="21">
        <f>IF(A191&lt;='APR and payment'!$E$5,F190*'APR and payment'!$E$6/'APR and payment'!$L$9,"")</f>
        <v>12131.387748912724</v>
      </c>
      <c r="F191" s="21">
        <f>IF(A191&lt;='APR and payment'!$E$5,F190-D191,"")</f>
        <v>2685534.1002769554</v>
      </c>
    </row>
    <row r="192" spans="1:6" x14ac:dyDescent="0.25">
      <c r="A192" s="15">
        <v>189</v>
      </c>
      <c r="B192" s="17">
        <f>IF(A192&lt;='APR and payment'!$E$5,'Remaining debt'!A192,"")</f>
        <v>189</v>
      </c>
      <c r="C192" s="21">
        <f>IF(A192&lt;='APR and payment'!$E$5,'APR and payment'!$E$24,"")</f>
        <v>22461.231674784805</v>
      </c>
      <c r="D192" s="21">
        <f>IF(A192&lt;='APR and payment'!$E$5,C192-E192,"")</f>
        <v>10376.328223538507</v>
      </c>
      <c r="E192" s="21">
        <f>IF(A192&lt;='APR and payment'!$E$5,F191*'APR and payment'!$E$6/'APR and payment'!$L$9,"")</f>
        <v>12084.903451246299</v>
      </c>
      <c r="F192" s="21">
        <f>IF(A192&lt;='APR and payment'!$E$5,F191-D192,"")</f>
        <v>2675157.7720534168</v>
      </c>
    </row>
    <row r="193" spans="1:6" x14ac:dyDescent="0.25">
      <c r="A193" s="15">
        <v>190</v>
      </c>
      <c r="B193" s="17">
        <f>IF(A193&lt;='APR and payment'!$E$5,'Remaining debt'!A193,"")</f>
        <v>190</v>
      </c>
      <c r="C193" s="21">
        <f>IF(A193&lt;='APR and payment'!$E$5,'APR and payment'!$E$24,"")</f>
        <v>22461.231674784805</v>
      </c>
      <c r="D193" s="21">
        <f>IF(A193&lt;='APR and payment'!$E$5,C193-E193,"")</f>
        <v>10423.02170054443</v>
      </c>
      <c r="E193" s="21">
        <f>IF(A193&lt;='APR and payment'!$E$5,F192*'APR and payment'!$E$6/'APR and payment'!$L$9,"")</f>
        <v>12038.209974240375</v>
      </c>
      <c r="F193" s="21">
        <f>IF(A193&lt;='APR and payment'!$E$5,F192-D193,"")</f>
        <v>2664734.7503528725</v>
      </c>
    </row>
    <row r="194" spans="1:6" x14ac:dyDescent="0.25">
      <c r="A194" s="15">
        <v>191</v>
      </c>
      <c r="B194" s="17">
        <f>IF(A194&lt;='APR and payment'!$E$5,'Remaining debt'!A194,"")</f>
        <v>191</v>
      </c>
      <c r="C194" s="21">
        <f>IF(A194&lt;='APR and payment'!$E$5,'APR and payment'!$E$24,"")</f>
        <v>22461.231674784805</v>
      </c>
      <c r="D194" s="21">
        <f>IF(A194&lt;='APR and payment'!$E$5,C194-E194,"")</f>
        <v>10469.925298196878</v>
      </c>
      <c r="E194" s="21">
        <f>IF(A194&lt;='APR and payment'!$E$5,F193*'APR and payment'!$E$6/'APR and payment'!$L$9,"")</f>
        <v>11991.306376587927</v>
      </c>
      <c r="F194" s="21">
        <f>IF(A194&lt;='APR and payment'!$E$5,F193-D194,"")</f>
        <v>2654264.8250546758</v>
      </c>
    </row>
    <row r="195" spans="1:6" x14ac:dyDescent="0.25">
      <c r="A195" s="15">
        <v>192</v>
      </c>
      <c r="B195" s="17">
        <f>IF(A195&lt;='APR and payment'!$E$5,'Remaining debt'!A195,"")</f>
        <v>192</v>
      </c>
      <c r="C195" s="21">
        <f>IF(A195&lt;='APR and payment'!$E$5,'APR and payment'!$E$24,"")</f>
        <v>22461.231674784805</v>
      </c>
      <c r="D195" s="21">
        <f>IF(A195&lt;='APR and payment'!$E$5,C195-E195,"")</f>
        <v>10517.039962038765</v>
      </c>
      <c r="E195" s="21">
        <f>IF(A195&lt;='APR and payment'!$E$5,F194*'APR and payment'!$E$6/'APR and payment'!$L$9,"")</f>
        <v>11944.19171274604</v>
      </c>
      <c r="F195" s="21">
        <f>IF(A195&lt;='APR and payment'!$E$5,F194-D195,"")</f>
        <v>2643747.7850926369</v>
      </c>
    </row>
    <row r="196" spans="1:6" x14ac:dyDescent="0.25">
      <c r="A196" s="15">
        <v>193</v>
      </c>
      <c r="B196" s="17">
        <f>IF(A196&lt;='APR and payment'!$E$5,'Remaining debt'!A196,"")</f>
        <v>193</v>
      </c>
      <c r="C196" s="21">
        <f>IF(A196&lt;='APR and payment'!$E$5,'APR and payment'!$E$24,"")</f>
        <v>22461.231674784805</v>
      </c>
      <c r="D196" s="21">
        <f>IF(A196&lt;='APR and payment'!$E$5,C196-E196,"")</f>
        <v>10564.366641867939</v>
      </c>
      <c r="E196" s="21">
        <f>IF(A196&lt;='APR and payment'!$E$5,F195*'APR and payment'!$E$6/'APR and payment'!$L$9,"")</f>
        <v>11896.865032916867</v>
      </c>
      <c r="F196" s="21">
        <f>IF(A196&lt;='APR and payment'!$E$5,F195-D196,"")</f>
        <v>2633183.418450769</v>
      </c>
    </row>
    <row r="197" spans="1:6" x14ac:dyDescent="0.25">
      <c r="A197" s="15">
        <v>194</v>
      </c>
      <c r="B197" s="17">
        <f>IF(A197&lt;='APR and payment'!$E$5,'Remaining debt'!A197,"")</f>
        <v>194</v>
      </c>
      <c r="C197" s="21">
        <f>IF(A197&lt;='APR and payment'!$E$5,'APR and payment'!$E$24,"")</f>
        <v>22461.231674784805</v>
      </c>
      <c r="D197" s="21">
        <f>IF(A197&lt;='APR and payment'!$E$5,C197-E197,"")</f>
        <v>10611.906291756346</v>
      </c>
      <c r="E197" s="21">
        <f>IF(A197&lt;='APR and payment'!$E$5,F196*'APR and payment'!$E$6/'APR and payment'!$L$9,"")</f>
        <v>11849.325383028459</v>
      </c>
      <c r="F197" s="21">
        <f>IF(A197&lt;='APR and payment'!$E$5,F196-D197,"")</f>
        <v>2622571.5121590127</v>
      </c>
    </row>
    <row r="198" spans="1:6" x14ac:dyDescent="0.25">
      <c r="A198" s="15">
        <v>195</v>
      </c>
      <c r="B198" s="17">
        <f>IF(A198&lt;='APR and payment'!$E$5,'Remaining debt'!A198,"")</f>
        <v>195</v>
      </c>
      <c r="C198" s="21">
        <f>IF(A198&lt;='APR and payment'!$E$5,'APR and payment'!$E$24,"")</f>
        <v>22461.231674784805</v>
      </c>
      <c r="D198" s="21">
        <f>IF(A198&lt;='APR and payment'!$E$5,C198-E198,"")</f>
        <v>10659.659870069247</v>
      </c>
      <c r="E198" s="21">
        <f>IF(A198&lt;='APR and payment'!$E$5,F197*'APR and payment'!$E$6/'APR and payment'!$L$9,"")</f>
        <v>11801.571804715559</v>
      </c>
      <c r="F198" s="21">
        <f>IF(A198&lt;='APR and payment'!$E$5,F197-D198,"")</f>
        <v>2611911.8522889432</v>
      </c>
    </row>
    <row r="199" spans="1:6" x14ac:dyDescent="0.25">
      <c r="A199" s="15">
        <v>196</v>
      </c>
      <c r="B199" s="17">
        <f>IF(A199&lt;='APR and payment'!$E$5,'Remaining debt'!A199,"")</f>
        <v>196</v>
      </c>
      <c r="C199" s="21">
        <f>IF(A199&lt;='APR and payment'!$E$5,'APR and payment'!$E$24,"")</f>
        <v>22461.231674784805</v>
      </c>
      <c r="D199" s="21">
        <f>IF(A199&lt;='APR and payment'!$E$5,C199-E199,"")</f>
        <v>10707.628339484561</v>
      </c>
      <c r="E199" s="21">
        <f>IF(A199&lt;='APR and payment'!$E$5,F198*'APR and payment'!$E$6/'APR and payment'!$L$9,"")</f>
        <v>11753.603335300244</v>
      </c>
      <c r="F199" s="21">
        <f>IF(A199&lt;='APR and payment'!$E$5,F198-D199,"")</f>
        <v>2601204.2239494589</v>
      </c>
    </row>
    <row r="200" spans="1:6" x14ac:dyDescent="0.25">
      <c r="A200" s="15">
        <v>197</v>
      </c>
      <c r="B200" s="17">
        <f>IF(A200&lt;='APR and payment'!$E$5,'Remaining debt'!A200,"")</f>
        <v>197</v>
      </c>
      <c r="C200" s="21">
        <f>IF(A200&lt;='APR and payment'!$E$5,'APR and payment'!$E$24,"")</f>
        <v>22461.231674784805</v>
      </c>
      <c r="D200" s="21">
        <f>IF(A200&lt;='APR and payment'!$E$5,C200-E200,"")</f>
        <v>10755.81266701224</v>
      </c>
      <c r="E200" s="21">
        <f>IF(A200&lt;='APR and payment'!$E$5,F199*'APR and payment'!$E$6/'APR and payment'!$L$9,"")</f>
        <v>11705.419007772565</v>
      </c>
      <c r="F200" s="21">
        <f>IF(A200&lt;='APR and payment'!$E$5,F199-D200,"")</f>
        <v>2590448.4112824467</v>
      </c>
    </row>
    <row r="201" spans="1:6" x14ac:dyDescent="0.25">
      <c r="A201" s="15">
        <v>198</v>
      </c>
      <c r="B201" s="17">
        <f>IF(A201&lt;='APR and payment'!$E$5,'Remaining debt'!A201,"")</f>
        <v>198</v>
      </c>
      <c r="C201" s="21">
        <f>IF(A201&lt;='APR and payment'!$E$5,'APR and payment'!$E$24,"")</f>
        <v>22461.231674784805</v>
      </c>
      <c r="D201" s="21">
        <f>IF(A201&lt;='APR and payment'!$E$5,C201-E201,"")</f>
        <v>10804.213824013796</v>
      </c>
      <c r="E201" s="21">
        <f>IF(A201&lt;='APR and payment'!$E$5,F200*'APR and payment'!$E$6/'APR and payment'!$L$9,"")</f>
        <v>11657.01785077101</v>
      </c>
      <c r="F201" s="21">
        <f>IF(A201&lt;='APR and payment'!$E$5,F200-D201,"")</f>
        <v>2579644.197458433</v>
      </c>
    </row>
    <row r="202" spans="1:6" x14ac:dyDescent="0.25">
      <c r="A202" s="15">
        <v>199</v>
      </c>
      <c r="B202" s="17">
        <f>IF(A202&lt;='APR and payment'!$E$5,'Remaining debt'!A202,"")</f>
        <v>199</v>
      </c>
      <c r="C202" s="21">
        <f>IF(A202&lt;='APR and payment'!$E$5,'APR and payment'!$E$24,"")</f>
        <v>22461.231674784805</v>
      </c>
      <c r="D202" s="21">
        <f>IF(A202&lt;='APR and payment'!$E$5,C202-E202,"")</f>
        <v>10852.832786221856</v>
      </c>
      <c r="E202" s="21">
        <f>IF(A202&lt;='APR and payment'!$E$5,F201*'APR and payment'!$E$6/'APR and payment'!$L$9,"")</f>
        <v>11608.39888856295</v>
      </c>
      <c r="F202" s="21">
        <f>IF(A202&lt;='APR and payment'!$E$5,F201-D202,"")</f>
        <v>2568791.364672211</v>
      </c>
    </row>
    <row r="203" spans="1:6" x14ac:dyDescent="0.25">
      <c r="A203" s="15">
        <v>200</v>
      </c>
      <c r="B203" s="17">
        <f>IF(A203&lt;='APR and payment'!$E$5,'Remaining debt'!A203,"")</f>
        <v>200</v>
      </c>
      <c r="C203" s="21">
        <f>IF(A203&lt;='APR and payment'!$E$5,'APR and payment'!$E$24,"")</f>
        <v>22461.231674784805</v>
      </c>
      <c r="D203" s="21">
        <f>IF(A203&lt;='APR and payment'!$E$5,C203-E203,"")</f>
        <v>10901.670533759856</v>
      </c>
      <c r="E203" s="21">
        <f>IF(A203&lt;='APR and payment'!$E$5,F202*'APR and payment'!$E$6/'APR and payment'!$L$9,"")</f>
        <v>11559.561141024949</v>
      </c>
      <c r="F203" s="21">
        <f>IF(A203&lt;='APR and payment'!$E$5,F202-D203,"")</f>
        <v>2557889.694138451</v>
      </c>
    </row>
    <row r="204" spans="1:6" x14ac:dyDescent="0.25">
      <c r="A204" s="15">
        <v>201</v>
      </c>
      <c r="B204" s="17">
        <f>IF(A204&lt;='APR and payment'!$E$5,'Remaining debt'!A204,"")</f>
        <v>201</v>
      </c>
      <c r="C204" s="21">
        <f>IF(A204&lt;='APR and payment'!$E$5,'APR and payment'!$E$24,"")</f>
        <v>22461.231674784805</v>
      </c>
      <c r="D204" s="21">
        <f>IF(A204&lt;='APR and payment'!$E$5,C204-E204,"")</f>
        <v>10950.728051161776</v>
      </c>
      <c r="E204" s="21">
        <f>IF(A204&lt;='APR and payment'!$E$5,F203*'APR and payment'!$E$6/'APR and payment'!$L$9,"")</f>
        <v>11510.50362362303</v>
      </c>
      <c r="F204" s="21">
        <f>IF(A204&lt;='APR and payment'!$E$5,F203-D204,"")</f>
        <v>2546938.9660872892</v>
      </c>
    </row>
    <row r="205" spans="1:6" x14ac:dyDescent="0.25">
      <c r="A205" s="15">
        <v>202</v>
      </c>
      <c r="B205" s="17">
        <f>IF(A205&lt;='APR and payment'!$E$5,'Remaining debt'!A205,"")</f>
        <v>202</v>
      </c>
      <c r="C205" s="21">
        <f>IF(A205&lt;='APR and payment'!$E$5,'APR and payment'!$E$24,"")</f>
        <v>22461.231674784805</v>
      </c>
      <c r="D205" s="21">
        <f>IF(A205&lt;='APR and payment'!$E$5,C205-E205,"")</f>
        <v>11000.006327392004</v>
      </c>
      <c r="E205" s="21">
        <f>IF(A205&lt;='APR and payment'!$E$5,F204*'APR and payment'!$E$6/'APR and payment'!$L$9,"")</f>
        <v>11461.225347392801</v>
      </c>
      <c r="F205" s="21">
        <f>IF(A205&lt;='APR and payment'!$E$5,F204-D205,"")</f>
        <v>2535938.9597598971</v>
      </c>
    </row>
    <row r="206" spans="1:6" x14ac:dyDescent="0.25">
      <c r="A206" s="15">
        <v>203</v>
      </c>
      <c r="B206" s="17">
        <f>IF(A206&lt;='APR and payment'!$E$5,'Remaining debt'!A206,"")</f>
        <v>203</v>
      </c>
      <c r="C206" s="21">
        <f>IF(A206&lt;='APR and payment'!$E$5,'APR and payment'!$E$24,"")</f>
        <v>22461.231674784805</v>
      </c>
      <c r="D206" s="21">
        <f>IF(A206&lt;='APR and payment'!$E$5,C206-E206,"")</f>
        <v>11049.506355865267</v>
      </c>
      <c r="E206" s="21">
        <f>IF(A206&lt;='APR and payment'!$E$5,F205*'APR and payment'!$E$6/'APR and payment'!$L$9,"")</f>
        <v>11411.725318919538</v>
      </c>
      <c r="F206" s="21">
        <f>IF(A206&lt;='APR and payment'!$E$5,F205-D206,"")</f>
        <v>2524889.4534040317</v>
      </c>
    </row>
    <row r="207" spans="1:6" x14ac:dyDescent="0.25">
      <c r="A207" s="15">
        <v>204</v>
      </c>
      <c r="B207" s="17">
        <f>IF(A207&lt;='APR and payment'!$E$5,'Remaining debt'!A207,"")</f>
        <v>204</v>
      </c>
      <c r="C207" s="21">
        <f>IF(A207&lt;='APR and payment'!$E$5,'APR and payment'!$E$24,"")</f>
        <v>22461.231674784805</v>
      </c>
      <c r="D207" s="21">
        <f>IF(A207&lt;='APR and payment'!$E$5,C207-E207,"")</f>
        <v>11099.229134466663</v>
      </c>
      <c r="E207" s="21">
        <f>IF(A207&lt;='APR and payment'!$E$5,F206*'APR and payment'!$E$6/'APR and payment'!$L$9,"")</f>
        <v>11362.002540318143</v>
      </c>
      <c r="F207" s="21">
        <f>IF(A207&lt;='APR and payment'!$E$5,F206-D207,"")</f>
        <v>2513790.2242695652</v>
      </c>
    </row>
    <row r="208" spans="1:6" x14ac:dyDescent="0.25">
      <c r="A208" s="15">
        <v>205</v>
      </c>
      <c r="B208" s="17">
        <f>IF(A208&lt;='APR and payment'!$E$5,'Remaining debt'!A208,"")</f>
        <v>205</v>
      </c>
      <c r="C208" s="21">
        <f>IF(A208&lt;='APR and payment'!$E$5,'APR and payment'!$E$24,"")</f>
        <v>22461.231674784805</v>
      </c>
      <c r="D208" s="21">
        <f>IF(A208&lt;='APR and payment'!$E$5,C208-E208,"")</f>
        <v>11149.175665571764</v>
      </c>
      <c r="E208" s="21">
        <f>IF(A208&lt;='APR and payment'!$E$5,F207*'APR and payment'!$E$6/'APR and payment'!$L$9,"")</f>
        <v>11312.056009213042</v>
      </c>
      <c r="F208" s="21">
        <f>IF(A208&lt;='APR and payment'!$E$5,F207-D208,"")</f>
        <v>2502641.0486039934</v>
      </c>
    </row>
    <row r="209" spans="1:6" x14ac:dyDescent="0.25">
      <c r="A209" s="15">
        <v>206</v>
      </c>
      <c r="B209" s="17">
        <f>IF(A209&lt;='APR and payment'!$E$5,'Remaining debt'!A209,"")</f>
        <v>206</v>
      </c>
      <c r="C209" s="21">
        <f>IF(A209&lt;='APR and payment'!$E$5,'APR and payment'!$E$24,"")</f>
        <v>22461.231674784805</v>
      </c>
      <c r="D209" s="21">
        <f>IF(A209&lt;='APR and payment'!$E$5,C209-E209,"")</f>
        <v>11199.346956066835</v>
      </c>
      <c r="E209" s="21">
        <f>IF(A209&lt;='APR and payment'!$E$5,F208*'APR and payment'!$E$6/'APR and payment'!$L$9,"")</f>
        <v>11261.884718717971</v>
      </c>
      <c r="F209" s="21">
        <f>IF(A209&lt;='APR and payment'!$E$5,F208-D209,"")</f>
        <v>2491441.7016479266</v>
      </c>
    </row>
    <row r="210" spans="1:6" x14ac:dyDescent="0.25">
      <c r="A210" s="15">
        <v>207</v>
      </c>
      <c r="B210" s="17">
        <f>IF(A210&lt;='APR and payment'!$E$5,'Remaining debt'!A210,"")</f>
        <v>207</v>
      </c>
      <c r="C210" s="21">
        <f>IF(A210&lt;='APR and payment'!$E$5,'APR and payment'!$E$24,"")</f>
        <v>22461.231674784805</v>
      </c>
      <c r="D210" s="21">
        <f>IF(A210&lt;='APR and payment'!$E$5,C210-E210,"")</f>
        <v>11249.744017369138</v>
      </c>
      <c r="E210" s="21">
        <f>IF(A210&lt;='APR and payment'!$E$5,F209*'APR and payment'!$E$6/'APR and payment'!$L$9,"")</f>
        <v>11211.487657415668</v>
      </c>
      <c r="F210" s="21">
        <f>IF(A210&lt;='APR and payment'!$E$5,F209-D210,"")</f>
        <v>2480191.9576305575</v>
      </c>
    </row>
    <row r="211" spans="1:6" x14ac:dyDescent="0.25">
      <c r="A211" s="15">
        <v>208</v>
      </c>
      <c r="B211" s="17">
        <f>IF(A211&lt;='APR and payment'!$E$5,'Remaining debt'!A211,"")</f>
        <v>208</v>
      </c>
      <c r="C211" s="21">
        <f>IF(A211&lt;='APR and payment'!$E$5,'APR and payment'!$E$24,"")</f>
        <v>22461.231674784805</v>
      </c>
      <c r="D211" s="21">
        <f>IF(A211&lt;='APR and payment'!$E$5,C211-E211,"")</f>
        <v>11300.367865447295</v>
      </c>
      <c r="E211" s="21">
        <f>IF(A211&lt;='APR and payment'!$E$5,F210*'APR and payment'!$E$6/'APR and payment'!$L$9,"")</f>
        <v>11160.86380933751</v>
      </c>
      <c r="F211" s="21">
        <f>IF(A211&lt;='APR and payment'!$E$5,F210-D211,"")</f>
        <v>2468891.5897651101</v>
      </c>
    </row>
    <row r="212" spans="1:6" x14ac:dyDescent="0.25">
      <c r="A212" s="15">
        <v>209</v>
      </c>
      <c r="B212" s="17">
        <f>IF(A212&lt;='APR and payment'!$E$5,'Remaining debt'!A212,"")</f>
        <v>209</v>
      </c>
      <c r="C212" s="21">
        <f>IF(A212&lt;='APR and payment'!$E$5,'APR and payment'!$E$24,"")</f>
        <v>22461.231674784805</v>
      </c>
      <c r="D212" s="21">
        <f>IF(A212&lt;='APR and payment'!$E$5,C212-E212,"")</f>
        <v>11351.219520841811</v>
      </c>
      <c r="E212" s="21">
        <f>IF(A212&lt;='APR and payment'!$E$5,F211*'APR and payment'!$E$6/'APR and payment'!$L$9,"")</f>
        <v>11110.012153942995</v>
      </c>
      <c r="F212" s="21">
        <f>IF(A212&lt;='APR and payment'!$E$5,F211-D212,"")</f>
        <v>2457540.3702442683</v>
      </c>
    </row>
    <row r="213" spans="1:6" x14ac:dyDescent="0.25">
      <c r="A213" s="15">
        <v>210</v>
      </c>
      <c r="B213" s="17">
        <f>IF(A213&lt;='APR and payment'!$E$5,'Remaining debt'!A213,"")</f>
        <v>210</v>
      </c>
      <c r="C213" s="21">
        <f>IF(A213&lt;='APR and payment'!$E$5,'APR and payment'!$E$24,"")</f>
        <v>22461.231674784805</v>
      </c>
      <c r="D213" s="21">
        <f>IF(A213&lt;='APR and payment'!$E$5,C213-E213,"")</f>
        <v>11402.300008685599</v>
      </c>
      <c r="E213" s="21">
        <f>IF(A213&lt;='APR and payment'!$E$5,F212*'APR and payment'!$E$6/'APR and payment'!$L$9,"")</f>
        <v>11058.931666099206</v>
      </c>
      <c r="F213" s="21">
        <f>IF(A213&lt;='APR and payment'!$E$5,F212-D213,"")</f>
        <v>2446138.0702355825</v>
      </c>
    </row>
    <row r="214" spans="1:6" x14ac:dyDescent="0.25">
      <c r="A214" s="15">
        <v>211</v>
      </c>
      <c r="B214" s="17">
        <f>IF(A214&lt;='APR and payment'!$E$5,'Remaining debt'!A214,"")</f>
        <v>211</v>
      </c>
      <c r="C214" s="21">
        <f>IF(A214&lt;='APR and payment'!$E$5,'APR and payment'!$E$24,"")</f>
        <v>22461.231674784805</v>
      </c>
      <c r="D214" s="21">
        <f>IF(A214&lt;='APR and payment'!$E$5,C214-E214,"")</f>
        <v>11453.610358724685</v>
      </c>
      <c r="E214" s="21">
        <f>IF(A214&lt;='APR and payment'!$E$5,F213*'APR and payment'!$E$6/'APR and payment'!$L$9,"")</f>
        <v>11007.62131606012</v>
      </c>
      <c r="F214" s="21">
        <f>IF(A214&lt;='APR and payment'!$E$5,F213-D214,"")</f>
        <v>2434684.4598768577</v>
      </c>
    </row>
    <row r="215" spans="1:6" x14ac:dyDescent="0.25">
      <c r="A215" s="15">
        <v>212</v>
      </c>
      <c r="B215" s="17">
        <f>IF(A215&lt;='APR and payment'!$E$5,'Remaining debt'!A215,"")</f>
        <v>212</v>
      </c>
      <c r="C215" s="21">
        <f>IF(A215&lt;='APR and payment'!$E$5,'APR and payment'!$E$24,"")</f>
        <v>22461.231674784805</v>
      </c>
      <c r="D215" s="21">
        <f>IF(A215&lt;='APR and payment'!$E$5,C215-E215,"")</f>
        <v>11505.151605338946</v>
      </c>
      <c r="E215" s="21">
        <f>IF(A215&lt;='APR and payment'!$E$5,F214*'APR and payment'!$E$6/'APR and payment'!$L$9,"")</f>
        <v>10956.080069445859</v>
      </c>
      <c r="F215" s="21">
        <f>IF(A215&lt;='APR and payment'!$E$5,F214-D215,"")</f>
        <v>2423179.3082715189</v>
      </c>
    </row>
    <row r="216" spans="1:6" x14ac:dyDescent="0.25">
      <c r="A216" s="15">
        <v>213</v>
      </c>
      <c r="B216" s="17">
        <f>IF(A216&lt;='APR and payment'!$E$5,'Remaining debt'!A216,"")</f>
        <v>213</v>
      </c>
      <c r="C216" s="21">
        <f>IF(A216&lt;='APR and payment'!$E$5,'APR and payment'!$E$24,"")</f>
        <v>22461.231674784805</v>
      </c>
      <c r="D216" s="21">
        <f>IF(A216&lt;='APR and payment'!$E$5,C216-E216,"")</f>
        <v>11556.92478756297</v>
      </c>
      <c r="E216" s="21">
        <f>IF(A216&lt;='APR and payment'!$E$5,F215*'APR and payment'!$E$6/'APR and payment'!$L$9,"")</f>
        <v>10904.306887221835</v>
      </c>
      <c r="F216" s="21">
        <f>IF(A216&lt;='APR and payment'!$E$5,F215-D216,"")</f>
        <v>2411622.3834839561</v>
      </c>
    </row>
    <row r="217" spans="1:6" x14ac:dyDescent="0.25">
      <c r="A217" s="15">
        <v>214</v>
      </c>
      <c r="B217" s="17">
        <f>IF(A217&lt;='APR and payment'!$E$5,'Remaining debt'!A217,"")</f>
        <v>214</v>
      </c>
      <c r="C217" s="21">
        <f>IF(A217&lt;='APR and payment'!$E$5,'APR and payment'!$E$24,"")</f>
        <v>22461.231674784805</v>
      </c>
      <c r="D217" s="21">
        <f>IF(A217&lt;='APR and payment'!$E$5,C217-E217,"")</f>
        <v>11608.930949107003</v>
      </c>
      <c r="E217" s="21">
        <f>IF(A217&lt;='APR and payment'!$E$5,F216*'APR and payment'!$E$6/'APR and payment'!$L$9,"")</f>
        <v>10852.300725677802</v>
      </c>
      <c r="F217" s="21">
        <f>IF(A217&lt;='APR and payment'!$E$5,F216-D217,"")</f>
        <v>2400013.4525348493</v>
      </c>
    </row>
    <row r="218" spans="1:6" x14ac:dyDescent="0.25">
      <c r="A218" s="15">
        <v>215</v>
      </c>
      <c r="B218" s="17">
        <f>IF(A218&lt;='APR and payment'!$E$5,'Remaining debt'!A218,"")</f>
        <v>215</v>
      </c>
      <c r="C218" s="21">
        <f>IF(A218&lt;='APR and payment'!$E$5,'APR and payment'!$E$24,"")</f>
        <v>22461.231674784805</v>
      </c>
      <c r="D218" s="21">
        <f>IF(A218&lt;='APR and payment'!$E$5,C218-E218,"")</f>
        <v>11661.171138377984</v>
      </c>
      <c r="E218" s="21">
        <f>IF(A218&lt;='APR and payment'!$E$5,F217*'APR and payment'!$E$6/'APR and payment'!$L$9,"")</f>
        <v>10800.060536406821</v>
      </c>
      <c r="F218" s="21">
        <f>IF(A218&lt;='APR and payment'!$E$5,F217-D218,"")</f>
        <v>2388352.2813964714</v>
      </c>
    </row>
    <row r="219" spans="1:6" x14ac:dyDescent="0.25">
      <c r="A219" s="15">
        <v>216</v>
      </c>
      <c r="B219" s="17">
        <f>IF(A219&lt;='APR and payment'!$E$5,'Remaining debt'!A219,"")</f>
        <v>216</v>
      </c>
      <c r="C219" s="21">
        <f>IF(A219&lt;='APR and payment'!$E$5,'APR and payment'!$E$24,"")</f>
        <v>22461.231674784805</v>
      </c>
      <c r="D219" s="21">
        <f>IF(A219&lt;='APR and payment'!$E$5,C219-E219,"")</f>
        <v>11713.646408500685</v>
      </c>
      <c r="E219" s="21">
        <f>IF(A219&lt;='APR and payment'!$E$5,F218*'APR and payment'!$E$6/'APR and payment'!$L$9,"")</f>
        <v>10747.585266284121</v>
      </c>
      <c r="F219" s="21">
        <f>IF(A219&lt;='APR and payment'!$E$5,F218-D219,"")</f>
        <v>2376638.6349879708</v>
      </c>
    </row>
    <row r="220" spans="1:6" x14ac:dyDescent="0.25">
      <c r="A220" s="15">
        <v>217</v>
      </c>
      <c r="B220" s="17">
        <f>IF(A220&lt;='APR and payment'!$E$5,'Remaining debt'!A220,"")</f>
        <v>217</v>
      </c>
      <c r="C220" s="21">
        <f>IF(A220&lt;='APR and payment'!$E$5,'APR and payment'!$E$24,"")</f>
        <v>22461.231674784805</v>
      </c>
      <c r="D220" s="21">
        <f>IF(A220&lt;='APR and payment'!$E$5,C220-E220,"")</f>
        <v>11766.357817338938</v>
      </c>
      <c r="E220" s="21">
        <f>IF(A220&lt;='APR and payment'!$E$5,F219*'APR and payment'!$E$6/'APR and payment'!$L$9,"")</f>
        <v>10694.873857445868</v>
      </c>
      <c r="F220" s="21">
        <f>IF(A220&lt;='APR and payment'!$E$5,F219-D220,"")</f>
        <v>2364872.277170632</v>
      </c>
    </row>
    <row r="221" spans="1:6" x14ac:dyDescent="0.25">
      <c r="A221" s="15">
        <v>218</v>
      </c>
      <c r="B221" s="17">
        <f>IF(A221&lt;='APR and payment'!$E$5,'Remaining debt'!A221,"")</f>
        <v>218</v>
      </c>
      <c r="C221" s="21">
        <f>IF(A221&lt;='APR and payment'!$E$5,'APR and payment'!$E$24,"")</f>
        <v>22461.231674784805</v>
      </c>
      <c r="D221" s="21">
        <f>IF(A221&lt;='APR and payment'!$E$5,C221-E221,"")</f>
        <v>11819.306427516962</v>
      </c>
      <c r="E221" s="21">
        <f>IF(A221&lt;='APR and payment'!$E$5,F220*'APR and payment'!$E$6/'APR and payment'!$L$9,"")</f>
        <v>10641.925247267844</v>
      </c>
      <c r="F221" s="21">
        <f>IF(A221&lt;='APR and payment'!$E$5,F220-D221,"")</f>
        <v>2353052.9707431151</v>
      </c>
    </row>
    <row r="222" spans="1:6" x14ac:dyDescent="0.25">
      <c r="A222" s="15">
        <v>219</v>
      </c>
      <c r="B222" s="17">
        <f>IF(A222&lt;='APR and payment'!$E$5,'Remaining debt'!A222,"")</f>
        <v>219</v>
      </c>
      <c r="C222" s="21">
        <f>IF(A222&lt;='APR and payment'!$E$5,'APR and payment'!$E$24,"")</f>
        <v>22461.231674784805</v>
      </c>
      <c r="D222" s="21">
        <f>IF(A222&lt;='APR and payment'!$E$5,C222-E222,"")</f>
        <v>11872.493306440787</v>
      </c>
      <c r="E222" s="21">
        <f>IF(A222&lt;='APR and payment'!$E$5,F221*'APR and payment'!$E$6/'APR and payment'!$L$9,"")</f>
        <v>10588.738368344018</v>
      </c>
      <c r="F222" s="21">
        <f>IF(A222&lt;='APR and payment'!$E$5,F221-D222,"")</f>
        <v>2341180.4774366743</v>
      </c>
    </row>
    <row r="223" spans="1:6" x14ac:dyDescent="0.25">
      <c r="A223" s="15">
        <v>220</v>
      </c>
      <c r="B223" s="17">
        <f>IF(A223&lt;='APR and payment'!$E$5,'Remaining debt'!A223,"")</f>
        <v>220</v>
      </c>
      <c r="C223" s="21">
        <f>IF(A223&lt;='APR and payment'!$E$5,'APR and payment'!$E$24,"")</f>
        <v>22461.231674784805</v>
      </c>
      <c r="D223" s="21">
        <f>IF(A223&lt;='APR and payment'!$E$5,C223-E223,"")</f>
        <v>11925.919526319771</v>
      </c>
      <c r="E223" s="21">
        <f>IF(A223&lt;='APR and payment'!$E$5,F222*'APR and payment'!$E$6/'APR and payment'!$L$9,"")</f>
        <v>10535.312148465035</v>
      </c>
      <c r="F223" s="21">
        <f>IF(A223&lt;='APR and payment'!$E$5,F222-D223,"")</f>
        <v>2329254.5579103543</v>
      </c>
    </row>
    <row r="224" spans="1:6" x14ac:dyDescent="0.25">
      <c r="A224" s="15">
        <v>221</v>
      </c>
      <c r="B224" s="17">
        <f>IF(A224&lt;='APR and payment'!$E$5,'Remaining debt'!A224,"")</f>
        <v>221</v>
      </c>
      <c r="C224" s="21">
        <f>IF(A224&lt;='APR and payment'!$E$5,'APR and payment'!$E$24,"")</f>
        <v>22461.231674784805</v>
      </c>
      <c r="D224" s="21">
        <f>IF(A224&lt;='APR and payment'!$E$5,C224-E224,"")</f>
        <v>11979.586164188211</v>
      </c>
      <c r="E224" s="21">
        <f>IF(A224&lt;='APR and payment'!$E$5,F223*'APR and payment'!$E$6/'APR and payment'!$L$9,"")</f>
        <v>10481.645510596594</v>
      </c>
      <c r="F224" s="21">
        <f>IF(A224&lt;='APR and payment'!$E$5,F223-D224,"")</f>
        <v>2317274.9717461662</v>
      </c>
    </row>
    <row r="225" spans="1:6" x14ac:dyDescent="0.25">
      <c r="A225" s="15">
        <v>222</v>
      </c>
      <c r="B225" s="17">
        <f>IF(A225&lt;='APR and payment'!$E$5,'Remaining debt'!A225,"")</f>
        <v>222</v>
      </c>
      <c r="C225" s="21">
        <f>IF(A225&lt;='APR and payment'!$E$5,'APR and payment'!$E$24,"")</f>
        <v>22461.231674784805</v>
      </c>
      <c r="D225" s="21">
        <f>IF(A225&lt;='APR and payment'!$E$5,C225-E225,"")</f>
        <v>12033.494301927058</v>
      </c>
      <c r="E225" s="21">
        <f>IF(A225&lt;='APR and payment'!$E$5,F224*'APR and payment'!$E$6/'APR and payment'!$L$9,"")</f>
        <v>10427.737372857748</v>
      </c>
      <c r="F225" s="21">
        <f>IF(A225&lt;='APR and payment'!$E$5,F224-D225,"")</f>
        <v>2305241.477444239</v>
      </c>
    </row>
    <row r="226" spans="1:6" x14ac:dyDescent="0.25">
      <c r="A226" s="15">
        <v>223</v>
      </c>
      <c r="B226" s="17">
        <f>IF(A226&lt;='APR and payment'!$E$5,'Remaining debt'!A226,"")</f>
        <v>223</v>
      </c>
      <c r="C226" s="21">
        <f>IF(A226&lt;='APR and payment'!$E$5,'APR and payment'!$E$24,"")</f>
        <v>22461.231674784805</v>
      </c>
      <c r="D226" s="21">
        <f>IF(A226&lt;='APR and payment'!$E$5,C226-E226,"")</f>
        <v>12087.645026285731</v>
      </c>
      <c r="E226" s="21">
        <f>IF(A226&lt;='APR and payment'!$E$5,F225*'APR and payment'!$E$6/'APR and payment'!$L$9,"")</f>
        <v>10373.586648499075</v>
      </c>
      <c r="F226" s="21">
        <f>IF(A226&lt;='APR and payment'!$E$5,F225-D226,"")</f>
        <v>2293153.8324179533</v>
      </c>
    </row>
    <row r="227" spans="1:6" x14ac:dyDescent="0.25">
      <c r="A227" s="15">
        <v>224</v>
      </c>
      <c r="B227" s="17">
        <f>IF(A227&lt;='APR and payment'!$E$5,'Remaining debt'!A227,"")</f>
        <v>224</v>
      </c>
      <c r="C227" s="21">
        <f>IF(A227&lt;='APR and payment'!$E$5,'APR and payment'!$E$24,"")</f>
        <v>22461.231674784805</v>
      </c>
      <c r="D227" s="21">
        <f>IF(A227&lt;='APR and payment'!$E$5,C227-E227,"")</f>
        <v>12142.039428904016</v>
      </c>
      <c r="E227" s="21">
        <f>IF(A227&lt;='APR and payment'!$E$5,F226*'APR and payment'!$E$6/'APR and payment'!$L$9,"")</f>
        <v>10319.192245880789</v>
      </c>
      <c r="F227" s="21">
        <f>IF(A227&lt;='APR and payment'!$E$5,F226-D227,"")</f>
        <v>2281011.7929890491</v>
      </c>
    </row>
    <row r="228" spans="1:6" x14ac:dyDescent="0.25">
      <c r="A228" s="15">
        <v>225</v>
      </c>
      <c r="B228" s="17">
        <f>IF(A228&lt;='APR and payment'!$E$5,'Remaining debt'!A228,"")</f>
        <v>225</v>
      </c>
      <c r="C228" s="21">
        <f>IF(A228&lt;='APR and payment'!$E$5,'APR and payment'!$E$24,"")</f>
        <v>22461.231674784805</v>
      </c>
      <c r="D228" s="21">
        <f>IF(A228&lt;='APR and payment'!$E$5,C228-E228,"")</f>
        <v>12196.678606334084</v>
      </c>
      <c r="E228" s="21">
        <f>IF(A228&lt;='APR and payment'!$E$5,F227*'APR and payment'!$E$6/'APR and payment'!$L$9,"")</f>
        <v>10264.553068450721</v>
      </c>
      <c r="F228" s="21">
        <f>IF(A228&lt;='APR and payment'!$E$5,F227-D228,"")</f>
        <v>2268815.114382715</v>
      </c>
    </row>
    <row r="229" spans="1:6" x14ac:dyDescent="0.25">
      <c r="A229" s="15">
        <v>226</v>
      </c>
      <c r="B229" s="17">
        <f>IF(A229&lt;='APR and payment'!$E$5,'Remaining debt'!A229,"")</f>
        <v>226</v>
      </c>
      <c r="C229" s="21">
        <f>IF(A229&lt;='APR and payment'!$E$5,'APR and payment'!$E$24,"")</f>
        <v>22461.231674784805</v>
      </c>
      <c r="D229" s="21">
        <f>IF(A229&lt;='APR and payment'!$E$5,C229-E229,"")</f>
        <v>12251.563660062588</v>
      </c>
      <c r="E229" s="21">
        <f>IF(A229&lt;='APR and payment'!$E$5,F228*'APR and payment'!$E$6/'APR and payment'!$L$9,"")</f>
        <v>10209.668014722218</v>
      </c>
      <c r="F229" s="21">
        <f>IF(A229&lt;='APR and payment'!$E$5,F228-D229,"")</f>
        <v>2256563.5507226526</v>
      </c>
    </row>
    <row r="230" spans="1:6" x14ac:dyDescent="0.25">
      <c r="A230" s="15">
        <v>227</v>
      </c>
      <c r="B230" s="17">
        <f>IF(A230&lt;='APR and payment'!$E$5,'Remaining debt'!A230,"")</f>
        <v>227</v>
      </c>
      <c r="C230" s="21">
        <f>IF(A230&lt;='APR and payment'!$E$5,'APR and payment'!$E$24,"")</f>
        <v>22461.231674784805</v>
      </c>
      <c r="D230" s="21">
        <f>IF(A230&lt;='APR and payment'!$E$5,C230-E230,"")</f>
        <v>12306.69569653287</v>
      </c>
      <c r="E230" s="21">
        <f>IF(A230&lt;='APR and payment'!$E$5,F229*'APR and payment'!$E$6/'APR and payment'!$L$9,"")</f>
        <v>10154.535978251935</v>
      </c>
      <c r="F230" s="21">
        <f>IF(A230&lt;='APR and payment'!$E$5,F229-D230,"")</f>
        <v>2244256.8550261199</v>
      </c>
    </row>
    <row r="231" spans="1:6" x14ac:dyDescent="0.25">
      <c r="A231" s="15">
        <v>228</v>
      </c>
      <c r="B231" s="17">
        <f>IF(A231&lt;='APR and payment'!$E$5,'Remaining debt'!A231,"")</f>
        <v>228</v>
      </c>
      <c r="C231" s="21">
        <f>IF(A231&lt;='APR and payment'!$E$5,'APR and payment'!$E$24,"")</f>
        <v>22461.231674784805</v>
      </c>
      <c r="D231" s="21">
        <f>IF(A231&lt;='APR and payment'!$E$5,C231-E231,"")</f>
        <v>12362.075827167266</v>
      </c>
      <c r="E231" s="21">
        <f>IF(A231&lt;='APR and payment'!$E$5,F230*'APR and payment'!$E$6/'APR and payment'!$L$9,"")</f>
        <v>10099.15584761754</v>
      </c>
      <c r="F231" s="21">
        <f>IF(A231&lt;='APR and payment'!$E$5,F230-D231,"")</f>
        <v>2231894.7791989525</v>
      </c>
    </row>
    <row r="232" spans="1:6" x14ac:dyDescent="0.25">
      <c r="A232" s="15">
        <v>229</v>
      </c>
      <c r="B232" s="17">
        <f>IF(A232&lt;='APR and payment'!$E$5,'Remaining debt'!A232,"")</f>
        <v>229</v>
      </c>
      <c r="C232" s="21">
        <f>IF(A232&lt;='APR and payment'!$E$5,'APR and payment'!$E$24,"")</f>
        <v>22461.231674784805</v>
      </c>
      <c r="D232" s="21">
        <f>IF(A232&lt;='APR and payment'!$E$5,C232-E232,"")</f>
        <v>12417.705168389519</v>
      </c>
      <c r="E232" s="21">
        <f>IF(A232&lt;='APR and payment'!$E$5,F231*'APR and payment'!$E$6/'APR and payment'!$L$9,"")</f>
        <v>10043.526506395287</v>
      </c>
      <c r="F232" s="21">
        <f>IF(A232&lt;='APR and payment'!$E$5,F231-D232,"")</f>
        <v>2219477.0740305628</v>
      </c>
    </row>
    <row r="233" spans="1:6" x14ac:dyDescent="0.25">
      <c r="A233" s="15">
        <v>230</v>
      </c>
      <c r="B233" s="17">
        <f>IF(A233&lt;='APR and payment'!$E$5,'Remaining debt'!A233,"")</f>
        <v>230</v>
      </c>
      <c r="C233" s="21">
        <f>IF(A233&lt;='APR and payment'!$E$5,'APR and payment'!$E$24,"")</f>
        <v>22461.231674784805</v>
      </c>
      <c r="D233" s="21">
        <f>IF(A233&lt;='APR and payment'!$E$5,C233-E233,"")</f>
        <v>12473.584841647273</v>
      </c>
      <c r="E233" s="21">
        <f>IF(A233&lt;='APR and payment'!$E$5,F232*'APR and payment'!$E$6/'APR and payment'!$L$9,"")</f>
        <v>9987.6468331375327</v>
      </c>
      <c r="F233" s="21">
        <f>IF(A233&lt;='APR and payment'!$E$5,F232-D233,"")</f>
        <v>2207003.4891889156</v>
      </c>
    </row>
    <row r="234" spans="1:6" x14ac:dyDescent="0.25">
      <c r="A234" s="15">
        <v>231</v>
      </c>
      <c r="B234" s="17">
        <f>IF(A234&lt;='APR and payment'!$E$5,'Remaining debt'!A234,"")</f>
        <v>231</v>
      </c>
      <c r="C234" s="21">
        <f>IF(A234&lt;='APR and payment'!$E$5,'APR and payment'!$E$24,"")</f>
        <v>22461.231674784805</v>
      </c>
      <c r="D234" s="21">
        <f>IF(A234&lt;='APR and payment'!$E$5,C234-E234,"")</f>
        <v>12529.715973434684</v>
      </c>
      <c r="E234" s="21">
        <f>IF(A234&lt;='APR and payment'!$E$5,F233*'APR and payment'!$E$6/'APR and payment'!$L$9,"")</f>
        <v>9931.5157013501212</v>
      </c>
      <c r="F234" s="21">
        <f>IF(A234&lt;='APR and payment'!$E$5,F233-D234,"")</f>
        <v>2194473.7732154811</v>
      </c>
    </row>
    <row r="235" spans="1:6" x14ac:dyDescent="0.25">
      <c r="A235" s="15">
        <v>232</v>
      </c>
      <c r="B235" s="17">
        <f>IF(A235&lt;='APR and payment'!$E$5,'Remaining debt'!A235,"")</f>
        <v>232</v>
      </c>
      <c r="C235" s="21">
        <f>IF(A235&lt;='APR and payment'!$E$5,'APR and payment'!$E$24,"")</f>
        <v>22461.231674784805</v>
      </c>
      <c r="D235" s="21">
        <f>IF(A235&lt;='APR and payment'!$E$5,C235-E235,"")</f>
        <v>12586.099695315141</v>
      </c>
      <c r="E235" s="21">
        <f>IF(A235&lt;='APR and payment'!$E$5,F234*'APR and payment'!$E$6/'APR and payment'!$L$9,"")</f>
        <v>9875.1319794696647</v>
      </c>
      <c r="F235" s="21">
        <f>IF(A235&lt;='APR and payment'!$E$5,F234-D235,"")</f>
        <v>2181887.673520166</v>
      </c>
    </row>
    <row r="236" spans="1:6" x14ac:dyDescent="0.25">
      <c r="A236" s="15">
        <v>233</v>
      </c>
      <c r="B236" s="17">
        <f>IF(A236&lt;='APR and payment'!$E$5,'Remaining debt'!A236,"")</f>
        <v>233</v>
      </c>
      <c r="C236" s="21">
        <f>IF(A236&lt;='APR and payment'!$E$5,'APR and payment'!$E$24,"")</f>
        <v>22461.231674784805</v>
      </c>
      <c r="D236" s="21">
        <f>IF(A236&lt;='APR and payment'!$E$5,C236-E236,"")</f>
        <v>12642.737143944059</v>
      </c>
      <c r="E236" s="21">
        <f>IF(A236&lt;='APR and payment'!$E$5,F235*'APR and payment'!$E$6/'APR and payment'!$L$9,"")</f>
        <v>9818.4945308407459</v>
      </c>
      <c r="F236" s="21">
        <f>IF(A236&lt;='APR and payment'!$E$5,F235-D236,"")</f>
        <v>2169244.9363762219</v>
      </c>
    </row>
    <row r="237" spans="1:6" x14ac:dyDescent="0.25">
      <c r="A237" s="15">
        <v>234</v>
      </c>
      <c r="B237" s="17">
        <f>IF(A237&lt;='APR and payment'!$E$5,'Remaining debt'!A237,"")</f>
        <v>234</v>
      </c>
      <c r="C237" s="21">
        <f>IF(A237&lt;='APR and payment'!$E$5,'APR and payment'!$E$24,"")</f>
        <v>22461.231674784805</v>
      </c>
      <c r="D237" s="21">
        <f>IF(A237&lt;='APR and payment'!$E$5,C237-E237,"")</f>
        <v>12699.629461091807</v>
      </c>
      <c r="E237" s="21">
        <f>IF(A237&lt;='APR and payment'!$E$5,F236*'APR and payment'!$E$6/'APR and payment'!$L$9,"")</f>
        <v>9761.6022136929987</v>
      </c>
      <c r="F237" s="21">
        <f>IF(A237&lt;='APR and payment'!$E$5,F236-D237,"")</f>
        <v>2156545.30691513</v>
      </c>
    </row>
    <row r="238" spans="1:6" x14ac:dyDescent="0.25">
      <c r="A238" s="15">
        <v>235</v>
      </c>
      <c r="B238" s="17">
        <f>IF(A238&lt;='APR and payment'!$E$5,'Remaining debt'!A238,"")</f>
        <v>235</v>
      </c>
      <c r="C238" s="21">
        <f>IF(A238&lt;='APR and payment'!$E$5,'APR and payment'!$E$24,"")</f>
        <v>22461.231674784805</v>
      </c>
      <c r="D238" s="21">
        <f>IF(A238&lt;='APR and payment'!$E$5,C238-E238,"")</f>
        <v>12756.777793666721</v>
      </c>
      <c r="E238" s="21">
        <f>IF(A238&lt;='APR and payment'!$E$5,F237*'APR and payment'!$E$6/'APR and payment'!$L$9,"")</f>
        <v>9704.4538811180846</v>
      </c>
      <c r="F238" s="21">
        <f>IF(A238&lt;='APR and payment'!$E$5,F237-D238,"")</f>
        <v>2143788.5291214632</v>
      </c>
    </row>
    <row r="239" spans="1:6" x14ac:dyDescent="0.25">
      <c r="A239" s="15">
        <v>236</v>
      </c>
      <c r="B239" s="17">
        <f>IF(A239&lt;='APR and payment'!$E$5,'Remaining debt'!A239,"")</f>
        <v>236</v>
      </c>
      <c r="C239" s="21">
        <f>IF(A239&lt;='APR and payment'!$E$5,'APR and payment'!$E$24,"")</f>
        <v>22461.231674784805</v>
      </c>
      <c r="D239" s="21">
        <f>IF(A239&lt;='APR and payment'!$E$5,C239-E239,"")</f>
        <v>12814.183293738221</v>
      </c>
      <c r="E239" s="21">
        <f>IF(A239&lt;='APR and payment'!$E$5,F238*'APR and payment'!$E$6/'APR and payment'!$L$9,"")</f>
        <v>9647.0483810465848</v>
      </c>
      <c r="F239" s="21">
        <f>IF(A239&lt;='APR and payment'!$E$5,F238-D239,"")</f>
        <v>2130974.3458277248</v>
      </c>
    </row>
    <row r="240" spans="1:6" x14ac:dyDescent="0.25">
      <c r="A240" s="15">
        <v>237</v>
      </c>
      <c r="B240" s="17">
        <f>IF(A240&lt;='APR and payment'!$E$5,'Remaining debt'!A240,"")</f>
        <v>237</v>
      </c>
      <c r="C240" s="21">
        <f>IF(A240&lt;='APR and payment'!$E$5,'APR and payment'!$E$24,"")</f>
        <v>22461.231674784805</v>
      </c>
      <c r="D240" s="21">
        <f>IF(A240&lt;='APR and payment'!$E$5,C240-E240,"")</f>
        <v>12871.847118560045</v>
      </c>
      <c r="E240" s="21">
        <f>IF(A240&lt;='APR and payment'!$E$5,F239*'APR and payment'!$E$6/'APR and payment'!$L$9,"")</f>
        <v>9589.3845562247607</v>
      </c>
      <c r="F240" s="21">
        <f>IF(A240&lt;='APR and payment'!$E$5,F239-D240,"")</f>
        <v>2118102.4987091646</v>
      </c>
    </row>
    <row r="241" spans="1:6" x14ac:dyDescent="0.25">
      <c r="A241" s="15">
        <v>238</v>
      </c>
      <c r="B241" s="17">
        <f>IF(A241&lt;='APR and payment'!$E$5,'Remaining debt'!A241,"")</f>
        <v>238</v>
      </c>
      <c r="C241" s="21">
        <f>IF(A241&lt;='APR and payment'!$E$5,'APR and payment'!$E$24,"")</f>
        <v>22461.231674784805</v>
      </c>
      <c r="D241" s="21">
        <f>IF(A241&lt;='APR and payment'!$E$5,C241-E241,"")</f>
        <v>12929.770430593564</v>
      </c>
      <c r="E241" s="21">
        <f>IF(A241&lt;='APR and payment'!$E$5,F240*'APR and payment'!$E$6/'APR and payment'!$L$9,"")</f>
        <v>9531.4612441912413</v>
      </c>
      <c r="F241" s="21">
        <f>IF(A241&lt;='APR and payment'!$E$5,F240-D241,"")</f>
        <v>2105172.7282785708</v>
      </c>
    </row>
    <row r="242" spans="1:6" x14ac:dyDescent="0.25">
      <c r="A242" s="15">
        <v>239</v>
      </c>
      <c r="B242" s="17">
        <f>IF(A242&lt;='APR and payment'!$E$5,'Remaining debt'!A242,"")</f>
        <v>239</v>
      </c>
      <c r="C242" s="21">
        <f>IF(A242&lt;='APR and payment'!$E$5,'APR and payment'!$E$24,"")</f>
        <v>22461.231674784805</v>
      </c>
      <c r="D242" s="21">
        <f>IF(A242&lt;='APR and payment'!$E$5,C242-E242,"")</f>
        <v>12987.954397531237</v>
      </c>
      <c r="E242" s="21">
        <f>IF(A242&lt;='APR and payment'!$E$5,F241*'APR and payment'!$E$6/'APR and payment'!$L$9,"")</f>
        <v>9473.2772772535682</v>
      </c>
      <c r="F242" s="21">
        <f>IF(A242&lt;='APR and payment'!$E$5,F241-D242,"")</f>
        <v>2092184.7738810396</v>
      </c>
    </row>
    <row r="243" spans="1:6" x14ac:dyDescent="0.25">
      <c r="A243" s="15">
        <v>240</v>
      </c>
      <c r="B243" s="17">
        <f>IF(A243&lt;='APR and payment'!$E$5,'Remaining debt'!A243,"")</f>
        <v>240</v>
      </c>
      <c r="C243" s="21">
        <f>IF(A243&lt;='APR and payment'!$E$5,'APR and payment'!$E$24,"")</f>
        <v>22461.231674784805</v>
      </c>
      <c r="D243" s="21">
        <f>IF(A243&lt;='APR and payment'!$E$5,C243-E243,"")</f>
        <v>13046.400192320127</v>
      </c>
      <c r="E243" s="21">
        <f>IF(A243&lt;='APR and payment'!$E$5,F242*'APR and payment'!$E$6/'APR and payment'!$L$9,"")</f>
        <v>9414.8314824646786</v>
      </c>
      <c r="F243" s="21">
        <f>IF(A243&lt;='APR and payment'!$E$5,F242-D243,"")</f>
        <v>2079138.3736887195</v>
      </c>
    </row>
    <row r="244" spans="1:6" x14ac:dyDescent="0.25">
      <c r="A244" s="15">
        <v>241</v>
      </c>
      <c r="B244" s="17">
        <f>IF(A244&lt;='APR and payment'!$E$5,'Remaining debt'!A244,"")</f>
        <v>241</v>
      </c>
      <c r="C244" s="21">
        <f>IF(A244&lt;='APR and payment'!$E$5,'APR and payment'!$E$24,"")</f>
        <v>22461.231674784805</v>
      </c>
      <c r="D244" s="21">
        <f>IF(A244&lt;='APR and payment'!$E$5,C244-E244,"")</f>
        <v>13105.108993185568</v>
      </c>
      <c r="E244" s="21">
        <f>IF(A244&lt;='APR and payment'!$E$5,F243*'APR and payment'!$E$6/'APR and payment'!$L$9,"")</f>
        <v>9356.1226815992377</v>
      </c>
      <c r="F244" s="21">
        <f>IF(A244&lt;='APR and payment'!$E$5,F243-D244,"")</f>
        <v>2066033.264695534</v>
      </c>
    </row>
    <row r="245" spans="1:6" x14ac:dyDescent="0.25">
      <c r="A245" s="15">
        <v>242</v>
      </c>
      <c r="B245" s="17">
        <f>IF(A245&lt;='APR and payment'!$E$5,'Remaining debt'!A245,"")</f>
        <v>242</v>
      </c>
      <c r="C245" s="21">
        <f>IF(A245&lt;='APR and payment'!$E$5,'APR and payment'!$E$24,"")</f>
        <v>22461.231674784805</v>
      </c>
      <c r="D245" s="21">
        <f>IF(A245&lt;='APR and payment'!$E$5,C245-E245,"")</f>
        <v>13164.081983654904</v>
      </c>
      <c r="E245" s="21">
        <f>IF(A245&lt;='APR and payment'!$E$5,F244*'APR and payment'!$E$6/'APR and payment'!$L$9,"")</f>
        <v>9297.1496911299018</v>
      </c>
      <c r="F245" s="21">
        <f>IF(A245&lt;='APR and payment'!$E$5,F244-D245,"")</f>
        <v>2052869.182711879</v>
      </c>
    </row>
    <row r="246" spans="1:6" x14ac:dyDescent="0.25">
      <c r="A246" s="15">
        <v>243</v>
      </c>
      <c r="B246" s="17">
        <f>IF(A246&lt;='APR and payment'!$E$5,'Remaining debt'!A246,"")</f>
        <v>243</v>
      </c>
      <c r="C246" s="21">
        <f>IF(A246&lt;='APR and payment'!$E$5,'APR and payment'!$E$24,"")</f>
        <v>22461.231674784805</v>
      </c>
      <c r="D246" s="21">
        <f>IF(A246&lt;='APR and payment'!$E$5,C246-E246,"")</f>
        <v>13223.32035258135</v>
      </c>
      <c r="E246" s="21">
        <f>IF(A246&lt;='APR and payment'!$E$5,F245*'APR and payment'!$E$6/'APR and payment'!$L$9,"")</f>
        <v>9237.9113222034557</v>
      </c>
      <c r="F246" s="21">
        <f>IF(A246&lt;='APR and payment'!$E$5,F245-D246,"")</f>
        <v>2039645.8623592977</v>
      </c>
    </row>
    <row r="247" spans="1:6" x14ac:dyDescent="0.25">
      <c r="A247" s="15">
        <v>244</v>
      </c>
      <c r="B247" s="17">
        <f>IF(A247&lt;='APR and payment'!$E$5,'Remaining debt'!A247,"")</f>
        <v>244</v>
      </c>
      <c r="C247" s="21">
        <f>IF(A247&lt;='APR and payment'!$E$5,'APR and payment'!$E$24,"")</f>
        <v>22461.231674784805</v>
      </c>
      <c r="D247" s="21">
        <f>IF(A247&lt;='APR and payment'!$E$5,C247-E247,"")</f>
        <v>13282.825294167966</v>
      </c>
      <c r="E247" s="21">
        <f>IF(A247&lt;='APR and payment'!$E$5,F246*'APR and payment'!$E$6/'APR and payment'!$L$9,"")</f>
        <v>9178.4063806168397</v>
      </c>
      <c r="F247" s="21">
        <f>IF(A247&lt;='APR and payment'!$E$5,F246-D247,"")</f>
        <v>2026363.0370651297</v>
      </c>
    </row>
    <row r="248" spans="1:6" x14ac:dyDescent="0.25">
      <c r="A248" s="15">
        <v>245</v>
      </c>
      <c r="B248" s="17">
        <f>IF(A248&lt;='APR and payment'!$E$5,'Remaining debt'!A248,"")</f>
        <v>245</v>
      </c>
      <c r="C248" s="21">
        <f>IF(A248&lt;='APR and payment'!$E$5,'APR and payment'!$E$24,"")</f>
        <v>22461.231674784805</v>
      </c>
      <c r="D248" s="21">
        <f>IF(A248&lt;='APR and payment'!$E$5,C248-E248,"")</f>
        <v>13342.598007991723</v>
      </c>
      <c r="E248" s="21">
        <f>IF(A248&lt;='APR and payment'!$E$5,F247*'APR and payment'!$E$6/'APR and payment'!$L$9,"")</f>
        <v>9118.6336667930827</v>
      </c>
      <c r="F248" s="21">
        <f>IF(A248&lt;='APR and payment'!$E$5,F247-D248,"")</f>
        <v>2013020.439057138</v>
      </c>
    </row>
    <row r="249" spans="1:6" x14ac:dyDescent="0.25">
      <c r="A249" s="15">
        <v>246</v>
      </c>
      <c r="B249" s="17">
        <f>IF(A249&lt;='APR and payment'!$E$5,'Remaining debt'!A249,"")</f>
        <v>246</v>
      </c>
      <c r="C249" s="21">
        <f>IF(A249&lt;='APR and payment'!$E$5,'APR and payment'!$E$24,"")</f>
        <v>22461.231674784805</v>
      </c>
      <c r="D249" s="21">
        <f>IF(A249&lt;='APR and payment'!$E$5,C249-E249,"")</f>
        <v>13402.639699027684</v>
      </c>
      <c r="E249" s="21">
        <f>IF(A249&lt;='APR and payment'!$E$5,F248*'APR and payment'!$E$6/'APR and payment'!$L$9,"")</f>
        <v>9058.591975757121</v>
      </c>
      <c r="F249" s="21">
        <f>IF(A249&lt;='APR and payment'!$E$5,F248-D249,"")</f>
        <v>1999617.7993581104</v>
      </c>
    </row>
    <row r="250" spans="1:6" x14ac:dyDescent="0.25">
      <c r="A250" s="15">
        <v>247</v>
      </c>
      <c r="B250" s="17">
        <f>IF(A250&lt;='APR and payment'!$E$5,'Remaining debt'!A250,"")</f>
        <v>247</v>
      </c>
      <c r="C250" s="21">
        <f>IF(A250&lt;='APR and payment'!$E$5,'APR and payment'!$E$24,"")</f>
        <v>22461.231674784805</v>
      </c>
      <c r="D250" s="21">
        <f>IF(A250&lt;='APR and payment'!$E$5,C250-E250,"")</f>
        <v>13462.951577673308</v>
      </c>
      <c r="E250" s="21">
        <f>IF(A250&lt;='APR and payment'!$E$5,F249*'APR and payment'!$E$6/'APR and payment'!$L$9,"")</f>
        <v>8998.2800971114975</v>
      </c>
      <c r="F250" s="21">
        <f>IF(A250&lt;='APR and payment'!$E$5,F249-D250,"")</f>
        <v>1986154.8477804372</v>
      </c>
    </row>
    <row r="251" spans="1:6" x14ac:dyDescent="0.25">
      <c r="A251" s="15">
        <v>248</v>
      </c>
      <c r="B251" s="17">
        <f>IF(A251&lt;='APR and payment'!$E$5,'Remaining debt'!A251,"")</f>
        <v>248</v>
      </c>
      <c r="C251" s="21">
        <f>IF(A251&lt;='APR and payment'!$E$5,'APR and payment'!$E$24,"")</f>
        <v>22461.231674784805</v>
      </c>
      <c r="D251" s="21">
        <f>IF(A251&lt;='APR and payment'!$E$5,C251-E251,"")</f>
        <v>13523.534859772839</v>
      </c>
      <c r="E251" s="21">
        <f>IF(A251&lt;='APR and payment'!$E$5,F250*'APR and payment'!$E$6/'APR and payment'!$L$9,"")</f>
        <v>8937.6968150119665</v>
      </c>
      <c r="F251" s="21">
        <f>IF(A251&lt;='APR and payment'!$E$5,F250-D251,"")</f>
        <v>1972631.3129206644</v>
      </c>
    </row>
    <row r="252" spans="1:6" x14ac:dyDescent="0.25">
      <c r="A252" s="15">
        <v>249</v>
      </c>
      <c r="B252" s="17">
        <f>IF(A252&lt;='APR and payment'!$E$5,'Remaining debt'!A252,"")</f>
        <v>249</v>
      </c>
      <c r="C252" s="21">
        <f>IF(A252&lt;='APR and payment'!$E$5,'APR and payment'!$E$24,"")</f>
        <v>22461.231674784805</v>
      </c>
      <c r="D252" s="21">
        <f>IF(A252&lt;='APR and payment'!$E$5,C252-E252,"")</f>
        <v>13584.390766641814</v>
      </c>
      <c r="E252" s="21">
        <f>IF(A252&lt;='APR and payment'!$E$5,F251*'APR and payment'!$E$6/'APR and payment'!$L$9,"")</f>
        <v>8876.8409081429909</v>
      </c>
      <c r="F252" s="21">
        <f>IF(A252&lt;='APR and payment'!$E$5,F251-D252,"")</f>
        <v>1959046.9221540226</v>
      </c>
    </row>
    <row r="253" spans="1:6" x14ac:dyDescent="0.25">
      <c r="A253" s="15">
        <v>250</v>
      </c>
      <c r="B253" s="17">
        <f>IF(A253&lt;='APR and payment'!$E$5,'Remaining debt'!A253,"")</f>
        <v>250</v>
      </c>
      <c r="C253" s="21">
        <f>IF(A253&lt;='APR and payment'!$E$5,'APR and payment'!$E$24,"")</f>
        <v>22461.231674784805</v>
      </c>
      <c r="D253" s="21">
        <f>IF(A253&lt;='APR and payment'!$E$5,C253-E253,"")</f>
        <v>13645.520525091704</v>
      </c>
      <c r="E253" s="21">
        <f>IF(A253&lt;='APR and payment'!$E$5,F252*'APR and payment'!$E$6/'APR and payment'!$L$9,"")</f>
        <v>8815.7111496931011</v>
      </c>
      <c r="F253" s="21">
        <f>IF(A253&lt;='APR and payment'!$E$5,F252-D253,"")</f>
        <v>1945401.4016289308</v>
      </c>
    </row>
    <row r="254" spans="1:6" x14ac:dyDescent="0.25">
      <c r="A254" s="15">
        <v>251</v>
      </c>
      <c r="B254" s="17">
        <f>IF(A254&lt;='APR and payment'!$E$5,'Remaining debt'!A254,"")</f>
        <v>251</v>
      </c>
      <c r="C254" s="21">
        <f>IF(A254&lt;='APR and payment'!$E$5,'APR and payment'!$E$24,"")</f>
        <v>22461.231674784805</v>
      </c>
      <c r="D254" s="21">
        <f>IF(A254&lt;='APR and payment'!$E$5,C254-E254,"")</f>
        <v>13706.925367454616</v>
      </c>
      <c r="E254" s="21">
        <f>IF(A254&lt;='APR and payment'!$E$5,F253*'APR and payment'!$E$6/'APR and payment'!$L$9,"")</f>
        <v>8754.3063073301892</v>
      </c>
      <c r="F254" s="21">
        <f>IF(A254&lt;='APR and payment'!$E$5,F253-D254,"")</f>
        <v>1931694.4762614763</v>
      </c>
    </row>
    <row r="255" spans="1:6" x14ac:dyDescent="0.25">
      <c r="A255" s="15">
        <v>252</v>
      </c>
      <c r="B255" s="17">
        <f>IF(A255&lt;='APR and payment'!$E$5,'Remaining debt'!A255,"")</f>
        <v>252</v>
      </c>
      <c r="C255" s="21">
        <f>IF(A255&lt;='APR and payment'!$E$5,'APR and payment'!$E$24,"")</f>
        <v>22461.231674784805</v>
      </c>
      <c r="D255" s="21">
        <f>IF(A255&lt;='APR and payment'!$E$5,C255-E255,"")</f>
        <v>13768.606531608162</v>
      </c>
      <c r="E255" s="21">
        <f>IF(A255&lt;='APR and payment'!$E$5,F254*'APR and payment'!$E$6/'APR and payment'!$L$9,"")</f>
        <v>8692.6251431766432</v>
      </c>
      <c r="F255" s="21">
        <f>IF(A255&lt;='APR and payment'!$E$5,F254-D255,"")</f>
        <v>1917925.8697298681</v>
      </c>
    </row>
    <row r="256" spans="1:6" x14ac:dyDescent="0.25">
      <c r="A256" s="15">
        <v>253</v>
      </c>
      <c r="B256" s="17">
        <f>IF(A256&lt;='APR and payment'!$E$5,'Remaining debt'!A256,"")</f>
        <v>253</v>
      </c>
      <c r="C256" s="21">
        <f>IF(A256&lt;='APR and payment'!$E$5,'APR and payment'!$E$24,"")</f>
        <v>22461.231674784805</v>
      </c>
      <c r="D256" s="21">
        <f>IF(A256&lt;='APR and payment'!$E$5,C256-E256,"")</f>
        <v>13830.565261000398</v>
      </c>
      <c r="E256" s="21">
        <f>IF(A256&lt;='APR and payment'!$E$5,F255*'APR and payment'!$E$6/'APR and payment'!$L$9,"")</f>
        <v>8630.6664137844073</v>
      </c>
      <c r="F256" s="21">
        <f>IF(A256&lt;='APR and payment'!$E$5,F255-D256,"")</f>
        <v>1904095.3044688678</v>
      </c>
    </row>
    <row r="257" spans="1:6" x14ac:dyDescent="0.25">
      <c r="A257" s="15">
        <v>254</v>
      </c>
      <c r="B257" s="17">
        <f>IF(A257&lt;='APR and payment'!$E$5,'Remaining debt'!A257,"")</f>
        <v>254</v>
      </c>
      <c r="C257" s="21">
        <f>IF(A257&lt;='APR and payment'!$E$5,'APR and payment'!$E$24,"")</f>
        <v>22461.231674784805</v>
      </c>
      <c r="D257" s="21">
        <f>IF(A257&lt;='APR and payment'!$E$5,C257-E257,"")</f>
        <v>13892.8028046749</v>
      </c>
      <c r="E257" s="21">
        <f>IF(A257&lt;='APR and payment'!$E$5,F256*'APR and payment'!$E$6/'APR and payment'!$L$9,"")</f>
        <v>8568.4288701099049</v>
      </c>
      <c r="F257" s="21">
        <f>IF(A257&lt;='APR and payment'!$E$5,F256-D257,"")</f>
        <v>1890202.5016641929</v>
      </c>
    </row>
    <row r="258" spans="1:6" x14ac:dyDescent="0.25">
      <c r="A258" s="15">
        <v>255</v>
      </c>
      <c r="B258" s="17">
        <f>IF(A258&lt;='APR and payment'!$E$5,'Remaining debt'!A258,"")</f>
        <v>255</v>
      </c>
      <c r="C258" s="21">
        <f>IF(A258&lt;='APR and payment'!$E$5,'APR and payment'!$E$24,"")</f>
        <v>22461.231674784805</v>
      </c>
      <c r="D258" s="21">
        <f>IF(A258&lt;='APR and payment'!$E$5,C258-E258,"")</f>
        <v>13955.320417295938</v>
      </c>
      <c r="E258" s="21">
        <f>IF(A258&lt;='APR and payment'!$E$5,F257*'APR and payment'!$E$6/'APR and payment'!$L$9,"")</f>
        <v>8505.9112574888677</v>
      </c>
      <c r="F258" s="21">
        <f>IF(A258&lt;='APR and payment'!$E$5,F257-D258,"")</f>
        <v>1876247.181246897</v>
      </c>
    </row>
    <row r="259" spans="1:6" x14ac:dyDescent="0.25">
      <c r="A259" s="15">
        <v>256</v>
      </c>
      <c r="B259" s="17">
        <f>IF(A259&lt;='APR and payment'!$E$5,'Remaining debt'!A259,"")</f>
        <v>256</v>
      </c>
      <c r="C259" s="21">
        <f>IF(A259&lt;='APR and payment'!$E$5,'APR and payment'!$E$24,"")</f>
        <v>22461.231674784805</v>
      </c>
      <c r="D259" s="21">
        <f>IF(A259&lt;='APR and payment'!$E$5,C259-E259,"")</f>
        <v>14018.11935917377</v>
      </c>
      <c r="E259" s="21">
        <f>IF(A259&lt;='APR and payment'!$E$5,F258*'APR and payment'!$E$6/'APR and payment'!$L$9,"")</f>
        <v>8443.1123156110352</v>
      </c>
      <c r="F259" s="21">
        <f>IF(A259&lt;='APR and payment'!$E$5,F258-D259,"")</f>
        <v>1862229.0618877232</v>
      </c>
    </row>
    <row r="260" spans="1:6" x14ac:dyDescent="0.25">
      <c r="A260" s="15">
        <v>257</v>
      </c>
      <c r="B260" s="17">
        <f>IF(A260&lt;='APR and payment'!$E$5,'Remaining debt'!A260,"")</f>
        <v>257</v>
      </c>
      <c r="C260" s="21">
        <f>IF(A260&lt;='APR and payment'!$E$5,'APR and payment'!$E$24,"")</f>
        <v>22461.231674784805</v>
      </c>
      <c r="D260" s="21">
        <f>IF(A260&lt;='APR and payment'!$E$5,C260-E260,"")</f>
        <v>14081.200896290051</v>
      </c>
      <c r="E260" s="21">
        <f>IF(A260&lt;='APR and payment'!$E$5,F259*'APR and payment'!$E$6/'APR and payment'!$L$9,"")</f>
        <v>8380.0307784947545</v>
      </c>
      <c r="F260" s="21">
        <f>IF(A260&lt;='APR and payment'!$E$5,F259-D260,"")</f>
        <v>1848147.860991433</v>
      </c>
    </row>
    <row r="261" spans="1:6" x14ac:dyDescent="0.25">
      <c r="A261" s="15">
        <v>258</v>
      </c>
      <c r="B261" s="17">
        <f>IF(A261&lt;='APR and payment'!$E$5,'Remaining debt'!A261,"")</f>
        <v>258</v>
      </c>
      <c r="C261" s="21">
        <f>IF(A261&lt;='APR and payment'!$E$5,'APR and payment'!$E$24,"")</f>
        <v>22461.231674784805</v>
      </c>
      <c r="D261" s="21">
        <f>IF(A261&lt;='APR and payment'!$E$5,C261-E261,"")</f>
        <v>14144.566300323357</v>
      </c>
      <c r="E261" s="21">
        <f>IF(A261&lt;='APR and payment'!$E$5,F260*'APR and payment'!$E$6/'APR and payment'!$L$9,"")</f>
        <v>8316.6653744614487</v>
      </c>
      <c r="F261" s="21">
        <f>IF(A261&lt;='APR and payment'!$E$5,F260-D261,"")</f>
        <v>1834003.2946911096</v>
      </c>
    </row>
    <row r="262" spans="1:6" x14ac:dyDescent="0.25">
      <c r="A262" s="15">
        <v>259</v>
      </c>
      <c r="B262" s="17">
        <f>IF(A262&lt;='APR and payment'!$E$5,'Remaining debt'!A262,"")</f>
        <v>259</v>
      </c>
      <c r="C262" s="21">
        <f>IF(A262&lt;='APR and payment'!$E$5,'APR and payment'!$E$24,"")</f>
        <v>22461.231674784805</v>
      </c>
      <c r="D262" s="21">
        <f>IF(A262&lt;='APR and payment'!$E$5,C262-E262,"")</f>
        <v>14208.216848674812</v>
      </c>
      <c r="E262" s="21">
        <f>IF(A262&lt;='APR and payment'!$E$5,F261*'APR and payment'!$E$6/'APR and payment'!$L$9,"")</f>
        <v>8253.014826109993</v>
      </c>
      <c r="F262" s="21">
        <f>IF(A262&lt;='APR and payment'!$E$5,F261-D262,"")</f>
        <v>1819795.0778424349</v>
      </c>
    </row>
    <row r="263" spans="1:6" x14ac:dyDescent="0.25">
      <c r="A263" s="15">
        <v>260</v>
      </c>
      <c r="B263" s="17">
        <f>IF(A263&lt;='APR and payment'!$E$5,'Remaining debt'!A263,"")</f>
        <v>260</v>
      </c>
      <c r="C263" s="21">
        <f>IF(A263&lt;='APR and payment'!$E$5,'APR and payment'!$E$24,"")</f>
        <v>22461.231674784805</v>
      </c>
      <c r="D263" s="21">
        <f>IF(A263&lt;='APR and payment'!$E$5,C263-E263,"")</f>
        <v>14272.153824493849</v>
      </c>
      <c r="E263" s="21">
        <f>IF(A263&lt;='APR and payment'!$E$5,F262*'APR and payment'!$E$6/'APR and payment'!$L$9,"")</f>
        <v>8189.077850290957</v>
      </c>
      <c r="F263" s="21">
        <f>IF(A263&lt;='APR and payment'!$E$5,F262-D263,"")</f>
        <v>1805522.9240179411</v>
      </c>
    </row>
    <row r="264" spans="1:6" x14ac:dyDescent="0.25">
      <c r="A264" s="15">
        <v>261</v>
      </c>
      <c r="B264" s="17">
        <f>IF(A264&lt;='APR and payment'!$E$5,'Remaining debt'!A264,"")</f>
        <v>261</v>
      </c>
      <c r="C264" s="21">
        <f>IF(A264&lt;='APR and payment'!$E$5,'APR and payment'!$E$24,"")</f>
        <v>22461.231674784805</v>
      </c>
      <c r="D264" s="21">
        <f>IF(A264&lt;='APR and payment'!$E$5,C264-E264,"")</f>
        <v>14336.37851670407</v>
      </c>
      <c r="E264" s="21">
        <f>IF(A264&lt;='APR and payment'!$E$5,F263*'APR and payment'!$E$6/'APR and payment'!$L$9,"")</f>
        <v>8124.8531580807348</v>
      </c>
      <c r="F264" s="21">
        <f>IF(A264&lt;='APR and payment'!$E$5,F263-D264,"")</f>
        <v>1791186.545501237</v>
      </c>
    </row>
    <row r="265" spans="1:6" x14ac:dyDescent="0.25">
      <c r="A265" s="15">
        <v>262</v>
      </c>
      <c r="B265" s="17">
        <f>IF(A265&lt;='APR and payment'!$E$5,'Remaining debt'!A265,"")</f>
        <v>262</v>
      </c>
      <c r="C265" s="21">
        <f>IF(A265&lt;='APR and payment'!$E$5,'APR and payment'!$E$24,"")</f>
        <v>22461.231674784805</v>
      </c>
      <c r="D265" s="21">
        <f>IF(A265&lt;='APR and payment'!$E$5,C265-E265,"")</f>
        <v>14400.89222002924</v>
      </c>
      <c r="E265" s="21">
        <f>IF(A265&lt;='APR and payment'!$E$5,F264*'APR and payment'!$E$6/'APR and payment'!$L$9,"")</f>
        <v>8060.3394547555663</v>
      </c>
      <c r="F265" s="21">
        <f>IF(A265&lt;='APR and payment'!$E$5,F264-D265,"")</f>
        <v>1776785.6532812079</v>
      </c>
    </row>
    <row r="266" spans="1:6" x14ac:dyDescent="0.25">
      <c r="A266" s="15">
        <v>263</v>
      </c>
      <c r="B266" s="17">
        <f>IF(A266&lt;='APR and payment'!$E$5,'Remaining debt'!A266,"")</f>
        <v>263</v>
      </c>
      <c r="C266" s="21">
        <f>IF(A266&lt;='APR and payment'!$E$5,'APR and payment'!$E$24,"")</f>
        <v>22461.231674784805</v>
      </c>
      <c r="D266" s="21">
        <f>IF(A266&lt;='APR and payment'!$E$5,C266-E266,"")</f>
        <v>14465.696235019372</v>
      </c>
      <c r="E266" s="21">
        <f>IF(A266&lt;='APR and payment'!$E$5,F265*'APR and payment'!$E$6/'APR and payment'!$L$9,"")</f>
        <v>7995.5354397654346</v>
      </c>
      <c r="F266" s="21">
        <f>IF(A266&lt;='APR and payment'!$E$5,F265-D266,"")</f>
        <v>1762319.9570461884</v>
      </c>
    </row>
    <row r="267" spans="1:6" x14ac:dyDescent="0.25">
      <c r="A267" s="15">
        <v>264</v>
      </c>
      <c r="B267" s="17">
        <f>IF(A267&lt;='APR and payment'!$E$5,'Remaining debt'!A267,"")</f>
        <v>264</v>
      </c>
      <c r="C267" s="21">
        <f>IF(A267&lt;='APR and payment'!$E$5,'APR and payment'!$E$24,"")</f>
        <v>22461.231674784805</v>
      </c>
      <c r="D267" s="21">
        <f>IF(A267&lt;='APR and payment'!$E$5,C267-E267,"")</f>
        <v>14530.791868076958</v>
      </c>
      <c r="E267" s="21">
        <f>IF(A267&lt;='APR and payment'!$E$5,F266*'APR and payment'!$E$6/'APR and payment'!$L$9,"")</f>
        <v>7930.4398067078473</v>
      </c>
      <c r="F267" s="21">
        <f>IF(A267&lt;='APR and payment'!$E$5,F266-D267,"")</f>
        <v>1747789.1651781115</v>
      </c>
    </row>
    <row r="268" spans="1:6" x14ac:dyDescent="0.25">
      <c r="A268" s="15">
        <v>265</v>
      </c>
      <c r="B268" s="17">
        <f>IF(A268&lt;='APR and payment'!$E$5,'Remaining debt'!A268,"")</f>
        <v>265</v>
      </c>
      <c r="C268" s="21">
        <f>IF(A268&lt;='APR and payment'!$E$5,'APR and payment'!$E$24,"")</f>
        <v>22461.231674784805</v>
      </c>
      <c r="D268" s="21">
        <f>IF(A268&lt;='APR and payment'!$E$5,C268-E268,"")</f>
        <v>14596.180431483303</v>
      </c>
      <c r="E268" s="21">
        <f>IF(A268&lt;='APR and payment'!$E$5,F267*'APR and payment'!$E$6/'APR and payment'!$L$9,"")</f>
        <v>7865.0512433015019</v>
      </c>
      <c r="F268" s="21">
        <f>IF(A268&lt;='APR and payment'!$E$5,F267-D268,"")</f>
        <v>1733192.9847466282</v>
      </c>
    </row>
    <row r="269" spans="1:6" x14ac:dyDescent="0.25">
      <c r="A269" s="15">
        <v>266</v>
      </c>
      <c r="B269" s="17">
        <f>IF(A269&lt;='APR and payment'!$E$5,'Remaining debt'!A269,"")</f>
        <v>266</v>
      </c>
      <c r="C269" s="21">
        <f>IF(A269&lt;='APR and payment'!$E$5,'APR and payment'!$E$24,"")</f>
        <v>22461.231674784805</v>
      </c>
      <c r="D269" s="21">
        <f>IF(A269&lt;='APR and payment'!$E$5,C269-E269,"")</f>
        <v>14661.863243424978</v>
      </c>
      <c r="E269" s="21">
        <f>IF(A269&lt;='APR and payment'!$E$5,F268*'APR and payment'!$E$6/'APR and payment'!$L$9,"")</f>
        <v>7799.3684313598269</v>
      </c>
      <c r="F269" s="21">
        <f>IF(A269&lt;='APR and payment'!$E$5,F268-D269,"")</f>
        <v>1718531.1215032032</v>
      </c>
    </row>
    <row r="270" spans="1:6" x14ac:dyDescent="0.25">
      <c r="A270" s="15">
        <v>267</v>
      </c>
      <c r="B270" s="17">
        <f>IF(A270&lt;='APR and payment'!$E$5,'Remaining debt'!A270,"")</f>
        <v>267</v>
      </c>
      <c r="C270" s="21">
        <f>IF(A270&lt;='APR and payment'!$E$5,'APR and payment'!$E$24,"")</f>
        <v>22461.231674784805</v>
      </c>
      <c r="D270" s="21">
        <f>IF(A270&lt;='APR and payment'!$E$5,C270-E270,"")</f>
        <v>14727.841628020393</v>
      </c>
      <c r="E270" s="21">
        <f>IF(A270&lt;='APR and payment'!$E$5,F269*'APR and payment'!$E$6/'APR and payment'!$L$9,"")</f>
        <v>7733.3900467644135</v>
      </c>
      <c r="F270" s="21">
        <f>IF(A270&lt;='APR and payment'!$E$5,F269-D270,"")</f>
        <v>1703803.2798751828</v>
      </c>
    </row>
    <row r="271" spans="1:6" x14ac:dyDescent="0.25">
      <c r="A271" s="15">
        <v>268</v>
      </c>
      <c r="B271" s="17">
        <f>IF(A271&lt;='APR and payment'!$E$5,'Remaining debt'!A271,"")</f>
        <v>268</v>
      </c>
      <c r="C271" s="21">
        <f>IF(A271&lt;='APR and payment'!$E$5,'APR and payment'!$E$24,"")</f>
        <v>22461.231674784805</v>
      </c>
      <c r="D271" s="21">
        <f>IF(A271&lt;='APR and payment'!$E$5,C271-E271,"")</f>
        <v>14794.116915346483</v>
      </c>
      <c r="E271" s="21">
        <f>IF(A271&lt;='APR and payment'!$E$5,F270*'APR and payment'!$E$6/'APR and payment'!$L$9,"")</f>
        <v>7667.1147594383219</v>
      </c>
      <c r="F271" s="21">
        <f>IF(A271&lt;='APR and payment'!$E$5,F270-D271,"")</f>
        <v>1689009.1629598362</v>
      </c>
    </row>
    <row r="272" spans="1:6" x14ac:dyDescent="0.25">
      <c r="A272" s="15">
        <v>269</v>
      </c>
      <c r="B272" s="17">
        <f>IF(A272&lt;='APR and payment'!$E$5,'Remaining debt'!A272,"")</f>
        <v>269</v>
      </c>
      <c r="C272" s="21">
        <f>IF(A272&lt;='APR and payment'!$E$5,'APR and payment'!$E$24,"")</f>
        <v>22461.231674784805</v>
      </c>
      <c r="D272" s="21">
        <f>IF(A272&lt;='APR and payment'!$E$5,C272-E272,"")</f>
        <v>14860.690441465544</v>
      </c>
      <c r="E272" s="21">
        <f>IF(A272&lt;='APR and payment'!$E$5,F271*'APR and payment'!$E$6/'APR and payment'!$L$9,"")</f>
        <v>7600.5412333192626</v>
      </c>
      <c r="F272" s="21">
        <f>IF(A272&lt;='APR and payment'!$E$5,F271-D272,"")</f>
        <v>1674148.4725183707</v>
      </c>
    </row>
    <row r="273" spans="1:6" x14ac:dyDescent="0.25">
      <c r="A273" s="15">
        <v>270</v>
      </c>
      <c r="B273" s="17">
        <f>IF(A273&lt;='APR and payment'!$E$5,'Remaining debt'!A273,"")</f>
        <v>270</v>
      </c>
      <c r="C273" s="21">
        <f>IF(A273&lt;='APR and payment'!$E$5,'APR and payment'!$E$24,"")</f>
        <v>22461.231674784805</v>
      </c>
      <c r="D273" s="21">
        <f>IF(A273&lt;='APR and payment'!$E$5,C273-E273,"")</f>
        <v>14927.563548452137</v>
      </c>
      <c r="E273" s="21">
        <f>IF(A273&lt;='APR and payment'!$E$5,F272*'APR and payment'!$E$6/'APR and payment'!$L$9,"")</f>
        <v>7533.6681263326682</v>
      </c>
      <c r="F273" s="21">
        <f>IF(A273&lt;='APR and payment'!$E$5,F272-D273,"")</f>
        <v>1659220.9089699185</v>
      </c>
    </row>
    <row r="274" spans="1:6" x14ac:dyDescent="0.25">
      <c r="A274" s="15">
        <v>271</v>
      </c>
      <c r="B274" s="17">
        <f>IF(A274&lt;='APR and payment'!$E$5,'Remaining debt'!A274,"")</f>
        <v>271</v>
      </c>
      <c r="C274" s="21">
        <f>IF(A274&lt;='APR and payment'!$E$5,'APR and payment'!$E$24,"")</f>
        <v>22461.231674784805</v>
      </c>
      <c r="D274" s="21">
        <f>IF(A274&lt;='APR and payment'!$E$5,C274-E274,"")</f>
        <v>14994.737584420171</v>
      </c>
      <c r="E274" s="21">
        <f>IF(A274&lt;='APR and payment'!$E$5,F273*'APR and payment'!$E$6/'APR and payment'!$L$9,"")</f>
        <v>7466.4940903646338</v>
      </c>
      <c r="F274" s="21">
        <f>IF(A274&lt;='APR and payment'!$E$5,F273-D274,"")</f>
        <v>1644226.1713854983</v>
      </c>
    </row>
    <row r="275" spans="1:6" x14ac:dyDescent="0.25">
      <c r="A275" s="15">
        <v>272</v>
      </c>
      <c r="B275" s="17">
        <f>IF(A275&lt;='APR and payment'!$E$5,'Remaining debt'!A275,"")</f>
        <v>272</v>
      </c>
      <c r="C275" s="21">
        <f>IF(A275&lt;='APR and payment'!$E$5,'APR and payment'!$E$24,"")</f>
        <v>22461.231674784805</v>
      </c>
      <c r="D275" s="21">
        <f>IF(A275&lt;='APR and payment'!$E$5,C275-E275,"")</f>
        <v>15062.213903550062</v>
      </c>
      <c r="E275" s="21">
        <f>IF(A275&lt;='APR and payment'!$E$5,F274*'APR and payment'!$E$6/'APR and payment'!$L$9,"")</f>
        <v>7399.0177712347422</v>
      </c>
      <c r="F275" s="21">
        <f>IF(A275&lt;='APR and payment'!$E$5,F274-D275,"")</f>
        <v>1629163.9574819482</v>
      </c>
    </row>
    <row r="276" spans="1:6" x14ac:dyDescent="0.25">
      <c r="A276" s="15">
        <v>273</v>
      </c>
      <c r="B276" s="17">
        <f>IF(A276&lt;='APR and payment'!$E$5,'Remaining debt'!A276,"")</f>
        <v>273</v>
      </c>
      <c r="C276" s="21">
        <f>IF(A276&lt;='APR and payment'!$E$5,'APR and payment'!$E$24,"")</f>
        <v>22461.231674784805</v>
      </c>
      <c r="D276" s="21">
        <f>IF(A276&lt;='APR and payment'!$E$5,C276-E276,"")</f>
        <v>15129.993866116038</v>
      </c>
      <c r="E276" s="21">
        <f>IF(A276&lt;='APR and payment'!$E$5,F275*'APR and payment'!$E$6/'APR and payment'!$L$9,"")</f>
        <v>7331.2378086687668</v>
      </c>
      <c r="F276" s="21">
        <f>IF(A276&lt;='APR and payment'!$E$5,F275-D276,"")</f>
        <v>1614033.9636158322</v>
      </c>
    </row>
    <row r="277" spans="1:6" x14ac:dyDescent="0.25">
      <c r="A277" s="15">
        <v>274</v>
      </c>
      <c r="B277" s="17">
        <f>IF(A277&lt;='APR and payment'!$E$5,'Remaining debt'!A277,"")</f>
        <v>274</v>
      </c>
      <c r="C277" s="21">
        <f>IF(A277&lt;='APR and payment'!$E$5,'APR and payment'!$E$24,"")</f>
        <v>22461.231674784805</v>
      </c>
      <c r="D277" s="21">
        <f>IF(A277&lt;='APR and payment'!$E$5,C277-E277,"")</f>
        <v>15198.07883851356</v>
      </c>
      <c r="E277" s="21">
        <f>IF(A277&lt;='APR and payment'!$E$5,F276*'APR and payment'!$E$6/'APR and payment'!$L$9,"")</f>
        <v>7263.1528362712452</v>
      </c>
      <c r="F277" s="21">
        <f>IF(A277&lt;='APR and payment'!$E$5,F276-D277,"")</f>
        <v>1598835.8847773187</v>
      </c>
    </row>
    <row r="278" spans="1:6" x14ac:dyDescent="0.25">
      <c r="A278" s="15">
        <v>275</v>
      </c>
      <c r="B278" s="17">
        <f>IF(A278&lt;='APR and payment'!$E$5,'Remaining debt'!A278,"")</f>
        <v>275</v>
      </c>
      <c r="C278" s="21">
        <f>IF(A278&lt;='APR and payment'!$E$5,'APR and payment'!$E$24,"")</f>
        <v>22461.231674784805</v>
      </c>
      <c r="D278" s="21">
        <f>IF(A278&lt;='APR and payment'!$E$5,C278-E278,"")</f>
        <v>15266.47019328687</v>
      </c>
      <c r="E278" s="21">
        <f>IF(A278&lt;='APR and payment'!$E$5,F277*'APR and payment'!$E$6/'APR and payment'!$L$9,"")</f>
        <v>7194.7614814979343</v>
      </c>
      <c r="F278" s="21">
        <f>IF(A278&lt;='APR and payment'!$E$5,F277-D278,"")</f>
        <v>1583569.4145840318</v>
      </c>
    </row>
    <row r="279" spans="1:6" x14ac:dyDescent="0.25">
      <c r="A279" s="15">
        <v>276</v>
      </c>
      <c r="B279" s="17">
        <f>IF(A279&lt;='APR and payment'!$E$5,'Remaining debt'!A279,"")</f>
        <v>276</v>
      </c>
      <c r="C279" s="21">
        <f>IF(A279&lt;='APR and payment'!$E$5,'APR and payment'!$E$24,"")</f>
        <v>22461.231674784805</v>
      </c>
      <c r="D279" s="21">
        <f>IF(A279&lt;='APR and payment'!$E$5,C279-E279,"")</f>
        <v>15335.169309156663</v>
      </c>
      <c r="E279" s="21">
        <f>IF(A279&lt;='APR and payment'!$E$5,F278*'APR and payment'!$E$6/'APR and payment'!$L$9,"")</f>
        <v>7126.0623656281432</v>
      </c>
      <c r="F279" s="21">
        <f>IF(A279&lt;='APR and payment'!$E$5,F278-D279,"")</f>
        <v>1568234.2452748751</v>
      </c>
    </row>
    <row r="280" spans="1:6" x14ac:dyDescent="0.25">
      <c r="A280" s="15">
        <v>277</v>
      </c>
      <c r="B280" s="17">
        <f>IF(A280&lt;='APR and payment'!$E$5,'Remaining debt'!A280,"")</f>
        <v>277</v>
      </c>
      <c r="C280" s="21">
        <f>IF(A280&lt;='APR and payment'!$E$5,'APR and payment'!$E$24,"")</f>
        <v>22461.231674784805</v>
      </c>
      <c r="D280" s="21">
        <f>IF(A280&lt;='APR and payment'!$E$5,C280-E280,"")</f>
        <v>15404.177571047869</v>
      </c>
      <c r="E280" s="21">
        <f>IF(A280&lt;='APR and payment'!$E$5,F279*'APR and payment'!$E$6/'APR and payment'!$L$9,"")</f>
        <v>7057.0541037369376</v>
      </c>
      <c r="F280" s="21">
        <f>IF(A280&lt;='APR and payment'!$E$5,F279-D280,"")</f>
        <v>1552830.0677038273</v>
      </c>
    </row>
    <row r="281" spans="1:6" x14ac:dyDescent="0.25">
      <c r="A281" s="15">
        <v>278</v>
      </c>
      <c r="B281" s="17">
        <f>IF(A281&lt;='APR and payment'!$E$5,'Remaining debt'!A281,"")</f>
        <v>278</v>
      </c>
      <c r="C281" s="21">
        <f>IF(A281&lt;='APR and payment'!$E$5,'APR and payment'!$E$24,"")</f>
        <v>22461.231674784805</v>
      </c>
      <c r="D281" s="21">
        <f>IF(A281&lt;='APR and payment'!$E$5,C281-E281,"")</f>
        <v>15473.496370117584</v>
      </c>
      <c r="E281" s="21">
        <f>IF(A281&lt;='APR and payment'!$E$5,F280*'APR and payment'!$E$6/'APR and payment'!$L$9,"")</f>
        <v>6987.7353046672224</v>
      </c>
      <c r="F281" s="21">
        <f>IF(A281&lt;='APR and payment'!$E$5,F280-D281,"")</f>
        <v>1537356.5713337096</v>
      </c>
    </row>
    <row r="282" spans="1:6" x14ac:dyDescent="0.25">
      <c r="A282" s="15">
        <v>279</v>
      </c>
      <c r="B282" s="17">
        <f>IF(A282&lt;='APR and payment'!$E$5,'Remaining debt'!A282,"")</f>
        <v>279</v>
      </c>
      <c r="C282" s="21">
        <f>IF(A282&lt;='APR and payment'!$E$5,'APR and payment'!$E$24,"")</f>
        <v>22461.231674784805</v>
      </c>
      <c r="D282" s="21">
        <f>IF(A282&lt;='APR and payment'!$E$5,C282-E282,"")</f>
        <v>15543.127103783114</v>
      </c>
      <c r="E282" s="21">
        <f>IF(A282&lt;='APR and payment'!$E$5,F281*'APR and payment'!$E$6/'APR and payment'!$L$9,"")</f>
        <v>6918.1045710016924</v>
      </c>
      <c r="F282" s="21">
        <f>IF(A282&lt;='APR and payment'!$E$5,F281-D282,"")</f>
        <v>1521813.4442299264</v>
      </c>
    </row>
    <row r="283" spans="1:6" x14ac:dyDescent="0.25">
      <c r="A283" s="15">
        <v>280</v>
      </c>
      <c r="B283" s="17">
        <f>IF(A283&lt;='APR and payment'!$E$5,'Remaining debt'!A283,"")</f>
        <v>280</v>
      </c>
      <c r="C283" s="21">
        <f>IF(A283&lt;='APR and payment'!$E$5,'APR and payment'!$E$24,"")</f>
        <v>22461.231674784805</v>
      </c>
      <c r="D283" s="21">
        <f>IF(A283&lt;='APR and payment'!$E$5,C283-E283,"")</f>
        <v>15613.071175750138</v>
      </c>
      <c r="E283" s="21">
        <f>IF(A283&lt;='APR and payment'!$E$5,F282*'APR and payment'!$E$6/'APR and payment'!$L$9,"")</f>
        <v>6848.1604990346686</v>
      </c>
      <c r="F283" s="21">
        <f>IF(A283&lt;='APR and payment'!$E$5,F282-D283,"")</f>
        <v>1506200.3730541763</v>
      </c>
    </row>
    <row r="284" spans="1:6" x14ac:dyDescent="0.25">
      <c r="A284" s="15">
        <v>281</v>
      </c>
      <c r="B284" s="17">
        <f>IF(A284&lt;='APR and payment'!$E$5,'Remaining debt'!A284,"")</f>
        <v>281</v>
      </c>
      <c r="C284" s="21">
        <f>IF(A284&lt;='APR and payment'!$E$5,'APR and payment'!$E$24,"")</f>
        <v>22461.231674784805</v>
      </c>
      <c r="D284" s="21">
        <f>IF(A284&lt;='APR and payment'!$E$5,C284-E284,"")</f>
        <v>15683.329996041011</v>
      </c>
      <c r="E284" s="21">
        <f>IF(A284&lt;='APR and payment'!$E$5,F283*'APR and payment'!$E$6/'APR and payment'!$L$9,"")</f>
        <v>6777.901678743794</v>
      </c>
      <c r="F284" s="21">
        <f>IF(A284&lt;='APR and payment'!$E$5,F283-D284,"")</f>
        <v>1490517.0430581353</v>
      </c>
    </row>
    <row r="285" spans="1:6" x14ac:dyDescent="0.25">
      <c r="A285" s="15">
        <v>282</v>
      </c>
      <c r="B285" s="17">
        <f>IF(A285&lt;='APR and payment'!$E$5,'Remaining debt'!A285,"")</f>
        <v>282</v>
      </c>
      <c r="C285" s="21">
        <f>IF(A285&lt;='APR and payment'!$E$5,'APR and payment'!$E$24,"")</f>
        <v>22461.231674784805</v>
      </c>
      <c r="D285" s="21">
        <f>IF(A285&lt;='APR and payment'!$E$5,C285-E285,"")</f>
        <v>15753.904981023195</v>
      </c>
      <c r="E285" s="21">
        <f>IF(A285&lt;='APR and payment'!$E$5,F284*'APR and payment'!$E$6/'APR and payment'!$L$9,"")</f>
        <v>6707.326693761609</v>
      </c>
      <c r="F285" s="21">
        <f>IF(A285&lt;='APR and payment'!$E$5,F284-D285,"")</f>
        <v>1474763.1380771121</v>
      </c>
    </row>
    <row r="286" spans="1:6" x14ac:dyDescent="0.25">
      <c r="A286" s="15">
        <v>283</v>
      </c>
      <c r="B286" s="17">
        <f>IF(A286&lt;='APR and payment'!$E$5,'Remaining debt'!A286,"")</f>
        <v>283</v>
      </c>
      <c r="C286" s="21">
        <f>IF(A286&lt;='APR and payment'!$E$5,'APR and payment'!$E$24,"")</f>
        <v>22461.231674784805</v>
      </c>
      <c r="D286" s="21">
        <f>IF(A286&lt;='APR and payment'!$E$5,C286-E286,"")</f>
        <v>15824.797553437802</v>
      </c>
      <c r="E286" s="21">
        <f>IF(A286&lt;='APR and payment'!$E$5,F285*'APR and payment'!$E$6/'APR and payment'!$L$9,"")</f>
        <v>6636.4341213470043</v>
      </c>
      <c r="F286" s="21">
        <f>IF(A286&lt;='APR and payment'!$E$5,F285-D286,"")</f>
        <v>1458938.3405236744</v>
      </c>
    </row>
    <row r="287" spans="1:6" x14ac:dyDescent="0.25">
      <c r="A287" s="15">
        <v>284</v>
      </c>
      <c r="B287" s="17">
        <f>IF(A287&lt;='APR and payment'!$E$5,'Remaining debt'!A287,"")</f>
        <v>284</v>
      </c>
      <c r="C287" s="21">
        <f>IF(A287&lt;='APR and payment'!$E$5,'APR and payment'!$E$24,"")</f>
        <v>22461.231674784805</v>
      </c>
      <c r="D287" s="21">
        <f>IF(A287&lt;='APR and payment'!$E$5,C287-E287,"")</f>
        <v>15896.009142428269</v>
      </c>
      <c r="E287" s="21">
        <f>IF(A287&lt;='APR and payment'!$E$5,F286*'APR and payment'!$E$6/'APR and payment'!$L$9,"")</f>
        <v>6565.2225323565353</v>
      </c>
      <c r="F287" s="21">
        <f>IF(A287&lt;='APR and payment'!$E$5,F286-D287,"")</f>
        <v>1443042.3313812462</v>
      </c>
    </row>
    <row r="288" spans="1:6" x14ac:dyDescent="0.25">
      <c r="A288" s="15">
        <v>285</v>
      </c>
      <c r="B288" s="17">
        <f>IF(A288&lt;='APR and payment'!$E$5,'Remaining debt'!A288,"")</f>
        <v>285</v>
      </c>
      <c r="C288" s="21">
        <f>IF(A288&lt;='APR and payment'!$E$5,'APR and payment'!$E$24,"")</f>
        <v>22461.231674784805</v>
      </c>
      <c r="D288" s="21">
        <f>IF(A288&lt;='APR and payment'!$E$5,C288-E288,"")</f>
        <v>15967.541183569196</v>
      </c>
      <c r="E288" s="21">
        <f>IF(A288&lt;='APR and payment'!$E$5,F287*'APR and payment'!$E$6/'APR and payment'!$L$9,"")</f>
        <v>6493.6904912156087</v>
      </c>
      <c r="F288" s="21">
        <f>IF(A288&lt;='APR and payment'!$E$5,F287-D288,"")</f>
        <v>1427074.790197677</v>
      </c>
    </row>
    <row r="289" spans="1:6" x14ac:dyDescent="0.25">
      <c r="A289" s="15">
        <v>286</v>
      </c>
      <c r="B289" s="17">
        <f>IF(A289&lt;='APR and payment'!$E$5,'Remaining debt'!A289,"")</f>
        <v>286</v>
      </c>
      <c r="C289" s="21">
        <f>IF(A289&lt;='APR and payment'!$E$5,'APR and payment'!$E$24,"")</f>
        <v>22461.231674784805</v>
      </c>
      <c r="D289" s="21">
        <f>IF(A289&lt;='APR and payment'!$E$5,C289-E289,"")</f>
        <v>16039.39511889526</v>
      </c>
      <c r="E289" s="21">
        <f>IF(A289&lt;='APR and payment'!$E$5,F288*'APR and payment'!$E$6/'APR and payment'!$L$9,"")</f>
        <v>6421.8365558895466</v>
      </c>
      <c r="F289" s="21">
        <f>IF(A289&lt;='APR and payment'!$E$5,F288-D289,"")</f>
        <v>1411035.3950787818</v>
      </c>
    </row>
    <row r="290" spans="1:6" x14ac:dyDescent="0.25">
      <c r="A290" s="15">
        <v>287</v>
      </c>
      <c r="B290" s="17">
        <f>IF(A290&lt;='APR and payment'!$E$5,'Remaining debt'!A290,"")</f>
        <v>287</v>
      </c>
      <c r="C290" s="21">
        <f>IF(A290&lt;='APR and payment'!$E$5,'APR and payment'!$E$24,"")</f>
        <v>22461.231674784805</v>
      </c>
      <c r="D290" s="21">
        <f>IF(A290&lt;='APR and payment'!$E$5,C290-E290,"")</f>
        <v>16111.572396930289</v>
      </c>
      <c r="E290" s="21">
        <f>IF(A290&lt;='APR and payment'!$E$5,F289*'APR and payment'!$E$6/'APR and payment'!$L$9,"")</f>
        <v>6349.6592778545173</v>
      </c>
      <c r="F290" s="21">
        <f>IF(A290&lt;='APR and payment'!$E$5,F289-D290,"")</f>
        <v>1394923.8226818515</v>
      </c>
    </row>
    <row r="291" spans="1:6" x14ac:dyDescent="0.25">
      <c r="A291" s="15">
        <v>288</v>
      </c>
      <c r="B291" s="17">
        <f>IF(A291&lt;='APR and payment'!$E$5,'Remaining debt'!A291,"")</f>
        <v>288</v>
      </c>
      <c r="C291" s="21">
        <f>IF(A291&lt;='APR and payment'!$E$5,'APR and payment'!$E$24,"")</f>
        <v>22461.231674784805</v>
      </c>
      <c r="D291" s="21">
        <f>IF(A291&lt;='APR and payment'!$E$5,C291-E291,"")</f>
        <v>16184.074472716475</v>
      </c>
      <c r="E291" s="21">
        <f>IF(A291&lt;='APR and payment'!$E$5,F290*'APR and payment'!$E$6/'APR and payment'!$L$9,"")</f>
        <v>6277.1572020683316</v>
      </c>
      <c r="F291" s="21">
        <f>IF(A291&lt;='APR and payment'!$E$5,F290-D291,"")</f>
        <v>1378739.7482091349</v>
      </c>
    </row>
    <row r="292" spans="1:6" x14ac:dyDescent="0.25">
      <c r="A292" s="15">
        <v>289</v>
      </c>
      <c r="B292" s="17">
        <f>IF(A292&lt;='APR and payment'!$E$5,'Remaining debt'!A292,"")</f>
        <v>289</v>
      </c>
      <c r="C292" s="21">
        <f>IF(A292&lt;='APR and payment'!$E$5,'APR and payment'!$E$24,"")</f>
        <v>22461.231674784805</v>
      </c>
      <c r="D292" s="21">
        <f>IF(A292&lt;='APR and payment'!$E$5,C292-E292,"")</f>
        <v>16256.902807843697</v>
      </c>
      <c r="E292" s="21">
        <f>IF(A292&lt;='APR and payment'!$E$5,F291*'APR and payment'!$E$6/'APR and payment'!$L$9,"")</f>
        <v>6204.3288669411077</v>
      </c>
      <c r="F292" s="21">
        <f>IF(A292&lt;='APR and payment'!$E$5,F291-D292,"")</f>
        <v>1362482.8454012913</v>
      </c>
    </row>
    <row r="293" spans="1:6" x14ac:dyDescent="0.25">
      <c r="A293" s="15">
        <v>290</v>
      </c>
      <c r="B293" s="17">
        <f>IF(A293&lt;='APR and payment'!$E$5,'Remaining debt'!A293,"")</f>
        <v>290</v>
      </c>
      <c r="C293" s="21">
        <f>IF(A293&lt;='APR and payment'!$E$5,'APR and payment'!$E$24,"")</f>
        <v>22461.231674784805</v>
      </c>
      <c r="D293" s="21">
        <f>IF(A293&lt;='APR and payment'!$E$5,C293-E293,"")</f>
        <v>16330.058870478995</v>
      </c>
      <c r="E293" s="21">
        <f>IF(A293&lt;='APR and payment'!$E$5,F292*'APR and payment'!$E$6/'APR and payment'!$L$9,"")</f>
        <v>6131.1728043058101</v>
      </c>
      <c r="F293" s="21">
        <f>IF(A293&lt;='APR and payment'!$E$5,F292-D293,"")</f>
        <v>1346152.7865308123</v>
      </c>
    </row>
    <row r="294" spans="1:6" x14ac:dyDescent="0.25">
      <c r="A294" s="15">
        <v>291</v>
      </c>
      <c r="B294" s="17">
        <f>IF(A294&lt;='APR and payment'!$E$5,'Remaining debt'!A294,"")</f>
        <v>291</v>
      </c>
      <c r="C294" s="21">
        <f>IF(A294&lt;='APR and payment'!$E$5,'APR and payment'!$E$24,"")</f>
        <v>22461.231674784805</v>
      </c>
      <c r="D294" s="21">
        <f>IF(A294&lt;='APR and payment'!$E$5,C294-E294,"")</f>
        <v>16403.544135396151</v>
      </c>
      <c r="E294" s="21">
        <f>IF(A294&lt;='APR and payment'!$E$5,F293*'APR and payment'!$E$6/'APR and payment'!$L$9,"")</f>
        <v>6057.6875393886548</v>
      </c>
      <c r="F294" s="21">
        <f>IF(A294&lt;='APR and payment'!$E$5,F293-D294,"")</f>
        <v>1329749.2423954161</v>
      </c>
    </row>
    <row r="295" spans="1:6" x14ac:dyDescent="0.25">
      <c r="A295" s="15">
        <v>292</v>
      </c>
      <c r="B295" s="17">
        <f>IF(A295&lt;='APR and payment'!$E$5,'Remaining debt'!A295,"")</f>
        <v>292</v>
      </c>
      <c r="C295" s="21">
        <f>IF(A295&lt;='APR and payment'!$E$5,'APR and payment'!$E$24,"")</f>
        <v>22461.231674784805</v>
      </c>
      <c r="D295" s="21">
        <f>IF(A295&lt;='APR and payment'!$E$5,C295-E295,"")</f>
        <v>16477.360084005431</v>
      </c>
      <c r="E295" s="21">
        <f>IF(A295&lt;='APR and payment'!$E$5,F294*'APR and payment'!$E$6/'APR and payment'!$L$9,"")</f>
        <v>5983.871590779373</v>
      </c>
      <c r="F295" s="21">
        <f>IF(A295&lt;='APR and payment'!$E$5,F294-D295,"")</f>
        <v>1313271.8823114107</v>
      </c>
    </row>
    <row r="296" spans="1:6" x14ac:dyDescent="0.25">
      <c r="A296" s="15">
        <v>293</v>
      </c>
      <c r="B296" s="17">
        <f>IF(A296&lt;='APR and payment'!$E$5,'Remaining debt'!A296,"")</f>
        <v>293</v>
      </c>
      <c r="C296" s="21">
        <f>IF(A296&lt;='APR and payment'!$E$5,'APR and payment'!$E$24,"")</f>
        <v>22461.231674784805</v>
      </c>
      <c r="D296" s="21">
        <f>IF(A296&lt;='APR and payment'!$E$5,C296-E296,"")</f>
        <v>16551.508204383455</v>
      </c>
      <c r="E296" s="21">
        <f>IF(A296&lt;='APR and payment'!$E$5,F295*'APR and payment'!$E$6/'APR and payment'!$L$9,"")</f>
        <v>5909.723470401349</v>
      </c>
      <c r="F296" s="21">
        <f>IF(A296&lt;='APR and payment'!$E$5,F295-D296,"")</f>
        <v>1296720.3741070272</v>
      </c>
    </row>
    <row r="297" spans="1:6" x14ac:dyDescent="0.25">
      <c r="A297" s="15">
        <v>294</v>
      </c>
      <c r="B297" s="17">
        <f>IF(A297&lt;='APR and payment'!$E$5,'Remaining debt'!A297,"")</f>
        <v>294</v>
      </c>
      <c r="C297" s="21">
        <f>IF(A297&lt;='APR and payment'!$E$5,'APR and payment'!$E$24,"")</f>
        <v>22461.231674784805</v>
      </c>
      <c r="D297" s="21">
        <f>IF(A297&lt;='APR and payment'!$E$5,C297-E297,"")</f>
        <v>16625.989991303184</v>
      </c>
      <c r="E297" s="21">
        <f>IF(A297&lt;='APR and payment'!$E$5,F296*'APR and payment'!$E$6/'APR and payment'!$L$9,"")</f>
        <v>5835.2416834816222</v>
      </c>
      <c r="F297" s="21">
        <f>IF(A297&lt;='APR and payment'!$E$5,F296-D297,"")</f>
        <v>1280094.3841157239</v>
      </c>
    </row>
    <row r="298" spans="1:6" x14ac:dyDescent="0.25">
      <c r="A298" s="15">
        <v>295</v>
      </c>
      <c r="B298" s="17">
        <f>IF(A298&lt;='APR and payment'!$E$5,'Remaining debt'!A298,"")</f>
        <v>295</v>
      </c>
      <c r="C298" s="21">
        <f>IF(A298&lt;='APR and payment'!$E$5,'APR and payment'!$E$24,"")</f>
        <v>22461.231674784805</v>
      </c>
      <c r="D298" s="21">
        <f>IF(A298&lt;='APR and payment'!$E$5,C298-E298,"")</f>
        <v>16700.806946264049</v>
      </c>
      <c r="E298" s="21">
        <f>IF(A298&lt;='APR and payment'!$E$5,F297*'APR and payment'!$E$6/'APR and payment'!$L$9,"")</f>
        <v>5760.4247285207575</v>
      </c>
      <c r="F298" s="21">
        <f>IF(A298&lt;='APR and payment'!$E$5,F297-D298,"")</f>
        <v>1263393.5771694598</v>
      </c>
    </row>
    <row r="299" spans="1:6" x14ac:dyDescent="0.25">
      <c r="A299" s="15">
        <v>296</v>
      </c>
      <c r="B299" s="17">
        <f>IF(A299&lt;='APR and payment'!$E$5,'Remaining debt'!A299,"")</f>
        <v>296</v>
      </c>
      <c r="C299" s="21">
        <f>IF(A299&lt;='APR and payment'!$E$5,'APR and payment'!$E$24,"")</f>
        <v>22461.231674784805</v>
      </c>
      <c r="D299" s="21">
        <f>IF(A299&lt;='APR and payment'!$E$5,C299-E299,"")</f>
        <v>16775.960577522237</v>
      </c>
      <c r="E299" s="21">
        <f>IF(A299&lt;='APR and payment'!$E$5,F298*'APR and payment'!$E$6/'APR and payment'!$L$9,"")</f>
        <v>5685.2710972625691</v>
      </c>
      <c r="F299" s="21">
        <f>IF(A299&lt;='APR and payment'!$E$5,F298-D299,"")</f>
        <v>1246617.6165919376</v>
      </c>
    </row>
    <row r="300" spans="1:6" x14ac:dyDescent="0.25">
      <c r="A300" s="15">
        <v>297</v>
      </c>
      <c r="B300" s="17">
        <f>IF(A300&lt;='APR and payment'!$E$5,'Remaining debt'!A300,"")</f>
        <v>297</v>
      </c>
      <c r="C300" s="21">
        <f>IF(A300&lt;='APR and payment'!$E$5,'APR and payment'!$E$24,"")</f>
        <v>22461.231674784805</v>
      </c>
      <c r="D300" s="21">
        <f>IF(A300&lt;='APR and payment'!$E$5,C300-E300,"")</f>
        <v>16851.452400121085</v>
      </c>
      <c r="E300" s="21">
        <f>IF(A300&lt;='APR and payment'!$E$5,F299*'APR and payment'!$E$6/'APR and payment'!$L$9,"")</f>
        <v>5609.7792746637197</v>
      </c>
      <c r="F300" s="21">
        <f>IF(A300&lt;='APR and payment'!$E$5,F299-D300,"")</f>
        <v>1229766.1641918165</v>
      </c>
    </row>
    <row r="301" spans="1:6" x14ac:dyDescent="0.25">
      <c r="A301" s="15">
        <v>298</v>
      </c>
      <c r="B301" s="17">
        <f>IF(A301&lt;='APR and payment'!$E$5,'Remaining debt'!A301,"")</f>
        <v>298</v>
      </c>
      <c r="C301" s="21">
        <f>IF(A301&lt;='APR and payment'!$E$5,'APR and payment'!$E$24,"")</f>
        <v>22461.231674784805</v>
      </c>
      <c r="D301" s="21">
        <f>IF(A301&lt;='APR and payment'!$E$5,C301-E301,"")</f>
        <v>16927.28393592163</v>
      </c>
      <c r="E301" s="21">
        <f>IF(A301&lt;='APR and payment'!$E$5,F300*'APR and payment'!$E$6/'APR and payment'!$L$9,"")</f>
        <v>5533.947738863174</v>
      </c>
      <c r="F301" s="21">
        <f>IF(A301&lt;='APR and payment'!$E$5,F300-D301,"")</f>
        <v>1212838.8802558947</v>
      </c>
    </row>
    <row r="302" spans="1:6" x14ac:dyDescent="0.25">
      <c r="A302" s="15">
        <v>299</v>
      </c>
      <c r="B302" s="17">
        <f>IF(A302&lt;='APR and payment'!$E$5,'Remaining debt'!A302,"")</f>
        <v>299</v>
      </c>
      <c r="C302" s="21">
        <f>IF(A302&lt;='APR and payment'!$E$5,'APR and payment'!$E$24,"")</f>
        <v>22461.231674784805</v>
      </c>
      <c r="D302" s="21">
        <f>IF(A302&lt;='APR and payment'!$E$5,C302-E302,"")</f>
        <v>17003.456713633277</v>
      </c>
      <c r="E302" s="21">
        <f>IF(A302&lt;='APR and payment'!$E$5,F301*'APR and payment'!$E$6/'APR and payment'!$L$9,"")</f>
        <v>5457.7749611515264</v>
      </c>
      <c r="F302" s="21">
        <f>IF(A302&lt;='APR and payment'!$E$5,F301-D302,"")</f>
        <v>1195835.4235422614</v>
      </c>
    </row>
    <row r="303" spans="1:6" x14ac:dyDescent="0.25">
      <c r="A303" s="15">
        <v>300</v>
      </c>
      <c r="B303" s="17">
        <f>IF(A303&lt;='APR and payment'!$E$5,'Remaining debt'!A303,"")</f>
        <v>300</v>
      </c>
      <c r="C303" s="21">
        <f>IF(A303&lt;='APR and payment'!$E$5,'APR and payment'!$E$24,"")</f>
        <v>22461.231674784805</v>
      </c>
      <c r="D303" s="21">
        <f>IF(A303&lt;='APR and payment'!$E$5,C303-E303,"")</f>
        <v>17079.972268844627</v>
      </c>
      <c r="E303" s="21">
        <f>IF(A303&lt;='APR and payment'!$E$5,F302*'APR and payment'!$E$6/'APR and payment'!$L$9,"")</f>
        <v>5381.2594059401763</v>
      </c>
      <c r="F303" s="21">
        <f>IF(A303&lt;='APR and payment'!$E$5,F302-D303,"")</f>
        <v>1178755.4512734166</v>
      </c>
    </row>
    <row r="304" spans="1:6" x14ac:dyDescent="0.25">
      <c r="A304" s="15">
        <v>301</v>
      </c>
      <c r="B304" s="17">
        <f>IF(A304&lt;='APR and payment'!$E$5,'Remaining debt'!A304,"")</f>
        <v>301</v>
      </c>
      <c r="C304" s="21">
        <f>IF(A304&lt;='APR and payment'!$E$5,'APR and payment'!$E$24,"")</f>
        <v>22461.231674784805</v>
      </c>
      <c r="D304" s="21">
        <f>IF(A304&lt;='APR and payment'!$E$5,C304-E304,"")</f>
        <v>17156.832144054431</v>
      </c>
      <c r="E304" s="21">
        <f>IF(A304&lt;='APR and payment'!$E$5,F303*'APR and payment'!$E$6/'APR and payment'!$L$9,"")</f>
        <v>5304.3995307303749</v>
      </c>
      <c r="F304" s="21">
        <f>IF(A304&lt;='APR and payment'!$E$5,F303-D304,"")</f>
        <v>1161598.6191293623</v>
      </c>
    </row>
    <row r="305" spans="1:6" x14ac:dyDescent="0.25">
      <c r="A305" s="15">
        <v>302</v>
      </c>
      <c r="B305" s="17">
        <f>IF(A305&lt;='APR and payment'!$E$5,'Remaining debt'!A305,"")</f>
        <v>302</v>
      </c>
      <c r="C305" s="21">
        <f>IF(A305&lt;='APR and payment'!$E$5,'APR and payment'!$E$24,"")</f>
        <v>22461.231674784805</v>
      </c>
      <c r="D305" s="21">
        <f>IF(A305&lt;='APR and payment'!$E$5,C305-E305,"")</f>
        <v>17234.037888702675</v>
      </c>
      <c r="E305" s="21">
        <f>IF(A305&lt;='APR and payment'!$E$5,F304*'APR and payment'!$E$6/'APR and payment'!$L$9,"")</f>
        <v>5227.1937860821299</v>
      </c>
      <c r="F305" s="21">
        <f>IF(A305&lt;='APR and payment'!$E$5,F304-D305,"")</f>
        <v>1144364.5812406596</v>
      </c>
    </row>
    <row r="306" spans="1:6" x14ac:dyDescent="0.25">
      <c r="A306" s="15">
        <v>303</v>
      </c>
      <c r="B306" s="17">
        <f>IF(A306&lt;='APR and payment'!$E$5,'Remaining debt'!A306,"")</f>
        <v>303</v>
      </c>
      <c r="C306" s="21">
        <f>IF(A306&lt;='APR and payment'!$E$5,'APR and payment'!$E$24,"")</f>
        <v>22461.231674784805</v>
      </c>
      <c r="D306" s="21">
        <f>IF(A306&lt;='APR and payment'!$E$5,C306-E306,"")</f>
        <v>17311.591059201837</v>
      </c>
      <c r="E306" s="21">
        <f>IF(A306&lt;='APR and payment'!$E$5,F305*'APR and payment'!$E$6/'APR and payment'!$L$9,"")</f>
        <v>5149.6406155829682</v>
      </c>
      <c r="F306" s="21">
        <f>IF(A306&lt;='APR and payment'!$E$5,F305-D306,"")</f>
        <v>1127052.9901814577</v>
      </c>
    </row>
    <row r="307" spans="1:6" x14ac:dyDescent="0.25">
      <c r="A307" s="15">
        <v>304</v>
      </c>
      <c r="B307" s="17">
        <f>IF(A307&lt;='APR and payment'!$E$5,'Remaining debt'!A307,"")</f>
        <v>304</v>
      </c>
      <c r="C307" s="21">
        <f>IF(A307&lt;='APR and payment'!$E$5,'APR and payment'!$E$24,"")</f>
        <v>22461.231674784805</v>
      </c>
      <c r="D307" s="21">
        <f>IF(A307&lt;='APR and payment'!$E$5,C307-E307,"")</f>
        <v>17389.493218968244</v>
      </c>
      <c r="E307" s="21">
        <f>IF(A307&lt;='APR and payment'!$E$5,F306*'APR and payment'!$E$6/'APR and payment'!$L$9,"")</f>
        <v>5071.7384558165595</v>
      </c>
      <c r="F307" s="21">
        <f>IF(A307&lt;='APR and payment'!$E$5,F306-D307,"")</f>
        <v>1109663.4969624896</v>
      </c>
    </row>
    <row r="308" spans="1:6" x14ac:dyDescent="0.25">
      <c r="A308" s="15">
        <v>305</v>
      </c>
      <c r="B308" s="17">
        <f>IF(A308&lt;='APR and payment'!$E$5,'Remaining debt'!A308,"")</f>
        <v>305</v>
      </c>
      <c r="C308" s="21">
        <f>IF(A308&lt;='APR and payment'!$E$5,'APR and payment'!$E$24,"")</f>
        <v>22461.231674784805</v>
      </c>
      <c r="D308" s="21">
        <f>IF(A308&lt;='APR and payment'!$E$5,C308-E308,"")</f>
        <v>17467.745938453601</v>
      </c>
      <c r="E308" s="21">
        <f>IF(A308&lt;='APR and payment'!$E$5,F307*'APR and payment'!$E$6/'APR and payment'!$L$9,"")</f>
        <v>4993.485736331203</v>
      </c>
      <c r="F308" s="21">
        <f>IF(A308&lt;='APR and payment'!$E$5,F307-D308,"")</f>
        <v>1092195.751024036</v>
      </c>
    </row>
    <row r="309" spans="1:6" x14ac:dyDescent="0.25">
      <c r="A309" s="15">
        <v>306</v>
      </c>
      <c r="B309" s="17">
        <f>IF(A309&lt;='APR and payment'!$E$5,'Remaining debt'!A309,"")</f>
        <v>306</v>
      </c>
      <c r="C309" s="21">
        <f>IF(A309&lt;='APR and payment'!$E$5,'APR and payment'!$E$24,"")</f>
        <v>22461.231674784805</v>
      </c>
      <c r="D309" s="21">
        <f>IF(A309&lt;='APR and payment'!$E$5,C309-E309,"")</f>
        <v>17546.350795176644</v>
      </c>
      <c r="E309" s="21">
        <f>IF(A309&lt;='APR and payment'!$E$5,F308*'APR and payment'!$E$6/'APR and payment'!$L$9,"")</f>
        <v>4914.8808796081621</v>
      </c>
      <c r="F309" s="21">
        <f>IF(A309&lt;='APR and payment'!$E$5,F308-D309,"")</f>
        <v>1074649.4002288594</v>
      </c>
    </row>
    <row r="310" spans="1:6" x14ac:dyDescent="0.25">
      <c r="A310" s="15">
        <v>307</v>
      </c>
      <c r="B310" s="17">
        <f>IF(A310&lt;='APR and payment'!$E$5,'Remaining debt'!A310,"")</f>
        <v>307</v>
      </c>
      <c r="C310" s="21">
        <f>IF(A310&lt;='APR and payment'!$E$5,'APR and payment'!$E$24,"")</f>
        <v>22461.231674784805</v>
      </c>
      <c r="D310" s="21">
        <f>IF(A310&lt;='APR and payment'!$E$5,C310-E310,"")</f>
        <v>17625.309373754939</v>
      </c>
      <c r="E310" s="21">
        <f>IF(A310&lt;='APR and payment'!$E$5,F309*'APR and payment'!$E$6/'APR and payment'!$L$9,"")</f>
        <v>4835.9223010298674</v>
      </c>
      <c r="F310" s="21">
        <f>IF(A310&lt;='APR and payment'!$E$5,F309-D310,"")</f>
        <v>1057024.0908551044</v>
      </c>
    </row>
    <row r="311" spans="1:6" x14ac:dyDescent="0.25">
      <c r="A311" s="15">
        <v>308</v>
      </c>
      <c r="B311" s="17">
        <f>IF(A311&lt;='APR and payment'!$E$5,'Remaining debt'!A311,"")</f>
        <v>308</v>
      </c>
      <c r="C311" s="21">
        <f>IF(A311&lt;='APR and payment'!$E$5,'APR and payment'!$E$24,"")</f>
        <v>22461.231674784805</v>
      </c>
      <c r="D311" s="21">
        <f>IF(A311&lt;='APR and payment'!$E$5,C311-E311,"")</f>
        <v>17704.623265936836</v>
      </c>
      <c r="E311" s="21">
        <f>IF(A311&lt;='APR and payment'!$E$5,F310*'APR and payment'!$E$6/'APR and payment'!$L$9,"")</f>
        <v>4756.6084088479702</v>
      </c>
      <c r="F311" s="21">
        <f>IF(A311&lt;='APR and payment'!$E$5,F310-D311,"")</f>
        <v>1039319.4675891675</v>
      </c>
    </row>
    <row r="312" spans="1:6" x14ac:dyDescent="0.25">
      <c r="A312" s="15">
        <v>309</v>
      </c>
      <c r="B312" s="17">
        <f>IF(A312&lt;='APR and payment'!$E$5,'Remaining debt'!A312,"")</f>
        <v>309</v>
      </c>
      <c r="C312" s="21">
        <f>IF(A312&lt;='APR and payment'!$E$5,'APR and payment'!$E$24,"")</f>
        <v>22461.231674784805</v>
      </c>
      <c r="D312" s="21">
        <f>IF(A312&lt;='APR and payment'!$E$5,C312-E312,"")</f>
        <v>17784.29407063355</v>
      </c>
      <c r="E312" s="21">
        <f>IF(A312&lt;='APR and payment'!$E$5,F311*'APR and payment'!$E$6/'APR and payment'!$L$9,"")</f>
        <v>4676.9376041512542</v>
      </c>
      <c r="F312" s="21">
        <f>IF(A312&lt;='APR and payment'!$E$5,F311-D312,"")</f>
        <v>1021535.1735185339</v>
      </c>
    </row>
    <row r="313" spans="1:6" x14ac:dyDescent="0.25">
      <c r="A313" s="15">
        <v>310</v>
      </c>
      <c r="B313" s="17">
        <f>IF(A313&lt;='APR and payment'!$E$5,'Remaining debt'!A313,"")</f>
        <v>310</v>
      </c>
      <c r="C313" s="21">
        <f>IF(A313&lt;='APR and payment'!$E$5,'APR and payment'!$E$24,"")</f>
        <v>22461.231674784805</v>
      </c>
      <c r="D313" s="21">
        <f>IF(A313&lt;='APR and payment'!$E$5,C313-E313,"")</f>
        <v>17864.323393951403</v>
      </c>
      <c r="E313" s="21">
        <f>IF(A313&lt;='APR and payment'!$E$5,F312*'APR and payment'!$E$6/'APR and payment'!$L$9,"")</f>
        <v>4596.9082808334024</v>
      </c>
      <c r="F313" s="21">
        <f>IF(A313&lt;='APR and payment'!$E$5,F312-D313,"")</f>
        <v>1003670.8501245825</v>
      </c>
    </row>
    <row r="314" spans="1:6" x14ac:dyDescent="0.25">
      <c r="A314" s="15">
        <v>311</v>
      </c>
      <c r="B314" s="17">
        <f>IF(A314&lt;='APR and payment'!$E$5,'Remaining debt'!A314,"")</f>
        <v>311</v>
      </c>
      <c r="C314" s="21">
        <f>IF(A314&lt;='APR and payment'!$E$5,'APR and payment'!$E$24,"")</f>
        <v>22461.231674784805</v>
      </c>
      <c r="D314" s="21">
        <f>IF(A314&lt;='APR and payment'!$E$5,C314-E314,"")</f>
        <v>17944.712849224183</v>
      </c>
      <c r="E314" s="21">
        <f>IF(A314&lt;='APR and payment'!$E$5,F313*'APR and payment'!$E$6/'APR and payment'!$L$9,"")</f>
        <v>4516.5188255606217</v>
      </c>
      <c r="F314" s="21">
        <f>IF(A314&lt;='APR and payment'!$E$5,F313-D314,"")</f>
        <v>985726.13727535831</v>
      </c>
    </row>
    <row r="315" spans="1:6" x14ac:dyDescent="0.25">
      <c r="A315" s="15">
        <v>312</v>
      </c>
      <c r="B315" s="17">
        <f>IF(A315&lt;='APR and payment'!$E$5,'Remaining debt'!A315,"")</f>
        <v>312</v>
      </c>
      <c r="C315" s="21">
        <f>IF(A315&lt;='APR and payment'!$E$5,'APR and payment'!$E$24,"")</f>
        <v>22461.231674784805</v>
      </c>
      <c r="D315" s="21">
        <f>IF(A315&lt;='APR and payment'!$E$5,C315-E315,"")</f>
        <v>18025.464057045694</v>
      </c>
      <c r="E315" s="21">
        <f>IF(A315&lt;='APR and payment'!$E$5,F314*'APR and payment'!$E$6/'APR and payment'!$L$9,"")</f>
        <v>4435.7676177391122</v>
      </c>
      <c r="F315" s="21">
        <f>IF(A315&lt;='APR and payment'!$E$5,F314-D315,"")</f>
        <v>967700.67321831267</v>
      </c>
    </row>
    <row r="316" spans="1:6" x14ac:dyDescent="0.25">
      <c r="A316" s="15">
        <v>313</v>
      </c>
      <c r="B316" s="17">
        <f>IF(A316&lt;='APR and payment'!$E$5,'Remaining debt'!A316,"")</f>
        <v>313</v>
      </c>
      <c r="C316" s="21">
        <f>IF(A316&lt;='APR and payment'!$E$5,'APR and payment'!$E$24,"")</f>
        <v>22461.231674784805</v>
      </c>
      <c r="D316" s="21">
        <f>IF(A316&lt;='APR and payment'!$E$5,C316-E316,"")</f>
        <v>18106.578645302397</v>
      </c>
      <c r="E316" s="21">
        <f>IF(A316&lt;='APR and payment'!$E$5,F315*'APR and payment'!$E$6/'APR and payment'!$L$9,"")</f>
        <v>4354.653029482407</v>
      </c>
      <c r="F316" s="21">
        <f>IF(A316&lt;='APR and payment'!$E$5,F315-D316,"")</f>
        <v>949594.09457301022</v>
      </c>
    </row>
    <row r="317" spans="1:6" x14ac:dyDescent="0.25">
      <c r="A317" s="15">
        <v>314</v>
      </c>
      <c r="B317" s="17">
        <f>IF(A317&lt;='APR and payment'!$E$5,'Remaining debt'!A317,"")</f>
        <v>314</v>
      </c>
      <c r="C317" s="21">
        <f>IF(A317&lt;='APR and payment'!$E$5,'APR and payment'!$E$24,"")</f>
        <v>22461.231674784805</v>
      </c>
      <c r="D317" s="21">
        <f>IF(A317&lt;='APR and payment'!$E$5,C317-E317,"")</f>
        <v>18188.05824920626</v>
      </c>
      <c r="E317" s="21">
        <f>IF(A317&lt;='APR and payment'!$E$5,F316*'APR and payment'!$E$6/'APR and payment'!$L$9,"")</f>
        <v>4273.1734255785459</v>
      </c>
      <c r="F317" s="21">
        <f>IF(A317&lt;='APR and payment'!$E$5,F316-D317,"")</f>
        <v>931406.03632380394</v>
      </c>
    </row>
    <row r="318" spans="1:6" x14ac:dyDescent="0.25">
      <c r="A318" s="15">
        <v>315</v>
      </c>
      <c r="B318" s="17">
        <f>IF(A318&lt;='APR and payment'!$E$5,'Remaining debt'!A318,"")</f>
        <v>315</v>
      </c>
      <c r="C318" s="21">
        <f>IF(A318&lt;='APR and payment'!$E$5,'APR and payment'!$E$24,"")</f>
        <v>22461.231674784805</v>
      </c>
      <c r="D318" s="21">
        <f>IF(A318&lt;='APR and payment'!$E$5,C318-E318,"")</f>
        <v>18269.904511327688</v>
      </c>
      <c r="E318" s="21">
        <f>IF(A318&lt;='APR and payment'!$E$5,F317*'APR and payment'!$E$6/'APR and payment'!$L$9,"")</f>
        <v>4191.3271634571174</v>
      </c>
      <c r="F318" s="21">
        <f>IF(A318&lt;='APR and payment'!$E$5,F317-D318,"")</f>
        <v>913136.1318124762</v>
      </c>
    </row>
    <row r="319" spans="1:6" x14ac:dyDescent="0.25">
      <c r="A319" s="15">
        <v>316</v>
      </c>
      <c r="B319" s="17">
        <f>IF(A319&lt;='APR and payment'!$E$5,'Remaining debt'!A319,"")</f>
        <v>316</v>
      </c>
      <c r="C319" s="21">
        <f>IF(A319&lt;='APR and payment'!$E$5,'APR and payment'!$E$24,"")</f>
        <v>22461.231674784805</v>
      </c>
      <c r="D319" s="21">
        <f>IF(A319&lt;='APR and payment'!$E$5,C319-E319,"")</f>
        <v>18352.119081628662</v>
      </c>
      <c r="E319" s="21">
        <f>IF(A319&lt;='APR and payment'!$E$5,F318*'APR and payment'!$E$6/'APR and payment'!$L$9,"")</f>
        <v>4109.1125931561428</v>
      </c>
      <c r="F319" s="21">
        <f>IF(A319&lt;='APR and payment'!$E$5,F318-D319,"")</f>
        <v>894784.01273084758</v>
      </c>
    </row>
    <row r="320" spans="1:6" x14ac:dyDescent="0.25">
      <c r="A320" s="15">
        <v>317</v>
      </c>
      <c r="B320" s="17">
        <f>IF(A320&lt;='APR and payment'!$E$5,'Remaining debt'!A320,"")</f>
        <v>317</v>
      </c>
      <c r="C320" s="21">
        <f>IF(A320&lt;='APR and payment'!$E$5,'APR and payment'!$E$24,"")</f>
        <v>22461.231674784805</v>
      </c>
      <c r="D320" s="21">
        <f>IF(A320&lt;='APR and payment'!$E$5,C320-E320,"")</f>
        <v>18434.70361749599</v>
      </c>
      <c r="E320" s="21">
        <f>IF(A320&lt;='APR and payment'!$E$5,F319*'APR and payment'!$E$6/'APR and payment'!$L$9,"")</f>
        <v>4026.5280572888137</v>
      </c>
      <c r="F320" s="21">
        <f>IF(A320&lt;='APR and payment'!$E$5,F319-D320,"")</f>
        <v>876349.30911335163</v>
      </c>
    </row>
    <row r="321" spans="1:6" x14ac:dyDescent="0.25">
      <c r="A321" s="15">
        <v>318</v>
      </c>
      <c r="B321" s="17">
        <f>IF(A321&lt;='APR and payment'!$E$5,'Remaining debt'!A321,"")</f>
        <v>318</v>
      </c>
      <c r="C321" s="21">
        <f>IF(A321&lt;='APR and payment'!$E$5,'APR and payment'!$E$24,"")</f>
        <v>22461.231674784805</v>
      </c>
      <c r="D321" s="21">
        <f>IF(A321&lt;='APR and payment'!$E$5,C321-E321,"")</f>
        <v>18517.659783774725</v>
      </c>
      <c r="E321" s="21">
        <f>IF(A321&lt;='APR and payment'!$E$5,F320*'APR and payment'!$E$6/'APR and payment'!$L$9,"")</f>
        <v>3943.5718910100823</v>
      </c>
      <c r="F321" s="21">
        <f>IF(A321&lt;='APR and payment'!$E$5,F320-D321,"")</f>
        <v>857831.64932957687</v>
      </c>
    </row>
    <row r="322" spans="1:6" x14ac:dyDescent="0.25">
      <c r="A322" s="15">
        <v>319</v>
      </c>
      <c r="B322" s="17">
        <f>IF(A322&lt;='APR and payment'!$E$5,'Remaining debt'!A322,"")</f>
        <v>319</v>
      </c>
      <c r="C322" s="21">
        <f>IF(A322&lt;='APR and payment'!$E$5,'APR and payment'!$E$24,"")</f>
        <v>22461.231674784805</v>
      </c>
      <c r="D322" s="21">
        <f>IF(A322&lt;='APR and payment'!$E$5,C322-E322,"")</f>
        <v>18600.989252801708</v>
      </c>
      <c r="E322" s="21">
        <f>IF(A322&lt;='APR and payment'!$E$5,F321*'APR and payment'!$E$6/'APR and payment'!$L$9,"")</f>
        <v>3860.2424219830959</v>
      </c>
      <c r="F322" s="21">
        <f>IF(A322&lt;='APR and payment'!$E$5,F321-D322,"")</f>
        <v>839230.66007677512</v>
      </c>
    </row>
    <row r="323" spans="1:6" x14ac:dyDescent="0.25">
      <c r="A323" s="15">
        <v>320</v>
      </c>
      <c r="B323" s="17">
        <f>IF(A323&lt;='APR and payment'!$E$5,'Remaining debt'!A323,"")</f>
        <v>320</v>
      </c>
      <c r="C323" s="21">
        <f>IF(A323&lt;='APR and payment'!$E$5,'APR and payment'!$E$24,"")</f>
        <v>22461.231674784805</v>
      </c>
      <c r="D323" s="21">
        <f>IF(A323&lt;='APR and payment'!$E$5,C323-E323,"")</f>
        <v>18684.693704439316</v>
      </c>
      <c r="E323" s="21">
        <f>IF(A323&lt;='APR and payment'!$E$5,F322*'APR and payment'!$E$6/'APR and payment'!$L$9,"")</f>
        <v>3776.5379703454878</v>
      </c>
      <c r="F323" s="21">
        <f>IF(A323&lt;='APR and payment'!$E$5,F322-D323,"")</f>
        <v>820545.9663723358</v>
      </c>
    </row>
    <row r="324" spans="1:6" x14ac:dyDescent="0.25">
      <c r="A324" s="15">
        <v>321</v>
      </c>
      <c r="B324" s="17">
        <f>IF(A324&lt;='APR and payment'!$E$5,'Remaining debt'!A324,"")</f>
        <v>321</v>
      </c>
      <c r="C324" s="21">
        <f>IF(A324&lt;='APR and payment'!$E$5,'APR and payment'!$E$24,"")</f>
        <v>22461.231674784805</v>
      </c>
      <c r="D324" s="21">
        <f>IF(A324&lt;='APR and payment'!$E$5,C324-E324,"")</f>
        <v>18768.774826109293</v>
      </c>
      <c r="E324" s="21">
        <f>IF(A324&lt;='APR and payment'!$E$5,F323*'APR and payment'!$E$6/'APR and payment'!$L$9,"")</f>
        <v>3692.4568486755111</v>
      </c>
      <c r="F324" s="21">
        <f>IF(A324&lt;='APR and payment'!$E$5,F323-D324,"")</f>
        <v>801777.1915462265</v>
      </c>
    </row>
    <row r="325" spans="1:6" x14ac:dyDescent="0.25">
      <c r="A325" s="15">
        <v>322</v>
      </c>
      <c r="B325" s="17">
        <f>IF(A325&lt;='APR and payment'!$E$5,'Remaining debt'!A325,"")</f>
        <v>322</v>
      </c>
      <c r="C325" s="21">
        <f>IF(A325&lt;='APR and payment'!$E$5,'APR and payment'!$E$24,"")</f>
        <v>22461.231674784805</v>
      </c>
      <c r="D325" s="21">
        <f>IF(A325&lt;='APR and payment'!$E$5,C325-E325,"")</f>
        <v>18853.234312826786</v>
      </c>
      <c r="E325" s="21">
        <f>IF(A325&lt;='APR and payment'!$E$5,F324*'APR and payment'!$E$6/'APR and payment'!$L$9,"")</f>
        <v>3607.9973619580192</v>
      </c>
      <c r="F325" s="21">
        <f>IF(A325&lt;='APR and payment'!$E$5,F324-D325,"")</f>
        <v>782923.95723339973</v>
      </c>
    </row>
    <row r="326" spans="1:6" x14ac:dyDescent="0.25">
      <c r="A326" s="15">
        <v>323</v>
      </c>
      <c r="B326" s="17">
        <f>IF(A326&lt;='APR and payment'!$E$5,'Remaining debt'!A326,"")</f>
        <v>323</v>
      </c>
      <c r="C326" s="21">
        <f>IF(A326&lt;='APR and payment'!$E$5,'APR and payment'!$E$24,"")</f>
        <v>22461.231674784805</v>
      </c>
      <c r="D326" s="21">
        <f>IF(A326&lt;='APR and payment'!$E$5,C326-E326,"")</f>
        <v>18938.073867234507</v>
      </c>
      <c r="E326" s="21">
        <f>IF(A326&lt;='APR and payment'!$E$5,F325*'APR and payment'!$E$6/'APR and payment'!$L$9,"")</f>
        <v>3523.1578075502989</v>
      </c>
      <c r="F326" s="21">
        <f>IF(A326&lt;='APR and payment'!$E$5,F325-D326,"")</f>
        <v>763985.88336616522</v>
      </c>
    </row>
    <row r="327" spans="1:6" x14ac:dyDescent="0.25">
      <c r="A327" s="15">
        <v>324</v>
      </c>
      <c r="B327" s="17">
        <f>IF(A327&lt;='APR and payment'!$E$5,'Remaining debt'!A327,"")</f>
        <v>324</v>
      </c>
      <c r="C327" s="21">
        <f>IF(A327&lt;='APR and payment'!$E$5,'APR and payment'!$E$24,"")</f>
        <v>22461.231674784805</v>
      </c>
      <c r="D327" s="21">
        <f>IF(A327&lt;='APR and payment'!$E$5,C327-E327,"")</f>
        <v>19023.295199637061</v>
      </c>
      <c r="E327" s="21">
        <f>IF(A327&lt;='APR and payment'!$E$5,F326*'APR and payment'!$E$6/'APR and payment'!$L$9,"")</f>
        <v>3437.9364751477437</v>
      </c>
      <c r="F327" s="21">
        <f>IF(A327&lt;='APR and payment'!$E$5,F326-D327,"")</f>
        <v>744962.58816652815</v>
      </c>
    </row>
    <row r="328" spans="1:6" x14ac:dyDescent="0.25">
      <c r="A328" s="15">
        <v>325</v>
      </c>
      <c r="B328" s="17">
        <f>IF(A328&lt;='APR and payment'!$E$5,'Remaining debt'!A328,"")</f>
        <v>325</v>
      </c>
      <c r="C328" s="21">
        <f>IF(A328&lt;='APR and payment'!$E$5,'APR and payment'!$E$24,"")</f>
        <v>22461.231674784805</v>
      </c>
      <c r="D328" s="21">
        <f>IF(A328&lt;='APR and payment'!$E$5,C328-E328,"")</f>
        <v>19108.90002803543</v>
      </c>
      <c r="E328" s="21">
        <f>IF(A328&lt;='APR and payment'!$E$5,F327*'APR and payment'!$E$6/'APR and payment'!$L$9,"")</f>
        <v>3352.3316467493769</v>
      </c>
      <c r="F328" s="21">
        <f>IF(A328&lt;='APR and payment'!$E$5,F327-D328,"")</f>
        <v>725853.68813849275</v>
      </c>
    </row>
    <row r="329" spans="1:6" x14ac:dyDescent="0.25">
      <c r="A329" s="15">
        <v>326</v>
      </c>
      <c r="B329" s="17">
        <f>IF(A329&lt;='APR and payment'!$E$5,'Remaining debt'!A329,"")</f>
        <v>326</v>
      </c>
      <c r="C329" s="21">
        <f>IF(A329&lt;='APR and payment'!$E$5,'APR and payment'!$E$24,"")</f>
        <v>22461.231674784805</v>
      </c>
      <c r="D329" s="21">
        <f>IF(A329&lt;='APR and payment'!$E$5,C329-E329,"")</f>
        <v>19194.890078161588</v>
      </c>
      <c r="E329" s="21">
        <f>IF(A329&lt;='APR and payment'!$E$5,F328*'APR and payment'!$E$6/'APR and payment'!$L$9,"")</f>
        <v>3266.3415966232174</v>
      </c>
      <c r="F329" s="21">
        <f>IF(A329&lt;='APR and payment'!$E$5,F328-D329,"")</f>
        <v>706658.79806033114</v>
      </c>
    </row>
    <row r="330" spans="1:6" x14ac:dyDescent="0.25">
      <c r="A330" s="15">
        <v>327</v>
      </c>
      <c r="B330" s="17">
        <f>IF(A330&lt;='APR and payment'!$E$5,'Remaining debt'!A330,"")</f>
        <v>327</v>
      </c>
      <c r="C330" s="21">
        <f>IF(A330&lt;='APR and payment'!$E$5,'APR and payment'!$E$24,"")</f>
        <v>22461.231674784805</v>
      </c>
      <c r="D330" s="21">
        <f>IF(A330&lt;='APR and payment'!$E$5,C330-E330,"")</f>
        <v>19281.267083513314</v>
      </c>
      <c r="E330" s="21">
        <f>IF(A330&lt;='APR and payment'!$E$5,F329*'APR and payment'!$E$6/'APR and payment'!$L$9,"")</f>
        <v>3179.96459127149</v>
      </c>
      <c r="F330" s="21">
        <f>IF(A330&lt;='APR and payment'!$E$5,F329-D330,"")</f>
        <v>687377.53097681783</v>
      </c>
    </row>
    <row r="331" spans="1:6" x14ac:dyDescent="0.25">
      <c r="A331" s="15">
        <v>328</v>
      </c>
      <c r="B331" s="17">
        <f>IF(A331&lt;='APR and payment'!$E$5,'Remaining debt'!A331,"")</f>
        <v>328</v>
      </c>
      <c r="C331" s="21">
        <f>IF(A331&lt;='APR and payment'!$E$5,'APR and payment'!$E$24,"")</f>
        <v>22461.231674784805</v>
      </c>
      <c r="D331" s="21">
        <f>IF(A331&lt;='APR and payment'!$E$5,C331-E331,"")</f>
        <v>19368.032785389125</v>
      </c>
      <c r="E331" s="21">
        <f>IF(A331&lt;='APR and payment'!$E$5,F330*'APR and payment'!$E$6/'APR and payment'!$L$9,"")</f>
        <v>3093.1988893956805</v>
      </c>
      <c r="F331" s="21">
        <f>IF(A331&lt;='APR and payment'!$E$5,F330-D331,"")</f>
        <v>668009.49819142872</v>
      </c>
    </row>
    <row r="332" spans="1:6" x14ac:dyDescent="0.25">
      <c r="A332" s="15">
        <v>329</v>
      </c>
      <c r="B332" s="17">
        <f>IF(A332&lt;='APR and payment'!$E$5,'Remaining debt'!A332,"")</f>
        <v>329</v>
      </c>
      <c r="C332" s="21">
        <f>IF(A332&lt;='APR and payment'!$E$5,'APR and payment'!$E$24,"")</f>
        <v>22461.231674784805</v>
      </c>
      <c r="D332" s="21">
        <f>IF(A332&lt;='APR and payment'!$E$5,C332-E332,"")</f>
        <v>19455.188932923375</v>
      </c>
      <c r="E332" s="21">
        <f>IF(A332&lt;='APR and payment'!$E$5,F331*'APR and payment'!$E$6/'APR and payment'!$L$9,"")</f>
        <v>3006.042741861429</v>
      </c>
      <c r="F332" s="21">
        <f>IF(A332&lt;='APR and payment'!$E$5,F331-D332,"")</f>
        <v>648554.30925850535</v>
      </c>
    </row>
    <row r="333" spans="1:6" x14ac:dyDescent="0.25">
      <c r="A333" s="15">
        <v>330</v>
      </c>
      <c r="B333" s="17">
        <f>IF(A333&lt;='APR and payment'!$E$5,'Remaining debt'!A333,"")</f>
        <v>330</v>
      </c>
      <c r="C333" s="21">
        <f>IF(A333&lt;='APR and payment'!$E$5,'APR and payment'!$E$24,"")</f>
        <v>22461.231674784805</v>
      </c>
      <c r="D333" s="21">
        <f>IF(A333&lt;='APR and payment'!$E$5,C333-E333,"")</f>
        <v>19542.737283121533</v>
      </c>
      <c r="E333" s="21">
        <f>IF(A333&lt;='APR and payment'!$E$5,F332*'APR and payment'!$E$6/'APR and payment'!$L$9,"")</f>
        <v>2918.4943916632742</v>
      </c>
      <c r="F333" s="21">
        <f>IF(A333&lt;='APR and payment'!$E$5,F332-D333,"")</f>
        <v>629011.57197538379</v>
      </c>
    </row>
    <row r="334" spans="1:6" x14ac:dyDescent="0.25">
      <c r="A334" s="15">
        <v>331</v>
      </c>
      <c r="B334" s="17">
        <f>IF(A334&lt;='APR and payment'!$E$5,'Remaining debt'!A334,"")</f>
        <v>331</v>
      </c>
      <c r="C334" s="21">
        <f>IF(A334&lt;='APR and payment'!$E$5,'APR and payment'!$E$24,"")</f>
        <v>22461.231674784805</v>
      </c>
      <c r="D334" s="21">
        <f>IF(A334&lt;='APR and payment'!$E$5,C334-E334,"")</f>
        <v>19630.679600895579</v>
      </c>
      <c r="E334" s="21">
        <f>IF(A334&lt;='APR and payment'!$E$5,F333*'APR and payment'!$E$6/'APR and payment'!$L$9,"")</f>
        <v>2830.5520738892269</v>
      </c>
      <c r="F334" s="21">
        <f>IF(A334&lt;='APR and payment'!$E$5,F333-D334,"")</f>
        <v>609380.89237448818</v>
      </c>
    </row>
    <row r="335" spans="1:6" x14ac:dyDescent="0.25">
      <c r="A335" s="15">
        <v>332</v>
      </c>
      <c r="B335" s="17">
        <f>IF(A335&lt;='APR and payment'!$E$5,'Remaining debt'!A335,"")</f>
        <v>332</v>
      </c>
      <c r="C335" s="21">
        <f>IF(A335&lt;='APR and payment'!$E$5,'APR and payment'!$E$24,"")</f>
        <v>22461.231674784805</v>
      </c>
      <c r="D335" s="21">
        <f>IF(A335&lt;='APR and payment'!$E$5,C335-E335,"")</f>
        <v>19719.017659099609</v>
      </c>
      <c r="E335" s="21">
        <f>IF(A335&lt;='APR and payment'!$E$5,F334*'APR and payment'!$E$6/'APR and payment'!$L$9,"")</f>
        <v>2742.2140156851965</v>
      </c>
      <c r="F335" s="21">
        <f>IF(A335&lt;='APR and payment'!$E$5,F334-D335,"")</f>
        <v>589661.87471538852</v>
      </c>
    </row>
    <row r="336" spans="1:6" x14ac:dyDescent="0.25">
      <c r="A336" s="15">
        <v>333</v>
      </c>
      <c r="B336" s="17">
        <f>IF(A336&lt;='APR and payment'!$E$5,'Remaining debt'!A336,"")</f>
        <v>333</v>
      </c>
      <c r="C336" s="21">
        <f>IF(A336&lt;='APR and payment'!$E$5,'APR and payment'!$E$24,"")</f>
        <v>22461.231674784805</v>
      </c>
      <c r="D336" s="21">
        <f>IF(A336&lt;='APR and payment'!$E$5,C336-E336,"")</f>
        <v>19807.753238565558</v>
      </c>
      <c r="E336" s="21">
        <f>IF(A336&lt;='APR and payment'!$E$5,F335*'APR and payment'!$E$6/'APR and payment'!$L$9,"")</f>
        <v>2653.4784362192481</v>
      </c>
      <c r="F336" s="21">
        <f>IF(A336&lt;='APR and payment'!$E$5,F335-D336,"")</f>
        <v>569854.121476823</v>
      </c>
    </row>
    <row r="337" spans="1:6" x14ac:dyDescent="0.25">
      <c r="A337" s="15">
        <v>334</v>
      </c>
      <c r="B337" s="17">
        <f>IF(A337&lt;='APR and payment'!$E$5,'Remaining debt'!A337,"")</f>
        <v>334</v>
      </c>
      <c r="C337" s="21">
        <f>IF(A337&lt;='APR and payment'!$E$5,'APR and payment'!$E$24,"")</f>
        <v>22461.231674784805</v>
      </c>
      <c r="D337" s="21">
        <f>IF(A337&lt;='APR and payment'!$E$5,C337-E337,"")</f>
        <v>19896.8881281391</v>
      </c>
      <c r="E337" s="21">
        <f>IF(A337&lt;='APR and payment'!$E$5,F336*'APR and payment'!$E$6/'APR and payment'!$L$9,"")</f>
        <v>2564.3435466457036</v>
      </c>
      <c r="F337" s="21">
        <f>IF(A337&lt;='APR and payment'!$E$5,F336-D337,"")</f>
        <v>549957.23334868392</v>
      </c>
    </row>
    <row r="338" spans="1:6" x14ac:dyDescent="0.25">
      <c r="A338" s="15">
        <v>335</v>
      </c>
      <c r="B338" s="17">
        <f>IF(A338&lt;='APR and payment'!$E$5,'Remaining debt'!A338,"")</f>
        <v>335</v>
      </c>
      <c r="C338" s="21">
        <f>IF(A338&lt;='APR and payment'!$E$5,'APR and payment'!$E$24,"")</f>
        <v>22461.231674784805</v>
      </c>
      <c r="D338" s="21">
        <f>IF(A338&lt;='APR and payment'!$E$5,C338-E338,"")</f>
        <v>19986.424124715726</v>
      </c>
      <c r="E338" s="21">
        <f>IF(A338&lt;='APR and payment'!$E$5,F337*'APR and payment'!$E$6/'APR and payment'!$L$9,"")</f>
        <v>2474.8075500690775</v>
      </c>
      <c r="F338" s="21">
        <f>IF(A338&lt;='APR and payment'!$E$5,F337-D338,"")</f>
        <v>529970.80922396819</v>
      </c>
    </row>
    <row r="339" spans="1:6" x14ac:dyDescent="0.25">
      <c r="A339" s="15">
        <v>336</v>
      </c>
      <c r="B339" s="17">
        <f>IF(A339&lt;='APR and payment'!$E$5,'Remaining debt'!A339,"")</f>
        <v>336</v>
      </c>
      <c r="C339" s="21">
        <f>IF(A339&lt;='APR and payment'!$E$5,'APR and payment'!$E$24,"")</f>
        <v>22461.231674784805</v>
      </c>
      <c r="D339" s="21">
        <f>IF(A339&lt;='APR and payment'!$E$5,C339-E339,"")</f>
        <v>20076.36303327695</v>
      </c>
      <c r="E339" s="21">
        <f>IF(A339&lt;='APR and payment'!$E$5,F338*'APR and payment'!$E$6/'APR and payment'!$L$9,"")</f>
        <v>2384.8686415078569</v>
      </c>
      <c r="F339" s="21">
        <f>IF(A339&lt;='APR and payment'!$E$5,F338-D339,"")</f>
        <v>509894.44619069126</v>
      </c>
    </row>
    <row r="340" spans="1:6" x14ac:dyDescent="0.25">
      <c r="A340" s="15">
        <v>337</v>
      </c>
      <c r="B340" s="17">
        <f>IF(A340&lt;='APR and payment'!$E$5,'Remaining debt'!A340,"")</f>
        <v>337</v>
      </c>
      <c r="C340" s="21">
        <f>IF(A340&lt;='APR and payment'!$E$5,'APR and payment'!$E$24,"")</f>
        <v>22461.231674784805</v>
      </c>
      <c r="D340" s="21">
        <f>IF(A340&lt;='APR and payment'!$E$5,C340-E340,"")</f>
        <v>20166.706666926693</v>
      </c>
      <c r="E340" s="21">
        <f>IF(A340&lt;='APR and payment'!$E$5,F339*'APR and payment'!$E$6/'APR and payment'!$L$9,"")</f>
        <v>2294.5250078581107</v>
      </c>
      <c r="F340" s="21">
        <f>IF(A340&lt;='APR and payment'!$E$5,F339-D340,"")</f>
        <v>489727.73952376458</v>
      </c>
    </row>
    <row r="341" spans="1:6" x14ac:dyDescent="0.25">
      <c r="A341" s="15">
        <v>338</v>
      </c>
      <c r="B341" s="17">
        <f>IF(A341&lt;='APR and payment'!$E$5,'Remaining debt'!A341,"")</f>
        <v>338</v>
      </c>
      <c r="C341" s="21">
        <f>IF(A341&lt;='APR and payment'!$E$5,'APR and payment'!$E$24,"")</f>
        <v>22461.231674784805</v>
      </c>
      <c r="D341" s="21">
        <f>IF(A341&lt;='APR and payment'!$E$5,C341-E341,"")</f>
        <v>20257.456846927864</v>
      </c>
      <c r="E341" s="21">
        <f>IF(A341&lt;='APR and payment'!$E$5,F340*'APR and payment'!$E$6/'APR and payment'!$L$9,"")</f>
        <v>2203.7748278569406</v>
      </c>
      <c r="F341" s="21">
        <f>IF(A341&lt;='APR and payment'!$E$5,F340-D341,"")</f>
        <v>469470.28267683671</v>
      </c>
    </row>
    <row r="342" spans="1:6" x14ac:dyDescent="0.25">
      <c r="A342" s="15">
        <v>339</v>
      </c>
      <c r="B342" s="17">
        <f>IF(A342&lt;='APR and payment'!$E$5,'Remaining debt'!A342,"")</f>
        <v>339</v>
      </c>
      <c r="C342" s="21">
        <f>IF(A342&lt;='APR and payment'!$E$5,'APR and payment'!$E$24,"")</f>
        <v>22461.231674784805</v>
      </c>
      <c r="D342" s="21">
        <f>IF(A342&lt;='APR and payment'!$E$5,C342-E342,"")</f>
        <v>20348.61540273904</v>
      </c>
      <c r="E342" s="21">
        <f>IF(A342&lt;='APR and payment'!$E$5,F341*'APR and payment'!$E$6/'APR and payment'!$L$9,"")</f>
        <v>2112.6162720457651</v>
      </c>
      <c r="F342" s="21">
        <f>IF(A342&lt;='APR and payment'!$E$5,F341-D342,"")</f>
        <v>449121.66727409768</v>
      </c>
    </row>
    <row r="343" spans="1:6" x14ac:dyDescent="0.25">
      <c r="A343" s="15">
        <v>340</v>
      </c>
      <c r="B343" s="17">
        <f>IF(A343&lt;='APR and payment'!$E$5,'Remaining debt'!A343,"")</f>
        <v>340</v>
      </c>
      <c r="C343" s="21">
        <f>IF(A343&lt;='APR and payment'!$E$5,'APR and payment'!$E$24,"")</f>
        <v>22461.231674784805</v>
      </c>
      <c r="D343" s="21">
        <f>IF(A343&lt;='APR and payment'!$E$5,C343-E343,"")</f>
        <v>20440.184172051366</v>
      </c>
      <c r="E343" s="21">
        <f>IF(A343&lt;='APR and payment'!$E$5,F342*'APR and payment'!$E$6/'APR and payment'!$L$9,"")</f>
        <v>2021.0475027334396</v>
      </c>
      <c r="F343" s="21">
        <f>IF(A343&lt;='APR and payment'!$E$5,F342-D343,"")</f>
        <v>428681.4831020463</v>
      </c>
    </row>
    <row r="344" spans="1:6" x14ac:dyDescent="0.25">
      <c r="A344" s="15">
        <v>341</v>
      </c>
      <c r="B344" s="17">
        <f>IF(A344&lt;='APR and payment'!$E$5,'Remaining debt'!A344,"")</f>
        <v>341</v>
      </c>
      <c r="C344" s="21">
        <f>IF(A344&lt;='APR and payment'!$E$5,'APR and payment'!$E$24,"")</f>
        <v>22461.231674784805</v>
      </c>
      <c r="D344" s="21">
        <f>IF(A344&lt;='APR and payment'!$E$5,C344-E344,"")</f>
        <v>20532.165000825597</v>
      </c>
      <c r="E344" s="21">
        <f>IF(A344&lt;='APR and payment'!$E$5,F343*'APR and payment'!$E$6/'APR and payment'!$L$9,"")</f>
        <v>1929.0666739592082</v>
      </c>
      <c r="F344" s="21">
        <f>IF(A344&lt;='APR and payment'!$E$5,F343-D344,"")</f>
        <v>408149.31810122071</v>
      </c>
    </row>
    <row r="345" spans="1:6" x14ac:dyDescent="0.25">
      <c r="A345" s="15">
        <v>342</v>
      </c>
      <c r="B345" s="17">
        <f>IF(A345&lt;='APR and payment'!$E$5,'Remaining debt'!A345,"")</f>
        <v>342</v>
      </c>
      <c r="C345" s="21">
        <f>IF(A345&lt;='APR and payment'!$E$5,'APR and payment'!$E$24,"")</f>
        <v>22461.231674784805</v>
      </c>
      <c r="D345" s="21">
        <f>IF(A345&lt;='APR and payment'!$E$5,C345-E345,"")</f>
        <v>20624.559743329311</v>
      </c>
      <c r="E345" s="21">
        <f>IF(A345&lt;='APR and payment'!$E$5,F344*'APR and payment'!$E$6/'APR and payment'!$L$9,"")</f>
        <v>1836.6719314554932</v>
      </c>
      <c r="F345" s="21">
        <f>IF(A345&lt;='APR and payment'!$E$5,F344-D345,"")</f>
        <v>387524.75835789141</v>
      </c>
    </row>
    <row r="346" spans="1:6" x14ac:dyDescent="0.25">
      <c r="A346" s="15">
        <v>343</v>
      </c>
      <c r="B346" s="17">
        <f>IF(A346&lt;='APR and payment'!$E$5,'Remaining debt'!A346,"")</f>
        <v>343</v>
      </c>
      <c r="C346" s="21">
        <f>IF(A346&lt;='APR and payment'!$E$5,'APR and payment'!$E$24,"")</f>
        <v>22461.231674784805</v>
      </c>
      <c r="D346" s="21">
        <f>IF(A346&lt;='APR and payment'!$E$5,C346-E346,"")</f>
        <v>20717.370262174292</v>
      </c>
      <c r="E346" s="21">
        <f>IF(A346&lt;='APR and payment'!$E$5,F345*'APR and payment'!$E$6/'APR and payment'!$L$9,"")</f>
        <v>1743.8614126105113</v>
      </c>
      <c r="F346" s="21">
        <f>IF(A346&lt;='APR and payment'!$E$5,F345-D346,"")</f>
        <v>366807.38809571712</v>
      </c>
    </row>
    <row r="347" spans="1:6" x14ac:dyDescent="0.25">
      <c r="A347" s="15">
        <v>344</v>
      </c>
      <c r="B347" s="17">
        <f>IF(A347&lt;='APR and payment'!$E$5,'Remaining debt'!A347,"")</f>
        <v>344</v>
      </c>
      <c r="C347" s="21">
        <f>IF(A347&lt;='APR and payment'!$E$5,'APR and payment'!$E$24,"")</f>
        <v>22461.231674784805</v>
      </c>
      <c r="D347" s="21">
        <f>IF(A347&lt;='APR and payment'!$E$5,C347-E347,"")</f>
        <v>20810.598428354078</v>
      </c>
      <c r="E347" s="21">
        <f>IF(A347&lt;='APR and payment'!$E$5,F346*'APR and payment'!$E$6/'APR and payment'!$L$9,"")</f>
        <v>1650.633246430727</v>
      </c>
      <c r="F347" s="21">
        <f>IF(A347&lt;='APR and payment'!$E$5,F346-D347,"")</f>
        <v>345996.78966736305</v>
      </c>
    </row>
    <row r="348" spans="1:6" x14ac:dyDescent="0.25">
      <c r="A348" s="15">
        <v>345</v>
      </c>
      <c r="B348" s="17">
        <f>IF(A348&lt;='APR and payment'!$E$5,'Remaining debt'!A348,"")</f>
        <v>345</v>
      </c>
      <c r="C348" s="21">
        <f>IF(A348&lt;='APR and payment'!$E$5,'APR and payment'!$E$24,"")</f>
        <v>22461.231674784805</v>
      </c>
      <c r="D348" s="21">
        <f>IF(A348&lt;='APR and payment'!$E$5,C348-E348,"")</f>
        <v>20904.246121281671</v>
      </c>
      <c r="E348" s="21">
        <f>IF(A348&lt;='APR and payment'!$E$5,F347*'APR and payment'!$E$6/'APR and payment'!$L$9,"")</f>
        <v>1556.9855535031338</v>
      </c>
      <c r="F348" s="21">
        <f>IF(A348&lt;='APR and payment'!$E$5,F347-D348,"")</f>
        <v>325092.5435460814</v>
      </c>
    </row>
    <row r="349" spans="1:6" x14ac:dyDescent="0.25">
      <c r="A349" s="15">
        <v>346</v>
      </c>
      <c r="B349" s="17">
        <f>IF(A349&lt;='APR and payment'!$E$5,'Remaining debt'!A349,"")</f>
        <v>346</v>
      </c>
      <c r="C349" s="21">
        <f>IF(A349&lt;='APR and payment'!$E$5,'APR and payment'!$E$24,"")</f>
        <v>22461.231674784805</v>
      </c>
      <c r="D349" s="21">
        <f>IF(A349&lt;='APR and payment'!$E$5,C349-E349,"")</f>
        <v>20998.31522882744</v>
      </c>
      <c r="E349" s="21">
        <f>IF(A349&lt;='APR and payment'!$E$5,F348*'APR and payment'!$E$6/'APR and payment'!$L$9,"")</f>
        <v>1462.9164459573665</v>
      </c>
      <c r="F349" s="21">
        <f>IF(A349&lt;='APR and payment'!$E$5,F348-D349,"")</f>
        <v>304094.22831725399</v>
      </c>
    </row>
    <row r="350" spans="1:6" x14ac:dyDescent="0.25">
      <c r="A350" s="15">
        <v>347</v>
      </c>
      <c r="B350" s="17">
        <f>IF(A350&lt;='APR and payment'!$E$5,'Remaining debt'!A350,"")</f>
        <v>347</v>
      </c>
      <c r="C350" s="21">
        <f>IF(A350&lt;='APR and payment'!$E$5,'APR and payment'!$E$24,"")</f>
        <v>22461.231674784805</v>
      </c>
      <c r="D350" s="21">
        <f>IF(A350&lt;='APR and payment'!$E$5,C350-E350,"")</f>
        <v>21092.807647357164</v>
      </c>
      <c r="E350" s="21">
        <f>IF(A350&lt;='APR and payment'!$E$5,F349*'APR and payment'!$E$6/'APR and payment'!$L$9,"")</f>
        <v>1368.4240274276428</v>
      </c>
      <c r="F350" s="21">
        <f>IF(A350&lt;='APR and payment'!$E$5,F349-D350,"")</f>
        <v>283001.42066989682</v>
      </c>
    </row>
    <row r="351" spans="1:6" x14ac:dyDescent="0.25">
      <c r="A351" s="15">
        <v>348</v>
      </c>
      <c r="B351" s="17">
        <f>IF(A351&lt;='APR and payment'!$E$5,'Remaining debt'!A351,"")</f>
        <v>348</v>
      </c>
      <c r="C351" s="21">
        <f>IF(A351&lt;='APR and payment'!$E$5,'APR and payment'!$E$24,"")</f>
        <v>22461.231674784805</v>
      </c>
      <c r="D351" s="21">
        <f>IF(A351&lt;='APR and payment'!$E$5,C351-E351,"")</f>
        <v>21187.725281770268</v>
      </c>
      <c r="E351" s="21">
        <f>IF(A351&lt;='APR and payment'!$E$5,F350*'APR and payment'!$E$6/'APR and payment'!$L$9,"")</f>
        <v>1273.5063930145357</v>
      </c>
      <c r="F351" s="21">
        <f>IF(A351&lt;='APR and payment'!$E$5,F350-D351,"")</f>
        <v>261813.69538812654</v>
      </c>
    </row>
    <row r="352" spans="1:6" x14ac:dyDescent="0.25">
      <c r="A352" s="15">
        <v>349</v>
      </c>
      <c r="B352" s="17">
        <f>IF(A352&lt;='APR and payment'!$E$5,'Remaining debt'!A352,"")</f>
        <v>349</v>
      </c>
      <c r="C352" s="21">
        <f>IF(A352&lt;='APR and payment'!$E$5,'APR and payment'!$E$24,"")</f>
        <v>22461.231674784805</v>
      </c>
      <c r="D352" s="21">
        <f>IF(A352&lt;='APR and payment'!$E$5,C352-E352,"")</f>
        <v>21283.070045538236</v>
      </c>
      <c r="E352" s="21">
        <f>IF(A352&lt;='APR and payment'!$E$5,F351*'APR and payment'!$E$6/'APR and payment'!$L$9,"")</f>
        <v>1178.1616292465694</v>
      </c>
      <c r="F352" s="21">
        <f>IF(A352&lt;='APR and payment'!$E$5,F351-D352,"")</f>
        <v>240530.62534258829</v>
      </c>
    </row>
    <row r="353" spans="1:6" x14ac:dyDescent="0.25">
      <c r="A353" s="15">
        <v>350</v>
      </c>
      <c r="B353" s="17">
        <f>IF(A353&lt;='APR and payment'!$E$5,'Remaining debt'!A353,"")</f>
        <v>350</v>
      </c>
      <c r="C353" s="21">
        <f>IF(A353&lt;='APR and payment'!$E$5,'APR and payment'!$E$24,"")</f>
        <v>22461.231674784805</v>
      </c>
      <c r="D353" s="21">
        <f>IF(A353&lt;='APR and payment'!$E$5,C353-E353,"")</f>
        <v>21378.84386074316</v>
      </c>
      <c r="E353" s="21">
        <f>IF(A353&lt;='APR and payment'!$E$5,F352*'APR and payment'!$E$6/'APR and payment'!$L$9,"")</f>
        <v>1082.3878140416473</v>
      </c>
      <c r="F353" s="21">
        <f>IF(A353&lt;='APR and payment'!$E$5,F352-D353,"")</f>
        <v>219151.78148184513</v>
      </c>
    </row>
    <row r="354" spans="1:6" x14ac:dyDescent="0.25">
      <c r="A354" s="15">
        <v>351</v>
      </c>
      <c r="B354" s="17">
        <f>IF(A354&lt;='APR and payment'!$E$5,'Remaining debt'!A354,"")</f>
        <v>351</v>
      </c>
      <c r="C354" s="21">
        <f>IF(A354&lt;='APR and payment'!$E$5,'APR and payment'!$E$24,"")</f>
        <v>22461.231674784805</v>
      </c>
      <c r="D354" s="21">
        <f>IF(A354&lt;='APR and payment'!$E$5,C354-E354,"")</f>
        <v>21475.048658116502</v>
      </c>
      <c r="E354" s="21">
        <f>IF(A354&lt;='APR and payment'!$E$5,F353*'APR and payment'!$E$6/'APR and payment'!$L$9,"")</f>
        <v>986.18301666830303</v>
      </c>
      <c r="F354" s="21">
        <f>IF(A354&lt;='APR and payment'!$E$5,F353-D354,"")</f>
        <v>197676.73282372864</v>
      </c>
    </row>
    <row r="355" spans="1:6" x14ac:dyDescent="0.25">
      <c r="A355" s="15">
        <v>352</v>
      </c>
      <c r="B355" s="17">
        <f>IF(A355&lt;='APR and payment'!$E$5,'Remaining debt'!A355,"")</f>
        <v>352</v>
      </c>
      <c r="C355" s="21">
        <f>IF(A355&lt;='APR and payment'!$E$5,'APR and payment'!$E$24,"")</f>
        <v>22461.231674784805</v>
      </c>
      <c r="D355" s="21">
        <f>IF(A355&lt;='APR and payment'!$E$5,C355-E355,"")</f>
        <v>21571.686377078026</v>
      </c>
      <c r="E355" s="21">
        <f>IF(A355&lt;='APR and payment'!$E$5,F354*'APR and payment'!$E$6/'APR and payment'!$L$9,"")</f>
        <v>889.54529770677891</v>
      </c>
      <c r="F355" s="21">
        <f>IF(A355&lt;='APR and payment'!$E$5,F354-D355,"")</f>
        <v>176105.04644665061</v>
      </c>
    </row>
    <row r="356" spans="1:6" x14ac:dyDescent="0.25">
      <c r="A356" s="15">
        <v>353</v>
      </c>
      <c r="B356" s="17">
        <f>IF(A356&lt;='APR and payment'!$E$5,'Remaining debt'!A356,"")</f>
        <v>353</v>
      </c>
      <c r="C356" s="21">
        <f>IF(A356&lt;='APR and payment'!$E$5,'APR and payment'!$E$24,"")</f>
        <v>22461.231674784805</v>
      </c>
      <c r="D356" s="21">
        <f>IF(A356&lt;='APR and payment'!$E$5,C356-E356,"")</f>
        <v>21668.758965774876</v>
      </c>
      <c r="E356" s="21">
        <f>IF(A356&lt;='APR and payment'!$E$5,F355*'APR and payment'!$E$6/'APR and payment'!$L$9,"")</f>
        <v>792.47270900992771</v>
      </c>
      <c r="F356" s="21">
        <f>IF(A356&lt;='APR and payment'!$E$5,F355-D356,"")</f>
        <v>154436.28748087573</v>
      </c>
    </row>
    <row r="357" spans="1:6" x14ac:dyDescent="0.25">
      <c r="A357" s="15">
        <v>354</v>
      </c>
      <c r="B357" s="17">
        <f>IF(A357&lt;='APR and payment'!$E$5,'Remaining debt'!A357,"")</f>
        <v>354</v>
      </c>
      <c r="C357" s="21">
        <f>IF(A357&lt;='APR and payment'!$E$5,'APR and payment'!$E$24,"")</f>
        <v>22461.231674784805</v>
      </c>
      <c r="D357" s="21">
        <f>IF(A357&lt;='APR and payment'!$E$5,C357-E357,"")</f>
        <v>21766.268381120866</v>
      </c>
      <c r="E357" s="21">
        <f>IF(A357&lt;='APR and payment'!$E$5,F356*'APR and payment'!$E$6/'APR and payment'!$L$9,"")</f>
        <v>694.96329366394082</v>
      </c>
      <c r="F357" s="21">
        <f>IF(A357&lt;='APR and payment'!$E$5,F356-D357,"")</f>
        <v>132670.01909975486</v>
      </c>
    </row>
    <row r="358" spans="1:6" x14ac:dyDescent="0.25">
      <c r="A358" s="15">
        <v>355</v>
      </c>
      <c r="B358" s="17">
        <f>IF(A358&lt;='APR and payment'!$E$5,'Remaining debt'!A358,"")</f>
        <v>355</v>
      </c>
      <c r="C358" s="21">
        <f>IF(A358&lt;='APR and payment'!$E$5,'APR and payment'!$E$24,"")</f>
        <v>22461.231674784805</v>
      </c>
      <c r="D358" s="21">
        <f>IF(A358&lt;='APR and payment'!$E$5,C358-E358,"")</f>
        <v>21864.216588835909</v>
      </c>
      <c r="E358" s="21">
        <f>IF(A358&lt;='APR and payment'!$E$5,F357*'APR and payment'!$E$6/'APR and payment'!$L$9,"")</f>
        <v>597.01508594889685</v>
      </c>
      <c r="F358" s="21">
        <f>IF(A358&lt;='APR and payment'!$E$5,F357-D358,"")</f>
        <v>110805.80251091896</v>
      </c>
    </row>
    <row r="359" spans="1:6" x14ac:dyDescent="0.25">
      <c r="A359" s="15">
        <v>356</v>
      </c>
      <c r="B359" s="17">
        <f>IF(A359&lt;='APR and payment'!$E$5,'Remaining debt'!A359,"")</f>
        <v>356</v>
      </c>
      <c r="C359" s="21">
        <f>IF(A359&lt;='APR and payment'!$E$5,'APR and payment'!$E$24,"")</f>
        <v>22461.231674784805</v>
      </c>
      <c r="D359" s="21">
        <f>IF(A359&lt;='APR and payment'!$E$5,C359-E359,"")</f>
        <v>21962.605563485671</v>
      </c>
      <c r="E359" s="21">
        <f>IF(A359&lt;='APR and payment'!$E$5,F358*'APR and payment'!$E$6/'APR and payment'!$L$9,"")</f>
        <v>498.62611129913535</v>
      </c>
      <c r="F359" s="21">
        <f>IF(A359&lt;='APR and payment'!$E$5,F358-D359,"")</f>
        <v>88843.196947433287</v>
      </c>
    </row>
    <row r="360" spans="1:6" x14ac:dyDescent="0.25">
      <c r="A360" s="15">
        <v>357</v>
      </c>
      <c r="B360" s="17">
        <f>IF(A360&lt;='APR and payment'!$E$5,'Remaining debt'!A360,"")</f>
        <v>357</v>
      </c>
      <c r="C360" s="21">
        <f>IF(A360&lt;='APR and payment'!$E$5,'APR and payment'!$E$24,"")</f>
        <v>22461.231674784805</v>
      </c>
      <c r="D360" s="21">
        <f>IF(A360&lt;='APR and payment'!$E$5,C360-E360,"")</f>
        <v>22061.437288521356</v>
      </c>
      <c r="E360" s="21">
        <f>IF(A360&lt;='APR and payment'!$E$5,F359*'APR and payment'!$E$6/'APR and payment'!$L$9,"")</f>
        <v>399.79438626344978</v>
      </c>
      <c r="F360" s="21">
        <f>IF(A360&lt;='APR and payment'!$E$5,F359-D360,"")</f>
        <v>66781.759658911935</v>
      </c>
    </row>
    <row r="361" spans="1:6" x14ac:dyDescent="0.25">
      <c r="A361" s="15">
        <v>358</v>
      </c>
      <c r="B361" s="17">
        <f>IF(A361&lt;='APR and payment'!$E$5,'Remaining debt'!A361,"")</f>
        <v>358</v>
      </c>
      <c r="C361" s="21">
        <f>IF(A361&lt;='APR and payment'!$E$5,'APR and payment'!$E$24,"")</f>
        <v>22461.231674784805</v>
      </c>
      <c r="D361" s="21">
        <f>IF(A361&lt;='APR and payment'!$E$5,C361-E361,"")</f>
        <v>22160.713756319703</v>
      </c>
      <c r="E361" s="21">
        <f>IF(A361&lt;='APR and payment'!$E$5,F360*'APR and payment'!$E$6/'APR and payment'!$L$9,"")</f>
        <v>300.51791846510372</v>
      </c>
      <c r="F361" s="21">
        <f>IF(A361&lt;='APR and payment'!$E$5,F360-D361,"")</f>
        <v>44621.045902592232</v>
      </c>
    </row>
    <row r="362" spans="1:6" x14ac:dyDescent="0.25">
      <c r="A362" s="15">
        <v>359</v>
      </c>
      <c r="B362" s="17">
        <f>IF(A362&lt;='APR and payment'!$E$5,'Remaining debt'!A362,"")</f>
        <v>359</v>
      </c>
      <c r="C362" s="21">
        <f>IF(A362&lt;='APR and payment'!$E$5,'APR and payment'!$E$24,"")</f>
        <v>22461.231674784805</v>
      </c>
      <c r="D362" s="21">
        <f>IF(A362&lt;='APR and payment'!$E$5,C362-E362,"")</f>
        <v>22260.436968223141</v>
      </c>
      <c r="E362" s="21">
        <f>IF(A362&lt;='APR and payment'!$E$5,F361*'APR and payment'!$E$6/'APR and payment'!$L$9,"")</f>
        <v>200.79470656166504</v>
      </c>
      <c r="F362" s="21">
        <f>IF(A362&lt;='APR and payment'!$E$5,F361-D362,"")</f>
        <v>22360.608934369091</v>
      </c>
    </row>
    <row r="363" spans="1:6" x14ac:dyDescent="0.25">
      <c r="A363" s="15">
        <v>360</v>
      </c>
      <c r="B363" s="17">
        <f>IF(A363&lt;='APR and payment'!$E$5,'Remaining debt'!A363,"")</f>
        <v>360</v>
      </c>
      <c r="C363" s="21">
        <f>IF(A363&lt;='APR and payment'!$E$5,'APR and payment'!$E$24,"")</f>
        <v>22461.231674784805</v>
      </c>
      <c r="D363" s="21">
        <f>IF(A363&lt;='APR and payment'!$E$5,C363-E363,"")</f>
        <v>22360.608934580145</v>
      </c>
      <c r="E363" s="21">
        <f>IF(A363&lt;='APR and payment'!$E$5,F362*'APR and payment'!$E$6/'APR and payment'!$L$9,"")</f>
        <v>100.6227402046609</v>
      </c>
      <c r="F363" s="21">
        <f>IF(A363&lt;='APR and payment'!$E$5,F362-D363,"")</f>
        <v>-2.1105370251461864E-7</v>
      </c>
    </row>
    <row r="364" spans="1:6" x14ac:dyDescent="0.25">
      <c r="A364" s="15">
        <v>361</v>
      </c>
      <c r="B364" s="17" t="str">
        <f>IF(A364&lt;='APR and payment'!$E$5,'Remaining debt'!A364,"")</f>
        <v/>
      </c>
      <c r="C364" s="21" t="str">
        <f>IF(A364&lt;='APR and payment'!$E$5,'APR and payment'!$E$24,"")</f>
        <v/>
      </c>
      <c r="D364" s="21" t="str">
        <f>IF(A364&lt;='APR and payment'!$E$5,C364-E364,"")</f>
        <v/>
      </c>
      <c r="E364" s="21" t="str">
        <f>IF(A364&lt;='APR and payment'!$E$5,F363*'APR and payment'!$E$6/'APR and payment'!$L$9,"")</f>
        <v/>
      </c>
      <c r="F364" s="21" t="str">
        <f>IF(A364&lt;='APR and payment'!$E$5,F363-D364,"")</f>
        <v/>
      </c>
    </row>
    <row r="365" spans="1:6" x14ac:dyDescent="0.25">
      <c r="A365" s="15">
        <v>362</v>
      </c>
      <c r="B365" s="17" t="str">
        <f>IF(A365&lt;='APR and payment'!$E$5,'Remaining debt'!A365,"")</f>
        <v/>
      </c>
      <c r="C365" s="21" t="str">
        <f>IF(A365&lt;='APR and payment'!$E$5,'APR and payment'!$E$24,"")</f>
        <v/>
      </c>
      <c r="D365" s="21" t="str">
        <f>IF(A365&lt;='APR and payment'!$E$5,C365-E365,"")</f>
        <v/>
      </c>
      <c r="E365" s="21" t="str">
        <f>IF(A365&lt;='APR and payment'!$E$5,F364*'APR and payment'!$E$6/'APR and payment'!$L$9,"")</f>
        <v/>
      </c>
      <c r="F365" s="21" t="str">
        <f>IF(A365&lt;='APR and payment'!$E$5,F364-D365,"")</f>
        <v/>
      </c>
    </row>
    <row r="366" spans="1:6" x14ac:dyDescent="0.25">
      <c r="A366" s="15">
        <v>363</v>
      </c>
      <c r="B366" s="17" t="str">
        <f>IF(A366&lt;='APR and payment'!$E$5,'Remaining debt'!A366,"")</f>
        <v/>
      </c>
      <c r="C366" s="21" t="str">
        <f>IF(A366&lt;='APR and payment'!$E$5,'APR and payment'!$E$24,"")</f>
        <v/>
      </c>
      <c r="D366" s="21" t="str">
        <f>IF(A366&lt;='APR and payment'!$E$5,C366-E366,"")</f>
        <v/>
      </c>
      <c r="E366" s="21" t="str">
        <f>IF(A366&lt;='APR and payment'!$E$5,F365*'APR and payment'!$E$6/'APR and payment'!$L$9,"")</f>
        <v/>
      </c>
      <c r="F366" s="21" t="str">
        <f>IF(A366&lt;='APR and payment'!$E$5,F365-D366,"")</f>
        <v/>
      </c>
    </row>
    <row r="367" spans="1:6" x14ac:dyDescent="0.25">
      <c r="A367" s="15">
        <v>364</v>
      </c>
      <c r="B367" s="17" t="str">
        <f>IF(A367&lt;='APR and payment'!$E$5,'Remaining debt'!A367,"")</f>
        <v/>
      </c>
      <c r="C367" s="21" t="str">
        <f>IF(A367&lt;='APR and payment'!$E$5,'APR and payment'!$E$24,"")</f>
        <v/>
      </c>
      <c r="D367" s="21" t="str">
        <f>IF(A367&lt;='APR and payment'!$E$5,C367-E367,"")</f>
        <v/>
      </c>
      <c r="E367" s="21" t="str">
        <f>IF(A367&lt;='APR and payment'!$E$5,F366*'APR and payment'!$E$6/'APR and payment'!$L$9,"")</f>
        <v/>
      </c>
      <c r="F367" s="21" t="str">
        <f>IF(A367&lt;='APR and payment'!$E$5,F366-D367,"")</f>
        <v/>
      </c>
    </row>
    <row r="368" spans="1:6" x14ac:dyDescent="0.25">
      <c r="A368" s="15">
        <v>365</v>
      </c>
      <c r="B368" s="17" t="str">
        <f>IF(A368&lt;='APR and payment'!$E$5,'Remaining debt'!A368,"")</f>
        <v/>
      </c>
      <c r="C368" s="21" t="str">
        <f>IF(A368&lt;='APR and payment'!$E$5,'APR and payment'!$E$24,"")</f>
        <v/>
      </c>
      <c r="D368" s="21" t="str">
        <f>IF(A368&lt;='APR and payment'!$E$5,C368-E368,"")</f>
        <v/>
      </c>
      <c r="E368" s="21" t="str">
        <f>IF(A368&lt;='APR and payment'!$E$5,F367*'APR and payment'!$E$6/'APR and payment'!$L$9,"")</f>
        <v/>
      </c>
      <c r="F368" s="21" t="str">
        <f>IF(A368&lt;='APR and payment'!$E$5,F367-D368,"")</f>
        <v/>
      </c>
    </row>
    <row r="369" spans="1:6" x14ac:dyDescent="0.25">
      <c r="A369" s="15">
        <v>366</v>
      </c>
      <c r="B369" s="17" t="str">
        <f>IF(A369&lt;='APR and payment'!$E$5,'Remaining debt'!A369,"")</f>
        <v/>
      </c>
      <c r="C369" s="21" t="str">
        <f>IF(A369&lt;='APR and payment'!$E$5,'APR and payment'!$E$24,"")</f>
        <v/>
      </c>
      <c r="D369" s="21" t="str">
        <f>IF(A369&lt;='APR and payment'!$E$5,C369-E369,"")</f>
        <v/>
      </c>
      <c r="E369" s="21" t="str">
        <f>IF(A369&lt;='APR and payment'!$E$5,F368*'APR and payment'!$E$6/'APR and payment'!$L$9,"")</f>
        <v/>
      </c>
      <c r="F369" s="21" t="str">
        <f>IF(A369&lt;='APR and payment'!$E$5,F368-D369,"")</f>
        <v/>
      </c>
    </row>
    <row r="370" spans="1:6" x14ac:dyDescent="0.25">
      <c r="A370" s="15">
        <v>367</v>
      </c>
      <c r="B370" s="17" t="str">
        <f>IF(A370&lt;='APR and payment'!$E$5,'Remaining debt'!A370,"")</f>
        <v/>
      </c>
      <c r="C370" s="21" t="str">
        <f>IF(A370&lt;='APR and payment'!$E$5,'APR and payment'!$E$24,"")</f>
        <v/>
      </c>
      <c r="D370" s="21" t="str">
        <f>IF(A370&lt;='APR and payment'!$E$5,C370-E370,"")</f>
        <v/>
      </c>
      <c r="E370" s="21" t="str">
        <f>IF(A370&lt;='APR and payment'!$E$5,F369*'APR and payment'!$E$6/'APR and payment'!$L$9,"")</f>
        <v/>
      </c>
      <c r="F370" s="21" t="str">
        <f>IF(A370&lt;='APR and payment'!$E$5,F369-D370,"")</f>
        <v/>
      </c>
    </row>
    <row r="371" spans="1:6" x14ac:dyDescent="0.25">
      <c r="A371" s="15">
        <v>368</v>
      </c>
      <c r="B371" s="17" t="str">
        <f>IF(A371&lt;='APR and payment'!$E$5,'Remaining debt'!A371,"")</f>
        <v/>
      </c>
      <c r="C371" s="21" t="str">
        <f>IF(A371&lt;='APR and payment'!$E$5,'APR and payment'!$E$24,"")</f>
        <v/>
      </c>
      <c r="D371" s="21" t="str">
        <f>IF(A371&lt;='APR and payment'!$E$5,C371-E371,"")</f>
        <v/>
      </c>
      <c r="E371" s="21" t="str">
        <f>IF(A371&lt;='APR and payment'!$E$5,F370*'APR and payment'!$E$6/'APR and payment'!$L$9,"")</f>
        <v/>
      </c>
      <c r="F371" s="21" t="str">
        <f>IF(A371&lt;='APR and payment'!$E$5,F370-D371,"")</f>
        <v/>
      </c>
    </row>
    <row r="372" spans="1:6" x14ac:dyDescent="0.25">
      <c r="A372" s="15">
        <v>369</v>
      </c>
      <c r="B372" s="17" t="str">
        <f>IF(A372&lt;='APR and payment'!$E$5,'Remaining debt'!A372,"")</f>
        <v/>
      </c>
      <c r="C372" s="21" t="str">
        <f>IF(A372&lt;='APR and payment'!$E$5,'APR and payment'!$E$24,"")</f>
        <v/>
      </c>
      <c r="D372" s="21" t="str">
        <f>IF(A372&lt;='APR and payment'!$E$5,C372-E372,"")</f>
        <v/>
      </c>
      <c r="E372" s="21" t="str">
        <f>IF(A372&lt;='APR and payment'!$E$5,F371*'APR and payment'!$E$6/'APR and payment'!$L$9,"")</f>
        <v/>
      </c>
      <c r="F372" s="21" t="str">
        <f>IF(A372&lt;='APR and payment'!$E$5,F371-D372,"")</f>
        <v/>
      </c>
    </row>
    <row r="373" spans="1:6" x14ac:dyDescent="0.25">
      <c r="A373" s="15">
        <v>370</v>
      </c>
      <c r="B373" s="17" t="str">
        <f>IF(A373&lt;='APR and payment'!$E$5,'Remaining debt'!A373,"")</f>
        <v/>
      </c>
      <c r="C373" s="21" t="str">
        <f>IF(A373&lt;='APR and payment'!$E$5,'APR and payment'!$E$24,"")</f>
        <v/>
      </c>
      <c r="D373" s="21" t="str">
        <f>IF(A373&lt;='APR and payment'!$E$5,C373-E373,"")</f>
        <v/>
      </c>
      <c r="E373" s="21" t="str">
        <f>IF(A373&lt;='APR and payment'!$E$5,F372*'APR and payment'!$E$6/'APR and payment'!$L$9,"")</f>
        <v/>
      </c>
      <c r="F373" s="21" t="str">
        <f>IF(A373&lt;='APR and payment'!$E$5,F372-D373,"")</f>
        <v/>
      </c>
    </row>
    <row r="374" spans="1:6" x14ac:dyDescent="0.25">
      <c r="A374" s="15">
        <v>371</v>
      </c>
      <c r="B374" s="17" t="str">
        <f>IF(A374&lt;='APR and payment'!$E$5,'Remaining debt'!A374,"")</f>
        <v/>
      </c>
      <c r="C374" s="21" t="str">
        <f>IF(A374&lt;='APR and payment'!$E$5,'APR and payment'!$E$24,"")</f>
        <v/>
      </c>
      <c r="D374" s="21" t="str">
        <f>IF(A374&lt;='APR and payment'!$E$5,C374-E374,"")</f>
        <v/>
      </c>
      <c r="E374" s="21" t="str">
        <f>IF(A374&lt;='APR and payment'!$E$5,F373*'APR and payment'!$E$6/'APR and payment'!$L$9,"")</f>
        <v/>
      </c>
      <c r="F374" s="21" t="str">
        <f>IF(A374&lt;='APR and payment'!$E$5,F373-D374,"")</f>
        <v/>
      </c>
    </row>
    <row r="375" spans="1:6" x14ac:dyDescent="0.25">
      <c r="A375" s="15">
        <v>372</v>
      </c>
      <c r="B375" s="17" t="str">
        <f>IF(A375&lt;='APR and payment'!$E$5,'Remaining debt'!A375,"")</f>
        <v/>
      </c>
      <c r="C375" s="21" t="str">
        <f>IF(A375&lt;='APR and payment'!$E$5,'APR and payment'!$E$24,"")</f>
        <v/>
      </c>
      <c r="D375" s="21" t="str">
        <f>IF(A375&lt;='APR and payment'!$E$5,C375-E375,"")</f>
        <v/>
      </c>
      <c r="E375" s="21" t="str">
        <f>IF(A375&lt;='APR and payment'!$E$5,F374*'APR and payment'!$E$6/'APR and payment'!$L$9,"")</f>
        <v/>
      </c>
      <c r="F375" s="21" t="str">
        <f>IF(A375&lt;='APR and payment'!$E$5,F374-D375,"")</f>
        <v/>
      </c>
    </row>
    <row r="376" spans="1:6" x14ac:dyDescent="0.25">
      <c r="A376" s="15">
        <v>373</v>
      </c>
      <c r="B376" s="17" t="str">
        <f>IF(A376&lt;='APR and payment'!$E$5,'Remaining debt'!A376,"")</f>
        <v/>
      </c>
      <c r="C376" s="21" t="str">
        <f>IF(A376&lt;='APR and payment'!$E$5,'APR and payment'!$E$24,"")</f>
        <v/>
      </c>
      <c r="D376" s="21" t="str">
        <f>IF(A376&lt;='APR and payment'!$E$5,C376-E376,"")</f>
        <v/>
      </c>
      <c r="E376" s="21" t="str">
        <f>IF(A376&lt;='APR and payment'!$E$5,F375*'APR and payment'!$E$6/'APR and payment'!$L$9,"")</f>
        <v/>
      </c>
      <c r="F376" s="21" t="str">
        <f>IF(A376&lt;='APR and payment'!$E$5,F375-D376,"")</f>
        <v/>
      </c>
    </row>
    <row r="377" spans="1:6" x14ac:dyDescent="0.25">
      <c r="A377" s="15">
        <v>374</v>
      </c>
      <c r="B377" s="17" t="str">
        <f>IF(A377&lt;='APR and payment'!$E$5,'Remaining debt'!A377,"")</f>
        <v/>
      </c>
      <c r="C377" s="21" t="str">
        <f>IF(A377&lt;='APR and payment'!$E$5,'APR and payment'!$E$24,"")</f>
        <v/>
      </c>
      <c r="D377" s="21" t="str">
        <f>IF(A377&lt;='APR and payment'!$E$5,C377-E377,"")</f>
        <v/>
      </c>
      <c r="E377" s="21" t="str">
        <f>IF(A377&lt;='APR and payment'!$E$5,F376*'APR and payment'!$E$6/'APR and payment'!$L$9,"")</f>
        <v/>
      </c>
      <c r="F377" s="21" t="str">
        <f>IF(A377&lt;='APR and payment'!$E$5,F376-D377,"")</f>
        <v/>
      </c>
    </row>
    <row r="378" spans="1:6" x14ac:dyDescent="0.25">
      <c r="A378" s="15">
        <v>375</v>
      </c>
      <c r="B378" s="17" t="str">
        <f>IF(A378&lt;='APR and payment'!$E$5,'Remaining debt'!A378,"")</f>
        <v/>
      </c>
      <c r="C378" s="21" t="str">
        <f>IF(A378&lt;='APR and payment'!$E$5,'APR and payment'!$E$24,"")</f>
        <v/>
      </c>
      <c r="D378" s="21" t="str">
        <f>IF(A378&lt;='APR and payment'!$E$5,C378-E378,"")</f>
        <v/>
      </c>
      <c r="E378" s="21" t="str">
        <f>IF(A378&lt;='APR and payment'!$E$5,F377*'APR and payment'!$E$6/'APR and payment'!$L$9,"")</f>
        <v/>
      </c>
      <c r="F378" s="21" t="str">
        <f>IF(A378&lt;='APR and payment'!$E$5,F377-D378,"")</f>
        <v/>
      </c>
    </row>
    <row r="379" spans="1:6" x14ac:dyDescent="0.25">
      <c r="A379" s="15">
        <v>376</v>
      </c>
      <c r="B379" s="17" t="str">
        <f>IF(A379&lt;='APR and payment'!$E$5,'Remaining debt'!A379,"")</f>
        <v/>
      </c>
      <c r="C379" s="21" t="str">
        <f>IF(A379&lt;='APR and payment'!$E$5,'APR and payment'!$E$24,"")</f>
        <v/>
      </c>
      <c r="D379" s="21" t="str">
        <f>IF(A379&lt;='APR and payment'!$E$5,C379-E379,"")</f>
        <v/>
      </c>
      <c r="E379" s="21" t="str">
        <f>IF(A379&lt;='APR and payment'!$E$5,F378*'APR and payment'!$E$6/'APR and payment'!$L$9,"")</f>
        <v/>
      </c>
      <c r="F379" s="21" t="str">
        <f>IF(A379&lt;='APR and payment'!$E$5,F378-D379,"")</f>
        <v/>
      </c>
    </row>
    <row r="380" spans="1:6" x14ac:dyDescent="0.25">
      <c r="A380" s="15">
        <v>377</v>
      </c>
      <c r="B380" s="17" t="str">
        <f>IF(A380&lt;='APR and payment'!$E$5,'Remaining debt'!A380,"")</f>
        <v/>
      </c>
      <c r="C380" s="21" t="str">
        <f>IF(A380&lt;='APR and payment'!$E$5,'APR and payment'!$E$24,"")</f>
        <v/>
      </c>
      <c r="D380" s="21" t="str">
        <f>IF(A380&lt;='APR and payment'!$E$5,C380-E380,"")</f>
        <v/>
      </c>
      <c r="E380" s="21" t="str">
        <f>IF(A380&lt;='APR and payment'!$E$5,F379*'APR and payment'!$E$6/'APR and payment'!$L$9,"")</f>
        <v/>
      </c>
      <c r="F380" s="21" t="str">
        <f>IF(A380&lt;='APR and payment'!$E$5,F379-D380,"")</f>
        <v/>
      </c>
    </row>
    <row r="381" spans="1:6" x14ac:dyDescent="0.25">
      <c r="A381" s="15">
        <v>378</v>
      </c>
      <c r="B381" s="17" t="str">
        <f>IF(A381&lt;='APR and payment'!$E$5,'Remaining debt'!A381,"")</f>
        <v/>
      </c>
      <c r="C381" s="21" t="str">
        <f>IF(A381&lt;='APR and payment'!$E$5,'APR and payment'!$E$24,"")</f>
        <v/>
      </c>
      <c r="D381" s="21" t="str">
        <f>IF(A381&lt;='APR and payment'!$E$5,C381-E381,"")</f>
        <v/>
      </c>
      <c r="E381" s="21" t="str">
        <f>IF(A381&lt;='APR and payment'!$E$5,F380*'APR and payment'!$E$6/'APR and payment'!$L$9,"")</f>
        <v/>
      </c>
      <c r="F381" s="21" t="str">
        <f>IF(A381&lt;='APR and payment'!$E$5,F380-D381,"")</f>
        <v/>
      </c>
    </row>
    <row r="382" spans="1:6" x14ac:dyDescent="0.25">
      <c r="A382" s="15">
        <v>379</v>
      </c>
      <c r="B382" s="17" t="str">
        <f>IF(A382&lt;='APR and payment'!$E$5,'Remaining debt'!A382,"")</f>
        <v/>
      </c>
      <c r="C382" s="21" t="str">
        <f>IF(A382&lt;='APR and payment'!$E$5,'APR and payment'!$E$24,"")</f>
        <v/>
      </c>
      <c r="D382" s="21" t="str">
        <f>IF(A382&lt;='APR and payment'!$E$5,C382-E382,"")</f>
        <v/>
      </c>
      <c r="E382" s="21" t="str">
        <f>IF(A382&lt;='APR and payment'!$E$5,F381*'APR and payment'!$E$6/'APR and payment'!$L$9,"")</f>
        <v/>
      </c>
      <c r="F382" s="21" t="str">
        <f>IF(A382&lt;='APR and payment'!$E$5,F381-D382,"")</f>
        <v/>
      </c>
    </row>
    <row r="383" spans="1:6" x14ac:dyDescent="0.25">
      <c r="A383" s="15">
        <v>380</v>
      </c>
      <c r="B383" s="17" t="str">
        <f>IF(A383&lt;='APR and payment'!$E$5,'Remaining debt'!A383,"")</f>
        <v/>
      </c>
      <c r="C383" s="21" t="str">
        <f>IF(A383&lt;='APR and payment'!$E$5,'APR and payment'!$E$24,"")</f>
        <v/>
      </c>
      <c r="D383" s="21" t="str">
        <f>IF(A383&lt;='APR and payment'!$E$5,C383-E383,"")</f>
        <v/>
      </c>
      <c r="E383" s="21" t="str">
        <f>IF(A383&lt;='APR and payment'!$E$5,F382*'APR and payment'!$E$6/'APR and payment'!$L$9,"")</f>
        <v/>
      </c>
      <c r="F383" s="21" t="str">
        <f>IF(A383&lt;='APR and payment'!$E$5,F382-D383,"")</f>
        <v/>
      </c>
    </row>
    <row r="384" spans="1:6" x14ac:dyDescent="0.25">
      <c r="A384" s="15">
        <v>381</v>
      </c>
      <c r="B384" s="17" t="str">
        <f>IF(A384&lt;='APR and payment'!$E$5,'Remaining debt'!A384,"")</f>
        <v/>
      </c>
      <c r="C384" s="21" t="str">
        <f>IF(A384&lt;='APR and payment'!$E$5,'APR and payment'!$E$24,"")</f>
        <v/>
      </c>
      <c r="D384" s="21" t="str">
        <f>IF(A384&lt;='APR and payment'!$E$5,C384-E384,"")</f>
        <v/>
      </c>
      <c r="E384" s="21" t="str">
        <f>IF(A384&lt;='APR and payment'!$E$5,F383*'APR and payment'!$E$6/'APR and payment'!$L$9,"")</f>
        <v/>
      </c>
      <c r="F384" s="21" t="str">
        <f>IF(A384&lt;='APR and payment'!$E$5,F383-D384,"")</f>
        <v/>
      </c>
    </row>
    <row r="385" spans="1:6" x14ac:dyDescent="0.25">
      <c r="A385" s="15">
        <v>382</v>
      </c>
      <c r="B385" s="17" t="str">
        <f>IF(A385&lt;='APR and payment'!$E$5,'Remaining debt'!A385,"")</f>
        <v/>
      </c>
      <c r="C385" s="21" t="str">
        <f>IF(A385&lt;='APR and payment'!$E$5,'APR and payment'!$E$24,"")</f>
        <v/>
      </c>
      <c r="D385" s="21" t="str">
        <f>IF(A385&lt;='APR and payment'!$E$5,C385-E385,"")</f>
        <v/>
      </c>
      <c r="E385" s="21" t="str">
        <f>IF(A385&lt;='APR and payment'!$E$5,F384*'APR and payment'!$E$6/'APR and payment'!$L$9,"")</f>
        <v/>
      </c>
      <c r="F385" s="21" t="str">
        <f>IF(A385&lt;='APR and payment'!$E$5,F384-D385,"")</f>
        <v/>
      </c>
    </row>
    <row r="386" spans="1:6" x14ac:dyDescent="0.25">
      <c r="A386" s="15">
        <v>383</v>
      </c>
      <c r="B386" s="17" t="str">
        <f>IF(A386&lt;='APR and payment'!$E$5,'Remaining debt'!A386,"")</f>
        <v/>
      </c>
      <c r="C386" s="21" t="str">
        <f>IF(A386&lt;='APR and payment'!$E$5,'APR and payment'!$E$24,"")</f>
        <v/>
      </c>
      <c r="D386" s="21" t="str">
        <f>IF(A386&lt;='APR and payment'!$E$5,C386-E386,"")</f>
        <v/>
      </c>
      <c r="E386" s="21" t="str">
        <f>IF(A386&lt;='APR and payment'!$E$5,F385*'APR and payment'!$E$6/'APR and payment'!$L$9,"")</f>
        <v/>
      </c>
      <c r="F386" s="21" t="str">
        <f>IF(A386&lt;='APR and payment'!$E$5,F385-D386,"")</f>
        <v/>
      </c>
    </row>
    <row r="387" spans="1:6" x14ac:dyDescent="0.25">
      <c r="A387" s="15">
        <v>384</v>
      </c>
      <c r="B387" s="17" t="str">
        <f>IF(A387&lt;='APR and payment'!$E$5,'Remaining debt'!A387,"")</f>
        <v/>
      </c>
      <c r="C387" s="21" t="str">
        <f>IF(A387&lt;='APR and payment'!$E$5,'APR and payment'!$E$24,"")</f>
        <v/>
      </c>
      <c r="D387" s="21" t="str">
        <f>IF(A387&lt;='APR and payment'!$E$5,C387-E387,"")</f>
        <v/>
      </c>
      <c r="E387" s="21" t="str">
        <f>IF(A387&lt;='APR and payment'!$E$5,F386*'APR and payment'!$E$6/'APR and payment'!$L$9,"")</f>
        <v/>
      </c>
      <c r="F387" s="21" t="str">
        <f>IF(A387&lt;='APR and payment'!$E$5,F386-D387,"")</f>
        <v/>
      </c>
    </row>
    <row r="388" spans="1:6" x14ac:dyDescent="0.25">
      <c r="A388" s="15">
        <v>385</v>
      </c>
      <c r="B388" s="17" t="str">
        <f>IF(A388&lt;='APR and payment'!$E$5,'Remaining debt'!A388,"")</f>
        <v/>
      </c>
      <c r="C388" s="21" t="str">
        <f>IF(A388&lt;='APR and payment'!$E$5,'APR and payment'!$E$24,"")</f>
        <v/>
      </c>
      <c r="D388" s="21" t="str">
        <f>IF(A388&lt;='APR and payment'!$E$5,C388-E388,"")</f>
        <v/>
      </c>
      <c r="E388" s="21" t="str">
        <f>IF(A388&lt;='APR and payment'!$E$5,F387*'APR and payment'!$E$6/'APR and payment'!$L$9,"")</f>
        <v/>
      </c>
      <c r="F388" s="21" t="str">
        <f>IF(A388&lt;='APR and payment'!$E$5,F387-D388,"")</f>
        <v/>
      </c>
    </row>
    <row r="389" spans="1:6" x14ac:dyDescent="0.25">
      <c r="A389" s="15">
        <v>386</v>
      </c>
      <c r="B389" s="17" t="str">
        <f>IF(A389&lt;='APR and payment'!$E$5,'Remaining debt'!A389,"")</f>
        <v/>
      </c>
      <c r="C389" s="21" t="str">
        <f>IF(A389&lt;='APR and payment'!$E$5,'APR and payment'!$E$24,"")</f>
        <v/>
      </c>
      <c r="D389" s="21" t="str">
        <f>IF(A389&lt;='APR and payment'!$E$5,C389-E389,"")</f>
        <v/>
      </c>
      <c r="E389" s="21" t="str">
        <f>IF(A389&lt;='APR and payment'!$E$5,F388*'APR and payment'!$E$6/'APR and payment'!$L$9,"")</f>
        <v/>
      </c>
      <c r="F389" s="21" t="str">
        <f>IF(A389&lt;='APR and payment'!$E$5,F388-D389,"")</f>
        <v/>
      </c>
    </row>
    <row r="390" spans="1:6" x14ac:dyDescent="0.25">
      <c r="A390" s="15">
        <v>387</v>
      </c>
      <c r="B390" s="17" t="str">
        <f>IF(A390&lt;='APR and payment'!$E$5,'Remaining debt'!A390,"")</f>
        <v/>
      </c>
      <c r="C390" s="21" t="str">
        <f>IF(A390&lt;='APR and payment'!$E$5,'APR and payment'!$E$24,"")</f>
        <v/>
      </c>
      <c r="D390" s="21" t="str">
        <f>IF(A390&lt;='APR and payment'!$E$5,C390-E390,"")</f>
        <v/>
      </c>
      <c r="E390" s="21" t="str">
        <f>IF(A390&lt;='APR and payment'!$E$5,F389*'APR and payment'!$E$6/'APR and payment'!$L$9,"")</f>
        <v/>
      </c>
      <c r="F390" s="21" t="str">
        <f>IF(A390&lt;='APR and payment'!$E$5,F389-D390,"")</f>
        <v/>
      </c>
    </row>
    <row r="391" spans="1:6" x14ac:dyDescent="0.25">
      <c r="A391" s="15">
        <v>388</v>
      </c>
      <c r="B391" s="17" t="str">
        <f>IF(A391&lt;='APR and payment'!$E$5,'Remaining debt'!A391,"")</f>
        <v/>
      </c>
      <c r="C391" s="21" t="str">
        <f>IF(A391&lt;='APR and payment'!$E$5,'APR and payment'!$E$24,"")</f>
        <v/>
      </c>
      <c r="D391" s="21" t="str">
        <f>IF(A391&lt;='APR and payment'!$E$5,C391-E391,"")</f>
        <v/>
      </c>
      <c r="E391" s="21" t="str">
        <f>IF(A391&lt;='APR and payment'!$E$5,F390*'APR and payment'!$E$6/'APR and payment'!$L$9,"")</f>
        <v/>
      </c>
      <c r="F391" s="21" t="str">
        <f>IF(A391&lt;='APR and payment'!$E$5,F390-D391,"")</f>
        <v/>
      </c>
    </row>
    <row r="392" spans="1:6" x14ac:dyDescent="0.25">
      <c r="A392" s="15">
        <v>389</v>
      </c>
      <c r="B392" s="17" t="str">
        <f>IF(A392&lt;='APR and payment'!$E$5,'Remaining debt'!A392,"")</f>
        <v/>
      </c>
      <c r="C392" s="21" t="str">
        <f>IF(A392&lt;='APR and payment'!$E$5,'APR and payment'!$E$24,"")</f>
        <v/>
      </c>
      <c r="D392" s="21" t="str">
        <f>IF(A392&lt;='APR and payment'!$E$5,C392-E392,"")</f>
        <v/>
      </c>
      <c r="E392" s="21" t="str">
        <f>IF(A392&lt;='APR and payment'!$E$5,F391*'APR and payment'!$E$6/'APR and payment'!$L$9,"")</f>
        <v/>
      </c>
      <c r="F392" s="21" t="str">
        <f>IF(A392&lt;='APR and payment'!$E$5,F391-D392,"")</f>
        <v/>
      </c>
    </row>
    <row r="393" spans="1:6" x14ac:dyDescent="0.25">
      <c r="A393" s="15">
        <v>390</v>
      </c>
      <c r="B393" s="17" t="str">
        <f>IF(A393&lt;='APR and payment'!$E$5,'Remaining debt'!A393,"")</f>
        <v/>
      </c>
      <c r="C393" s="21" t="str">
        <f>IF(A393&lt;='APR and payment'!$E$5,'APR and payment'!$E$24,"")</f>
        <v/>
      </c>
      <c r="D393" s="21" t="str">
        <f>IF(A393&lt;='APR and payment'!$E$5,C393-E393,"")</f>
        <v/>
      </c>
      <c r="E393" s="21" t="str">
        <f>IF(A393&lt;='APR and payment'!$E$5,F392*'APR and payment'!$E$6/'APR and payment'!$L$9,"")</f>
        <v/>
      </c>
      <c r="F393" s="21" t="str">
        <f>IF(A393&lt;='APR and payment'!$E$5,F392-D393,"")</f>
        <v/>
      </c>
    </row>
    <row r="394" spans="1:6" x14ac:dyDescent="0.25">
      <c r="A394" s="15">
        <v>391</v>
      </c>
      <c r="B394" s="17" t="str">
        <f>IF(A394&lt;='APR and payment'!$E$5,'Remaining debt'!A394,"")</f>
        <v/>
      </c>
      <c r="C394" s="21" t="str">
        <f>IF(A394&lt;='APR and payment'!$E$5,'APR and payment'!$E$24,"")</f>
        <v/>
      </c>
      <c r="D394" s="21" t="str">
        <f>IF(A394&lt;='APR and payment'!$E$5,C394-E394,"")</f>
        <v/>
      </c>
      <c r="E394" s="21" t="str">
        <f>IF(A394&lt;='APR and payment'!$E$5,F393*'APR and payment'!$E$6/'APR and payment'!$L$9,"")</f>
        <v/>
      </c>
      <c r="F394" s="21" t="str">
        <f>IF(A394&lt;='APR and payment'!$E$5,F393-D394,"")</f>
        <v/>
      </c>
    </row>
    <row r="395" spans="1:6" x14ac:dyDescent="0.25">
      <c r="A395" s="15">
        <v>392</v>
      </c>
      <c r="B395" s="17" t="str">
        <f>IF(A395&lt;='APR and payment'!$E$5,'Remaining debt'!A395,"")</f>
        <v/>
      </c>
      <c r="C395" s="21" t="str">
        <f>IF(A395&lt;='APR and payment'!$E$5,'APR and payment'!$E$24,"")</f>
        <v/>
      </c>
      <c r="D395" s="21" t="str">
        <f>IF(A395&lt;='APR and payment'!$E$5,C395-E395,"")</f>
        <v/>
      </c>
      <c r="E395" s="21" t="str">
        <f>IF(A395&lt;='APR and payment'!$E$5,F394*'APR and payment'!$E$6/'APR and payment'!$L$9,"")</f>
        <v/>
      </c>
      <c r="F395" s="21" t="str">
        <f>IF(A395&lt;='APR and payment'!$E$5,F394-D395,"")</f>
        <v/>
      </c>
    </row>
    <row r="396" spans="1:6" x14ac:dyDescent="0.25">
      <c r="A396" s="15">
        <v>393</v>
      </c>
      <c r="B396" s="17" t="str">
        <f>IF(A396&lt;='APR and payment'!$E$5,'Remaining debt'!A396,"")</f>
        <v/>
      </c>
      <c r="C396" s="21" t="str">
        <f>IF(A396&lt;='APR and payment'!$E$5,'APR and payment'!$E$24,"")</f>
        <v/>
      </c>
      <c r="D396" s="21" t="str">
        <f>IF(A396&lt;='APR and payment'!$E$5,C396-E396,"")</f>
        <v/>
      </c>
      <c r="E396" s="21" t="str">
        <f>IF(A396&lt;='APR and payment'!$E$5,F395*'APR and payment'!$E$6/'APR and payment'!$L$9,"")</f>
        <v/>
      </c>
      <c r="F396" s="21" t="str">
        <f>IF(A396&lt;='APR and payment'!$E$5,F395-D396,"")</f>
        <v/>
      </c>
    </row>
    <row r="397" spans="1:6" x14ac:dyDescent="0.25">
      <c r="A397" s="15">
        <v>394</v>
      </c>
      <c r="B397" s="17" t="str">
        <f>IF(A397&lt;='APR and payment'!$E$5,'Remaining debt'!A397,"")</f>
        <v/>
      </c>
      <c r="C397" s="21" t="str">
        <f>IF(A397&lt;='APR and payment'!$E$5,'APR and payment'!$E$24,"")</f>
        <v/>
      </c>
      <c r="D397" s="21" t="str">
        <f>IF(A397&lt;='APR and payment'!$E$5,C397-E397,"")</f>
        <v/>
      </c>
      <c r="E397" s="21" t="str">
        <f>IF(A397&lt;='APR and payment'!$E$5,F396*'APR and payment'!$E$6/'APR and payment'!$L$9,"")</f>
        <v/>
      </c>
      <c r="F397" s="21" t="str">
        <f>IF(A397&lt;='APR and payment'!$E$5,F396-D397,"")</f>
        <v/>
      </c>
    </row>
    <row r="398" spans="1:6" x14ac:dyDescent="0.25">
      <c r="A398" s="15">
        <v>395</v>
      </c>
      <c r="B398" s="17" t="str">
        <f>IF(A398&lt;='APR and payment'!$E$5,'Remaining debt'!A398,"")</f>
        <v/>
      </c>
      <c r="C398" s="21" t="str">
        <f>IF(A398&lt;='APR and payment'!$E$5,'APR and payment'!$E$24,"")</f>
        <v/>
      </c>
      <c r="D398" s="21" t="str">
        <f>IF(A398&lt;='APR and payment'!$E$5,C398-E398,"")</f>
        <v/>
      </c>
      <c r="E398" s="21" t="str">
        <f>IF(A398&lt;='APR and payment'!$E$5,F397*'APR and payment'!$E$6/'APR and payment'!$L$9,"")</f>
        <v/>
      </c>
      <c r="F398" s="21" t="str">
        <f>IF(A398&lt;='APR and payment'!$E$5,F397-D398,"")</f>
        <v/>
      </c>
    </row>
    <row r="399" spans="1:6" x14ac:dyDescent="0.25">
      <c r="A399" s="15">
        <v>396</v>
      </c>
      <c r="B399" s="17" t="str">
        <f>IF(A399&lt;='APR and payment'!$E$5,'Remaining debt'!A399,"")</f>
        <v/>
      </c>
      <c r="C399" s="21" t="str">
        <f>IF(A399&lt;='APR and payment'!$E$5,'APR and payment'!$E$24,"")</f>
        <v/>
      </c>
      <c r="D399" s="21" t="str">
        <f>IF(A399&lt;='APR and payment'!$E$5,C399-E399,"")</f>
        <v/>
      </c>
      <c r="E399" s="21" t="str">
        <f>IF(A399&lt;='APR and payment'!$E$5,F398*'APR and payment'!$E$6/'APR and payment'!$L$9,"")</f>
        <v/>
      </c>
      <c r="F399" s="21" t="str">
        <f>IF(A399&lt;='APR and payment'!$E$5,F398-D399,"")</f>
        <v/>
      </c>
    </row>
    <row r="400" spans="1:6" x14ac:dyDescent="0.25">
      <c r="A400" s="15">
        <v>397</v>
      </c>
      <c r="B400" s="17" t="str">
        <f>IF(A400&lt;='APR and payment'!$E$5,'Remaining debt'!A400,"")</f>
        <v/>
      </c>
      <c r="C400" s="21" t="str">
        <f>IF(A400&lt;='APR and payment'!$E$5,'APR and payment'!$E$24,"")</f>
        <v/>
      </c>
      <c r="D400" s="21" t="str">
        <f>IF(A400&lt;='APR and payment'!$E$5,C400-E400,"")</f>
        <v/>
      </c>
      <c r="E400" s="21" t="str">
        <f>IF(A400&lt;='APR and payment'!$E$5,F399*'APR and payment'!$E$6/'APR and payment'!$L$9,"")</f>
        <v/>
      </c>
      <c r="F400" s="21" t="str">
        <f>IF(A400&lt;='APR and payment'!$E$5,F399-D400,"")</f>
        <v/>
      </c>
    </row>
    <row r="401" spans="1:6" x14ac:dyDescent="0.25">
      <c r="A401" s="15">
        <v>398</v>
      </c>
      <c r="B401" s="17" t="str">
        <f>IF(A401&lt;='APR and payment'!$E$5,'Remaining debt'!A401,"")</f>
        <v/>
      </c>
      <c r="C401" s="21" t="str">
        <f>IF(A401&lt;='APR and payment'!$E$5,'APR and payment'!$E$24,"")</f>
        <v/>
      </c>
      <c r="D401" s="21" t="str">
        <f>IF(A401&lt;='APR and payment'!$E$5,C401-E401,"")</f>
        <v/>
      </c>
      <c r="E401" s="21" t="str">
        <f>IF(A401&lt;='APR and payment'!$E$5,F400*'APR and payment'!$E$6/'APR and payment'!$L$9,"")</f>
        <v/>
      </c>
      <c r="F401" s="21" t="str">
        <f>IF(A401&lt;='APR and payment'!$E$5,F400-D401,"")</f>
        <v/>
      </c>
    </row>
    <row r="402" spans="1:6" x14ac:dyDescent="0.25">
      <c r="A402" s="15">
        <v>399</v>
      </c>
      <c r="B402" s="17" t="str">
        <f>IF(A402&lt;='APR and payment'!$E$5,'Remaining debt'!A402,"")</f>
        <v/>
      </c>
      <c r="C402" s="21" t="str">
        <f>IF(A402&lt;='APR and payment'!$E$5,'APR and payment'!$E$24,"")</f>
        <v/>
      </c>
      <c r="D402" s="21" t="str">
        <f>IF(A402&lt;='APR and payment'!$E$5,C402-E402,"")</f>
        <v/>
      </c>
      <c r="E402" s="21" t="str">
        <f>IF(A402&lt;='APR and payment'!$E$5,F401*'APR and payment'!$E$6/'APR and payment'!$L$9,"")</f>
        <v/>
      </c>
      <c r="F402" s="21" t="str">
        <f>IF(A402&lt;='APR and payment'!$E$5,F401-D402,"")</f>
        <v/>
      </c>
    </row>
    <row r="403" spans="1:6" x14ac:dyDescent="0.25">
      <c r="A403" s="15">
        <v>400</v>
      </c>
      <c r="B403" s="17" t="str">
        <f>IF(A403&lt;='APR and payment'!$E$5,'Remaining debt'!A403,"")</f>
        <v/>
      </c>
      <c r="C403" s="21" t="str">
        <f>IF(A403&lt;='APR and payment'!$E$5,'APR and payment'!$E$24,"")</f>
        <v/>
      </c>
      <c r="D403" s="21" t="str">
        <f>IF(A403&lt;='APR and payment'!$E$5,C403-E403,"")</f>
        <v/>
      </c>
      <c r="E403" s="21" t="str">
        <f>IF(A403&lt;='APR and payment'!$E$5,F402*'APR and payment'!$E$6/'APR and payment'!$L$9,"")</f>
        <v/>
      </c>
      <c r="F403" s="21" t="str">
        <f>IF(A403&lt;='APR and payment'!$E$5,F402-D403,"")</f>
        <v/>
      </c>
    </row>
    <row r="404" spans="1:6" x14ac:dyDescent="0.25">
      <c r="A404" s="15">
        <v>401</v>
      </c>
      <c r="B404" s="17" t="str">
        <f>IF(A404&lt;='APR and payment'!$E$5,'Remaining debt'!A404,"")</f>
        <v/>
      </c>
      <c r="C404" s="21" t="str">
        <f>IF(A404&lt;='APR and payment'!$E$5,'APR and payment'!$E$24,"")</f>
        <v/>
      </c>
      <c r="D404" s="21" t="str">
        <f>IF(A404&lt;='APR and payment'!$E$5,C404-E404,"")</f>
        <v/>
      </c>
      <c r="E404" s="21" t="str">
        <f>IF(A404&lt;='APR and payment'!$E$5,F403*'APR and payment'!$E$6/'APR and payment'!$L$9,"")</f>
        <v/>
      </c>
      <c r="F404" s="21" t="str">
        <f>IF(A404&lt;='APR and payment'!$E$5,F403-D404,"")</f>
        <v/>
      </c>
    </row>
    <row r="405" spans="1:6" x14ac:dyDescent="0.25">
      <c r="A405" s="15">
        <v>402</v>
      </c>
      <c r="B405" s="17" t="str">
        <f>IF(A405&lt;='APR and payment'!$E$5,'Remaining debt'!A405,"")</f>
        <v/>
      </c>
      <c r="C405" s="21" t="str">
        <f>IF(A405&lt;='APR and payment'!$E$5,'APR and payment'!$E$24,"")</f>
        <v/>
      </c>
      <c r="D405" s="21" t="str">
        <f>IF(A405&lt;='APR and payment'!$E$5,C405-E405,"")</f>
        <v/>
      </c>
      <c r="E405" s="21" t="str">
        <f>IF(A405&lt;='APR and payment'!$E$5,F404*'APR and payment'!$E$6/'APR and payment'!$L$9,"")</f>
        <v/>
      </c>
      <c r="F405" s="21" t="str">
        <f>IF(A405&lt;='APR and payment'!$E$5,F404-D405,"")</f>
        <v/>
      </c>
    </row>
    <row r="406" spans="1:6" x14ac:dyDescent="0.25">
      <c r="A406" s="15">
        <v>403</v>
      </c>
      <c r="B406" s="17" t="str">
        <f>IF(A406&lt;='APR and payment'!$E$5,'Remaining debt'!A406,"")</f>
        <v/>
      </c>
      <c r="C406" s="21" t="str">
        <f>IF(A406&lt;='APR and payment'!$E$5,'APR and payment'!$E$24,"")</f>
        <v/>
      </c>
      <c r="D406" s="21" t="str">
        <f>IF(A406&lt;='APR and payment'!$E$5,C406-E406,"")</f>
        <v/>
      </c>
      <c r="E406" s="21" t="str">
        <f>IF(A406&lt;='APR and payment'!$E$5,F405*'APR and payment'!$E$6/'APR and payment'!$L$9,"")</f>
        <v/>
      </c>
      <c r="F406" s="21" t="str">
        <f>IF(A406&lt;='APR and payment'!$E$5,F405-D406,"")</f>
        <v/>
      </c>
    </row>
    <row r="407" spans="1:6" x14ac:dyDescent="0.25">
      <c r="A407" s="15">
        <v>404</v>
      </c>
      <c r="B407" s="17" t="str">
        <f>IF(A407&lt;='APR and payment'!$E$5,'Remaining debt'!A407,"")</f>
        <v/>
      </c>
      <c r="C407" s="21" t="str">
        <f>IF(A407&lt;='APR and payment'!$E$5,'APR and payment'!$E$24,"")</f>
        <v/>
      </c>
      <c r="D407" s="21" t="str">
        <f>IF(A407&lt;='APR and payment'!$E$5,C407-E407,"")</f>
        <v/>
      </c>
      <c r="E407" s="21" t="str">
        <f>IF(A407&lt;='APR and payment'!$E$5,F406*'APR and payment'!$E$6/'APR and payment'!$L$9,"")</f>
        <v/>
      </c>
      <c r="F407" s="21" t="str">
        <f>IF(A407&lt;='APR and payment'!$E$5,F406-D407,"")</f>
        <v/>
      </c>
    </row>
    <row r="408" spans="1:6" x14ac:dyDescent="0.25">
      <c r="A408" s="15">
        <v>405</v>
      </c>
      <c r="B408" s="17" t="str">
        <f>IF(A408&lt;='APR and payment'!$E$5,'Remaining debt'!A408,"")</f>
        <v/>
      </c>
      <c r="C408" s="21" t="str">
        <f>IF(A408&lt;='APR and payment'!$E$5,'APR and payment'!$E$24,"")</f>
        <v/>
      </c>
      <c r="D408" s="21" t="str">
        <f>IF(A408&lt;='APR and payment'!$E$5,C408-E408,"")</f>
        <v/>
      </c>
      <c r="E408" s="21" t="str">
        <f>IF(A408&lt;='APR and payment'!$E$5,F407*'APR and payment'!$E$6/'APR and payment'!$L$9,"")</f>
        <v/>
      </c>
      <c r="F408" s="21" t="str">
        <f>IF(A408&lt;='APR and payment'!$E$5,F407-D408,"")</f>
        <v/>
      </c>
    </row>
    <row r="409" spans="1:6" x14ac:dyDescent="0.25">
      <c r="A409" s="15">
        <v>406</v>
      </c>
      <c r="B409" s="17" t="str">
        <f>IF(A409&lt;='APR and payment'!$E$5,'Remaining debt'!A409,"")</f>
        <v/>
      </c>
      <c r="C409" s="21" t="str">
        <f>IF(A409&lt;='APR and payment'!$E$5,'APR and payment'!$E$24,"")</f>
        <v/>
      </c>
      <c r="D409" s="21" t="str">
        <f>IF(A409&lt;='APR and payment'!$E$5,C409-E409,"")</f>
        <v/>
      </c>
      <c r="E409" s="21" t="str">
        <f>IF(A409&lt;='APR and payment'!$E$5,F408*'APR and payment'!$E$6/'APR and payment'!$L$9,"")</f>
        <v/>
      </c>
      <c r="F409" s="21" t="str">
        <f>IF(A409&lt;='APR and payment'!$E$5,F408-D409,"")</f>
        <v/>
      </c>
    </row>
    <row r="410" spans="1:6" x14ac:dyDescent="0.25">
      <c r="A410" s="15">
        <v>407</v>
      </c>
      <c r="B410" s="17" t="str">
        <f>IF(A410&lt;='APR and payment'!$E$5,'Remaining debt'!A410,"")</f>
        <v/>
      </c>
      <c r="C410" s="21" t="str">
        <f>IF(A410&lt;='APR and payment'!$E$5,'APR and payment'!$E$24,"")</f>
        <v/>
      </c>
      <c r="D410" s="21" t="str">
        <f>IF(A410&lt;='APR and payment'!$E$5,C410-E410,"")</f>
        <v/>
      </c>
      <c r="E410" s="21" t="str">
        <f>IF(A410&lt;='APR and payment'!$E$5,F409*'APR and payment'!$E$6/'APR and payment'!$L$9,"")</f>
        <v/>
      </c>
      <c r="F410" s="21" t="str">
        <f>IF(A410&lt;='APR and payment'!$E$5,F409-D410,"")</f>
        <v/>
      </c>
    </row>
    <row r="411" spans="1:6" x14ac:dyDescent="0.25">
      <c r="A411" s="15">
        <v>408</v>
      </c>
      <c r="B411" s="17" t="str">
        <f>IF(A411&lt;='APR and payment'!$E$5,'Remaining debt'!A411,"")</f>
        <v/>
      </c>
      <c r="C411" s="21" t="str">
        <f>IF(A411&lt;='APR and payment'!$E$5,'APR and payment'!$E$24,"")</f>
        <v/>
      </c>
      <c r="D411" s="21" t="str">
        <f>IF(A411&lt;='APR and payment'!$E$5,C411-E411,"")</f>
        <v/>
      </c>
      <c r="E411" s="21" t="str">
        <f>IF(A411&lt;='APR and payment'!$E$5,F410*'APR and payment'!$E$6/'APR and payment'!$L$9,"")</f>
        <v/>
      </c>
      <c r="F411" s="21" t="str">
        <f>IF(A411&lt;='APR and payment'!$E$5,F410-D411,"")</f>
        <v/>
      </c>
    </row>
    <row r="412" spans="1:6" x14ac:dyDescent="0.25">
      <c r="A412" s="15">
        <v>409</v>
      </c>
      <c r="B412" s="17" t="str">
        <f>IF(A412&lt;='APR and payment'!$E$5,'Remaining debt'!A412,"")</f>
        <v/>
      </c>
      <c r="C412" s="21" t="str">
        <f>IF(A412&lt;='APR and payment'!$E$5,'APR and payment'!$E$24,"")</f>
        <v/>
      </c>
      <c r="D412" s="21" t="str">
        <f>IF(A412&lt;='APR and payment'!$E$5,C412-E412,"")</f>
        <v/>
      </c>
      <c r="E412" s="21" t="str">
        <f>IF(A412&lt;='APR and payment'!$E$5,F411*'APR and payment'!$E$6/'APR and payment'!$L$9,"")</f>
        <v/>
      </c>
      <c r="F412" s="21" t="str">
        <f>IF(A412&lt;='APR and payment'!$E$5,F411-D412,"")</f>
        <v/>
      </c>
    </row>
    <row r="413" spans="1:6" x14ac:dyDescent="0.25">
      <c r="A413" s="15">
        <v>410</v>
      </c>
      <c r="B413" s="17" t="str">
        <f>IF(A413&lt;='APR and payment'!$E$5,'Remaining debt'!A413,"")</f>
        <v/>
      </c>
      <c r="C413" s="21" t="str">
        <f>IF(A413&lt;='APR and payment'!$E$5,'APR and payment'!$E$24,"")</f>
        <v/>
      </c>
      <c r="D413" s="21" t="str">
        <f>IF(A413&lt;='APR and payment'!$E$5,C413-E413,"")</f>
        <v/>
      </c>
      <c r="E413" s="21" t="str">
        <f>IF(A413&lt;='APR and payment'!$E$5,F412*'APR and payment'!$E$6/'APR and payment'!$L$9,"")</f>
        <v/>
      </c>
      <c r="F413" s="21" t="str">
        <f>IF(A413&lt;='APR and payment'!$E$5,F412-D413,"")</f>
        <v/>
      </c>
    </row>
    <row r="414" spans="1:6" x14ac:dyDescent="0.25">
      <c r="A414" s="15">
        <v>411</v>
      </c>
      <c r="B414" s="17" t="str">
        <f>IF(A414&lt;='APR and payment'!$E$5,'Remaining debt'!A414,"")</f>
        <v/>
      </c>
      <c r="C414" s="21" t="str">
        <f>IF(A414&lt;='APR and payment'!$E$5,'APR and payment'!$E$24,"")</f>
        <v/>
      </c>
      <c r="D414" s="21" t="str">
        <f>IF(A414&lt;='APR and payment'!$E$5,C414-E414,"")</f>
        <v/>
      </c>
      <c r="E414" s="21" t="str">
        <f>IF(A414&lt;='APR and payment'!$E$5,F413*'APR and payment'!$E$6/'APR and payment'!$L$9,"")</f>
        <v/>
      </c>
      <c r="F414" s="21" t="str">
        <f>IF(A414&lt;='APR and payment'!$E$5,F413-D414,"")</f>
        <v/>
      </c>
    </row>
    <row r="415" spans="1:6" x14ac:dyDescent="0.25">
      <c r="A415" s="15">
        <v>412</v>
      </c>
      <c r="B415" s="17" t="str">
        <f>IF(A415&lt;='APR and payment'!$E$5,'Remaining debt'!A415,"")</f>
        <v/>
      </c>
      <c r="C415" s="21" t="str">
        <f>IF(A415&lt;='APR and payment'!$E$5,'APR and payment'!$E$24,"")</f>
        <v/>
      </c>
      <c r="D415" s="21" t="str">
        <f>IF(A415&lt;='APR and payment'!$E$5,C415-E415,"")</f>
        <v/>
      </c>
      <c r="E415" s="21" t="str">
        <f>IF(A415&lt;='APR and payment'!$E$5,F414*'APR and payment'!$E$6/'APR and payment'!$L$9,"")</f>
        <v/>
      </c>
      <c r="F415" s="21" t="str">
        <f>IF(A415&lt;='APR and payment'!$E$5,F414-D415,"")</f>
        <v/>
      </c>
    </row>
    <row r="416" spans="1:6" x14ac:dyDescent="0.25">
      <c r="A416" s="15">
        <v>413</v>
      </c>
      <c r="B416" s="17" t="str">
        <f>IF(A416&lt;='APR and payment'!$E$5,'Remaining debt'!A416,"")</f>
        <v/>
      </c>
      <c r="C416" s="21" t="str">
        <f>IF(A416&lt;='APR and payment'!$E$5,'APR and payment'!$E$24,"")</f>
        <v/>
      </c>
      <c r="D416" s="21" t="str">
        <f>IF(A416&lt;='APR and payment'!$E$5,C416-E416,"")</f>
        <v/>
      </c>
      <c r="E416" s="21" t="str">
        <f>IF(A416&lt;='APR and payment'!$E$5,F415*'APR and payment'!$E$6/'APR and payment'!$L$9,"")</f>
        <v/>
      </c>
      <c r="F416" s="21" t="str">
        <f>IF(A416&lt;='APR and payment'!$E$5,F415-D416,"")</f>
        <v/>
      </c>
    </row>
    <row r="417" spans="1:6" x14ac:dyDescent="0.25">
      <c r="A417" s="15">
        <v>414</v>
      </c>
      <c r="B417" s="17" t="str">
        <f>IF(A417&lt;='APR and payment'!$E$5,'Remaining debt'!A417,"")</f>
        <v/>
      </c>
      <c r="C417" s="21" t="str">
        <f>IF(A417&lt;='APR and payment'!$E$5,'APR and payment'!$E$24,"")</f>
        <v/>
      </c>
      <c r="D417" s="21" t="str">
        <f>IF(A417&lt;='APR and payment'!$E$5,C417-E417,"")</f>
        <v/>
      </c>
      <c r="E417" s="21" t="str">
        <f>IF(A417&lt;='APR and payment'!$E$5,F416*'APR and payment'!$E$6/'APR and payment'!$L$9,"")</f>
        <v/>
      </c>
      <c r="F417" s="21" t="str">
        <f>IF(A417&lt;='APR and payment'!$E$5,F416-D417,"")</f>
        <v/>
      </c>
    </row>
    <row r="418" spans="1:6" x14ac:dyDescent="0.25">
      <c r="A418" s="15">
        <v>415</v>
      </c>
      <c r="B418" s="17" t="str">
        <f>IF(A418&lt;='APR and payment'!$E$5,'Remaining debt'!A418,"")</f>
        <v/>
      </c>
      <c r="C418" s="21" t="str">
        <f>IF(A418&lt;='APR and payment'!$E$5,'APR and payment'!$E$24,"")</f>
        <v/>
      </c>
      <c r="D418" s="21" t="str">
        <f>IF(A418&lt;='APR and payment'!$E$5,C418-E418,"")</f>
        <v/>
      </c>
      <c r="E418" s="21" t="str">
        <f>IF(A418&lt;='APR and payment'!$E$5,F417*'APR and payment'!$E$6/'APR and payment'!$L$9,"")</f>
        <v/>
      </c>
      <c r="F418" s="21" t="str">
        <f>IF(A418&lt;='APR and payment'!$E$5,F417-D418,"")</f>
        <v/>
      </c>
    </row>
    <row r="419" spans="1:6" x14ac:dyDescent="0.25">
      <c r="A419" s="15">
        <v>416</v>
      </c>
      <c r="B419" s="17" t="str">
        <f>IF(A419&lt;='APR and payment'!$E$5,'Remaining debt'!A419,"")</f>
        <v/>
      </c>
      <c r="C419" s="21" t="str">
        <f>IF(A419&lt;='APR and payment'!$E$5,'APR and payment'!$E$24,"")</f>
        <v/>
      </c>
      <c r="D419" s="21" t="str">
        <f>IF(A419&lt;='APR and payment'!$E$5,C419-E419,"")</f>
        <v/>
      </c>
      <c r="E419" s="21" t="str">
        <f>IF(A419&lt;='APR and payment'!$E$5,F418*'APR and payment'!$E$6/'APR and payment'!$L$9,"")</f>
        <v/>
      </c>
      <c r="F419" s="21" t="str">
        <f>IF(A419&lt;='APR and payment'!$E$5,F418-D419,"")</f>
        <v/>
      </c>
    </row>
    <row r="420" spans="1:6" x14ac:dyDescent="0.25">
      <c r="A420" s="15">
        <v>417</v>
      </c>
      <c r="B420" s="17" t="str">
        <f>IF(A420&lt;='APR and payment'!$E$5,'Remaining debt'!A420,"")</f>
        <v/>
      </c>
      <c r="C420" s="21" t="str">
        <f>IF(A420&lt;='APR and payment'!$E$5,'APR and payment'!$E$24,"")</f>
        <v/>
      </c>
      <c r="D420" s="21" t="str">
        <f>IF(A420&lt;='APR and payment'!$E$5,C420-E420,"")</f>
        <v/>
      </c>
      <c r="E420" s="21" t="str">
        <f>IF(A420&lt;='APR and payment'!$E$5,F419*'APR and payment'!$E$6/'APR and payment'!$L$9,"")</f>
        <v/>
      </c>
      <c r="F420" s="21" t="str">
        <f>IF(A420&lt;='APR and payment'!$E$5,F419-D420,"")</f>
        <v/>
      </c>
    </row>
    <row r="421" spans="1:6" x14ac:dyDescent="0.25">
      <c r="A421" s="15">
        <v>418</v>
      </c>
      <c r="B421" s="17" t="str">
        <f>IF(A421&lt;='APR and payment'!$E$5,'Remaining debt'!A421,"")</f>
        <v/>
      </c>
      <c r="C421" s="21" t="str">
        <f>IF(A421&lt;='APR and payment'!$E$5,'APR and payment'!$E$24,"")</f>
        <v/>
      </c>
      <c r="D421" s="21" t="str">
        <f>IF(A421&lt;='APR and payment'!$E$5,C421-E421,"")</f>
        <v/>
      </c>
      <c r="E421" s="21" t="str">
        <f>IF(A421&lt;='APR and payment'!$E$5,F420*'APR and payment'!$E$6/'APR and payment'!$L$9,"")</f>
        <v/>
      </c>
      <c r="F421" s="21" t="str">
        <f>IF(A421&lt;='APR and payment'!$E$5,F420-D421,"")</f>
        <v/>
      </c>
    </row>
    <row r="422" spans="1:6" x14ac:dyDescent="0.25">
      <c r="A422" s="15">
        <v>419</v>
      </c>
      <c r="B422" s="17" t="str">
        <f>IF(A422&lt;='APR and payment'!$E$5,'Remaining debt'!A422,"")</f>
        <v/>
      </c>
      <c r="C422" s="21" t="str">
        <f>IF(A422&lt;='APR and payment'!$E$5,'APR and payment'!$E$24,"")</f>
        <v/>
      </c>
      <c r="D422" s="21" t="str">
        <f>IF(A422&lt;='APR and payment'!$E$5,C422-E422,"")</f>
        <v/>
      </c>
      <c r="E422" s="21" t="str">
        <f>IF(A422&lt;='APR and payment'!$E$5,F421*'APR and payment'!$E$6/'APR and payment'!$L$9,"")</f>
        <v/>
      </c>
      <c r="F422" s="21" t="str">
        <f>IF(A422&lt;='APR and payment'!$E$5,F421-D422,"")</f>
        <v/>
      </c>
    </row>
    <row r="423" spans="1:6" x14ac:dyDescent="0.25">
      <c r="A423" s="15">
        <v>420</v>
      </c>
      <c r="B423" s="17" t="str">
        <f>IF(A423&lt;='APR and payment'!$E$5,'Remaining debt'!A423,"")</f>
        <v/>
      </c>
      <c r="C423" s="21" t="str">
        <f>IF(A423&lt;='APR and payment'!$E$5,'APR and payment'!$E$24,"")</f>
        <v/>
      </c>
      <c r="D423" s="21" t="str">
        <f>IF(A423&lt;='APR and payment'!$E$5,C423-E423,"")</f>
        <v/>
      </c>
      <c r="E423" s="21" t="str">
        <f>IF(A423&lt;='APR and payment'!$E$5,F422*'APR and payment'!$E$6/'APR and payment'!$L$9,"")</f>
        <v/>
      </c>
      <c r="F423" s="21" t="str">
        <f>IF(A423&lt;='APR and payment'!$E$5,F422-D423,"")</f>
        <v/>
      </c>
    </row>
    <row r="424" spans="1:6" x14ac:dyDescent="0.25">
      <c r="A424" s="15">
        <v>421</v>
      </c>
      <c r="B424" s="17" t="str">
        <f>IF(A424&lt;='APR and payment'!$E$5,'Remaining debt'!A424,"")</f>
        <v/>
      </c>
      <c r="C424" s="21" t="str">
        <f>IF(A424&lt;='APR and payment'!$E$5,'APR and payment'!$E$24,"")</f>
        <v/>
      </c>
      <c r="D424" s="21" t="str">
        <f>IF(A424&lt;='APR and payment'!$E$5,C424-E424,"")</f>
        <v/>
      </c>
      <c r="E424" s="21" t="str">
        <f>IF(A424&lt;='APR and payment'!$E$5,F423*'APR and payment'!$E$6/'APR and payment'!$L$9,"")</f>
        <v/>
      </c>
      <c r="F424" s="21" t="str">
        <f>IF(A424&lt;='APR and payment'!$E$5,F423-D424,"")</f>
        <v/>
      </c>
    </row>
    <row r="425" spans="1:6" x14ac:dyDescent="0.25">
      <c r="A425" s="15">
        <v>422</v>
      </c>
      <c r="B425" s="17" t="str">
        <f>IF(A425&lt;='APR and payment'!$E$5,'Remaining debt'!A425,"")</f>
        <v/>
      </c>
      <c r="C425" s="21" t="str">
        <f>IF(A425&lt;='APR and payment'!$E$5,'APR and payment'!$E$24,"")</f>
        <v/>
      </c>
      <c r="D425" s="21" t="str">
        <f>IF(A425&lt;='APR and payment'!$E$5,C425-E425,"")</f>
        <v/>
      </c>
      <c r="E425" s="21" t="str">
        <f>IF(A425&lt;='APR and payment'!$E$5,F424*'APR and payment'!$E$6/'APR and payment'!$L$9,"")</f>
        <v/>
      </c>
      <c r="F425" s="21" t="str">
        <f>IF(A425&lt;='APR and payment'!$E$5,F424-D425,"")</f>
        <v/>
      </c>
    </row>
    <row r="426" spans="1:6" x14ac:dyDescent="0.25">
      <c r="A426" s="15">
        <v>423</v>
      </c>
      <c r="B426" s="17" t="str">
        <f>IF(A426&lt;='APR and payment'!$E$5,'Remaining debt'!A426,"")</f>
        <v/>
      </c>
      <c r="C426" s="21" t="str">
        <f>IF(A426&lt;='APR and payment'!$E$5,'APR and payment'!$E$24,"")</f>
        <v/>
      </c>
      <c r="D426" s="21" t="str">
        <f>IF(A426&lt;='APR and payment'!$E$5,C426-E426,"")</f>
        <v/>
      </c>
      <c r="E426" s="21" t="str">
        <f>IF(A426&lt;='APR and payment'!$E$5,F425*'APR and payment'!$E$6/'APR and payment'!$L$9,"")</f>
        <v/>
      </c>
      <c r="F426" s="21" t="str">
        <f>IF(A426&lt;='APR and payment'!$E$5,F425-D426,"")</f>
        <v/>
      </c>
    </row>
    <row r="427" spans="1:6" x14ac:dyDescent="0.25">
      <c r="A427" s="15">
        <v>424</v>
      </c>
      <c r="B427" s="17" t="str">
        <f>IF(A427&lt;='APR and payment'!$E$5,'Remaining debt'!A427,"")</f>
        <v/>
      </c>
      <c r="C427" s="21" t="str">
        <f>IF(A427&lt;='APR and payment'!$E$5,'APR and payment'!$E$24,"")</f>
        <v/>
      </c>
      <c r="D427" s="21" t="str">
        <f>IF(A427&lt;='APR and payment'!$E$5,C427-E427,"")</f>
        <v/>
      </c>
      <c r="E427" s="21" t="str">
        <f>IF(A427&lt;='APR and payment'!$E$5,F426*'APR and payment'!$E$6/'APR and payment'!$L$9,"")</f>
        <v/>
      </c>
      <c r="F427" s="21" t="str">
        <f>IF(A427&lt;='APR and payment'!$E$5,F426-D427,"")</f>
        <v/>
      </c>
    </row>
    <row r="428" spans="1:6" x14ac:dyDescent="0.25">
      <c r="A428" s="15">
        <v>425</v>
      </c>
      <c r="B428" s="17" t="str">
        <f>IF(A428&lt;='APR and payment'!$E$5,'Remaining debt'!A428,"")</f>
        <v/>
      </c>
      <c r="C428" s="21" t="str">
        <f>IF(A428&lt;='APR and payment'!$E$5,'APR and payment'!$E$24,"")</f>
        <v/>
      </c>
      <c r="D428" s="21" t="str">
        <f>IF(A428&lt;='APR and payment'!$E$5,C428-E428,"")</f>
        <v/>
      </c>
      <c r="E428" s="21" t="str">
        <f>IF(A428&lt;='APR and payment'!$E$5,F427*'APR and payment'!$E$6/'APR and payment'!$L$9,"")</f>
        <v/>
      </c>
      <c r="F428" s="21" t="str">
        <f>IF(A428&lt;='APR and payment'!$E$5,F427-D428,"")</f>
        <v/>
      </c>
    </row>
    <row r="429" spans="1:6" x14ac:dyDescent="0.25">
      <c r="A429" s="15">
        <v>426</v>
      </c>
      <c r="B429" s="17" t="str">
        <f>IF(A429&lt;='APR and payment'!$E$5,'Remaining debt'!A429,"")</f>
        <v/>
      </c>
      <c r="C429" s="21" t="str">
        <f>IF(A429&lt;='APR and payment'!$E$5,'APR and payment'!$E$24,"")</f>
        <v/>
      </c>
      <c r="D429" s="21" t="str">
        <f>IF(A429&lt;='APR and payment'!$E$5,C429-E429,"")</f>
        <v/>
      </c>
      <c r="E429" s="21" t="str">
        <f>IF(A429&lt;='APR and payment'!$E$5,F428*'APR and payment'!$E$6/'APR and payment'!$L$9,"")</f>
        <v/>
      </c>
      <c r="F429" s="21" t="str">
        <f>IF(A429&lt;='APR and payment'!$E$5,F428-D429,"")</f>
        <v/>
      </c>
    </row>
    <row r="430" spans="1:6" x14ac:dyDescent="0.25">
      <c r="A430" s="15">
        <v>427</v>
      </c>
      <c r="B430" s="17" t="str">
        <f>IF(A430&lt;='APR and payment'!$E$5,'Remaining debt'!A430,"")</f>
        <v/>
      </c>
      <c r="C430" s="21" t="str">
        <f>IF(A430&lt;='APR and payment'!$E$5,'APR and payment'!$E$24,"")</f>
        <v/>
      </c>
      <c r="D430" s="21" t="str">
        <f>IF(A430&lt;='APR and payment'!$E$5,C430-E430,"")</f>
        <v/>
      </c>
      <c r="E430" s="21" t="str">
        <f>IF(A430&lt;='APR and payment'!$E$5,F429*'APR and payment'!$E$6/'APR and payment'!$L$9,"")</f>
        <v/>
      </c>
      <c r="F430" s="21" t="str">
        <f>IF(A430&lt;='APR and payment'!$E$5,F429-D430,"")</f>
        <v/>
      </c>
    </row>
    <row r="431" spans="1:6" x14ac:dyDescent="0.25">
      <c r="A431" s="15">
        <v>428</v>
      </c>
      <c r="B431" s="17" t="str">
        <f>IF(A431&lt;='APR and payment'!$E$5,'Remaining debt'!A431,"")</f>
        <v/>
      </c>
      <c r="C431" s="21" t="str">
        <f>IF(A431&lt;='APR and payment'!$E$5,'APR and payment'!$E$24,"")</f>
        <v/>
      </c>
      <c r="D431" s="21" t="str">
        <f>IF(A431&lt;='APR and payment'!$E$5,C431-E431,"")</f>
        <v/>
      </c>
      <c r="E431" s="21" t="str">
        <f>IF(A431&lt;='APR and payment'!$E$5,F430*'APR and payment'!$E$6/'APR and payment'!$L$9,"")</f>
        <v/>
      </c>
      <c r="F431" s="21" t="str">
        <f>IF(A431&lt;='APR and payment'!$E$5,F430-D431,"")</f>
        <v/>
      </c>
    </row>
    <row r="432" spans="1:6" x14ac:dyDescent="0.25">
      <c r="A432" s="15">
        <v>429</v>
      </c>
      <c r="B432" s="17" t="str">
        <f>IF(A432&lt;='APR and payment'!$E$5,'Remaining debt'!A432,"")</f>
        <v/>
      </c>
      <c r="C432" s="21" t="str">
        <f>IF(A432&lt;='APR and payment'!$E$5,'APR and payment'!$E$24,"")</f>
        <v/>
      </c>
      <c r="D432" s="21" t="str">
        <f>IF(A432&lt;='APR and payment'!$E$5,C432-E432,"")</f>
        <v/>
      </c>
      <c r="E432" s="21" t="str">
        <f>IF(A432&lt;='APR and payment'!$E$5,F431*'APR and payment'!$E$6/'APR and payment'!$L$9,"")</f>
        <v/>
      </c>
      <c r="F432" s="21" t="str">
        <f>IF(A432&lt;='APR and payment'!$E$5,F431-D432,"")</f>
        <v/>
      </c>
    </row>
    <row r="433" spans="1:6" x14ac:dyDescent="0.25">
      <c r="A433" s="15">
        <v>430</v>
      </c>
      <c r="B433" s="17" t="str">
        <f>IF(A433&lt;='APR and payment'!$E$5,'Remaining debt'!A433,"")</f>
        <v/>
      </c>
      <c r="C433" s="21" t="str">
        <f>IF(A433&lt;='APR and payment'!$E$5,'APR and payment'!$E$24,"")</f>
        <v/>
      </c>
      <c r="D433" s="21" t="str">
        <f>IF(A433&lt;='APR and payment'!$E$5,C433-E433,"")</f>
        <v/>
      </c>
      <c r="E433" s="21" t="str">
        <f>IF(A433&lt;='APR and payment'!$E$5,F432*'APR and payment'!$E$6/'APR and payment'!$L$9,"")</f>
        <v/>
      </c>
      <c r="F433" s="21" t="str">
        <f>IF(A433&lt;='APR and payment'!$E$5,F432-D433,"")</f>
        <v/>
      </c>
    </row>
    <row r="434" spans="1:6" x14ac:dyDescent="0.25">
      <c r="A434" s="15">
        <v>431</v>
      </c>
      <c r="B434" s="17" t="str">
        <f>IF(A434&lt;='APR and payment'!$E$5,'Remaining debt'!A434,"")</f>
        <v/>
      </c>
      <c r="C434" s="21" t="str">
        <f>IF(A434&lt;='APR and payment'!$E$5,'APR and payment'!$E$24,"")</f>
        <v/>
      </c>
      <c r="D434" s="21" t="str">
        <f>IF(A434&lt;='APR and payment'!$E$5,C434-E434,"")</f>
        <v/>
      </c>
      <c r="E434" s="21" t="str">
        <f>IF(A434&lt;='APR and payment'!$E$5,F433*'APR and payment'!$E$6/'APR and payment'!$L$9,"")</f>
        <v/>
      </c>
      <c r="F434" s="21" t="str">
        <f>IF(A434&lt;='APR and payment'!$E$5,F433-D434,"")</f>
        <v/>
      </c>
    </row>
    <row r="435" spans="1:6" x14ac:dyDescent="0.25">
      <c r="A435" s="15">
        <v>432</v>
      </c>
      <c r="B435" s="17" t="str">
        <f>IF(A435&lt;='APR and payment'!$E$5,'Remaining debt'!A435,"")</f>
        <v/>
      </c>
      <c r="C435" s="21" t="str">
        <f>IF(A435&lt;='APR and payment'!$E$5,'APR and payment'!$E$24,"")</f>
        <v/>
      </c>
      <c r="D435" s="21" t="str">
        <f>IF(A435&lt;='APR and payment'!$E$5,C435-E435,"")</f>
        <v/>
      </c>
      <c r="E435" s="21" t="str">
        <f>IF(A435&lt;='APR and payment'!$E$5,F434*'APR and payment'!$E$6/'APR and payment'!$L$9,"")</f>
        <v/>
      </c>
      <c r="F435" s="21" t="str">
        <f>IF(A435&lt;='APR and payment'!$E$5,F434-D435,"")</f>
        <v/>
      </c>
    </row>
    <row r="436" spans="1:6" x14ac:dyDescent="0.25">
      <c r="A436" s="15">
        <v>433</v>
      </c>
      <c r="B436" s="17" t="str">
        <f>IF(A436&lt;='APR and payment'!$E$5,'Remaining debt'!A436,"")</f>
        <v/>
      </c>
      <c r="C436" s="21" t="str">
        <f>IF(A436&lt;='APR and payment'!$E$5,'APR and payment'!$E$24,"")</f>
        <v/>
      </c>
      <c r="D436" s="21" t="str">
        <f>IF(A436&lt;='APR and payment'!$E$5,C436-E436,"")</f>
        <v/>
      </c>
      <c r="E436" s="21" t="str">
        <f>IF(A436&lt;='APR and payment'!$E$5,F435*'APR and payment'!$E$6/'APR and payment'!$L$9,"")</f>
        <v/>
      </c>
      <c r="F436" s="21" t="str">
        <f>IF(A436&lt;='APR and payment'!$E$5,F435-D436,"")</f>
        <v/>
      </c>
    </row>
    <row r="437" spans="1:6" x14ac:dyDescent="0.25">
      <c r="A437" s="15">
        <v>434</v>
      </c>
      <c r="B437" s="17" t="str">
        <f>IF(A437&lt;='APR and payment'!$E$5,'Remaining debt'!A437,"")</f>
        <v/>
      </c>
      <c r="C437" s="21" t="str">
        <f>IF(A437&lt;='APR and payment'!$E$5,'APR and payment'!$E$24,"")</f>
        <v/>
      </c>
      <c r="D437" s="21" t="str">
        <f>IF(A437&lt;='APR and payment'!$E$5,C437-E437,"")</f>
        <v/>
      </c>
      <c r="E437" s="21" t="str">
        <f>IF(A437&lt;='APR and payment'!$E$5,F436*'APR and payment'!$E$6/'APR and payment'!$L$9,"")</f>
        <v/>
      </c>
      <c r="F437" s="21" t="str">
        <f>IF(A437&lt;='APR and payment'!$E$5,F436-D437,"")</f>
        <v/>
      </c>
    </row>
    <row r="438" spans="1:6" x14ac:dyDescent="0.25">
      <c r="A438" s="15">
        <v>435</v>
      </c>
      <c r="B438" s="17" t="str">
        <f>IF(A438&lt;='APR and payment'!$E$5,'Remaining debt'!A438,"")</f>
        <v/>
      </c>
      <c r="C438" s="21" t="str">
        <f>IF(A438&lt;='APR and payment'!$E$5,'APR and payment'!$E$24,"")</f>
        <v/>
      </c>
      <c r="D438" s="21" t="str">
        <f>IF(A438&lt;='APR and payment'!$E$5,C438-E438,"")</f>
        <v/>
      </c>
      <c r="E438" s="21" t="str">
        <f>IF(A438&lt;='APR and payment'!$E$5,F437*'APR and payment'!$E$6/'APR and payment'!$L$9,"")</f>
        <v/>
      </c>
      <c r="F438" s="21" t="str">
        <f>IF(A438&lt;='APR and payment'!$E$5,F437-D438,"")</f>
        <v/>
      </c>
    </row>
    <row r="439" spans="1:6" x14ac:dyDescent="0.25">
      <c r="A439" s="15">
        <v>436</v>
      </c>
      <c r="B439" s="17" t="str">
        <f>IF(A439&lt;='APR and payment'!$E$5,'Remaining debt'!A439,"")</f>
        <v/>
      </c>
      <c r="C439" s="21" t="str">
        <f>IF(A439&lt;='APR and payment'!$E$5,'APR and payment'!$E$24,"")</f>
        <v/>
      </c>
      <c r="D439" s="21" t="str">
        <f>IF(A439&lt;='APR and payment'!$E$5,C439-E439,"")</f>
        <v/>
      </c>
      <c r="E439" s="21" t="str">
        <f>IF(A439&lt;='APR and payment'!$E$5,F438*'APR and payment'!$E$6/'APR and payment'!$L$9,"")</f>
        <v/>
      </c>
      <c r="F439" s="21" t="str">
        <f>IF(A439&lt;='APR and payment'!$E$5,F438-D439,"")</f>
        <v/>
      </c>
    </row>
    <row r="440" spans="1:6" x14ac:dyDescent="0.25">
      <c r="A440" s="15">
        <v>437</v>
      </c>
      <c r="B440" s="17" t="str">
        <f>IF(A440&lt;='APR and payment'!$E$5,'Remaining debt'!A440,"")</f>
        <v/>
      </c>
      <c r="C440" s="21" t="str">
        <f>IF(A440&lt;='APR and payment'!$E$5,'APR and payment'!$E$24,"")</f>
        <v/>
      </c>
      <c r="D440" s="21" t="str">
        <f>IF(A440&lt;='APR and payment'!$E$5,C440-E440,"")</f>
        <v/>
      </c>
      <c r="E440" s="21" t="str">
        <f>IF(A440&lt;='APR and payment'!$E$5,F439*'APR and payment'!$E$6/'APR and payment'!$L$9,"")</f>
        <v/>
      </c>
      <c r="F440" s="21" t="str">
        <f>IF(A440&lt;='APR and payment'!$E$5,F439-D440,"")</f>
        <v/>
      </c>
    </row>
    <row r="441" spans="1:6" x14ac:dyDescent="0.25">
      <c r="A441" s="15">
        <v>438</v>
      </c>
      <c r="B441" s="17" t="str">
        <f>IF(A441&lt;='APR and payment'!$E$5,'Remaining debt'!A441,"")</f>
        <v/>
      </c>
      <c r="C441" s="21" t="str">
        <f>IF(A441&lt;='APR and payment'!$E$5,'APR and payment'!$E$24,"")</f>
        <v/>
      </c>
      <c r="D441" s="21" t="str">
        <f>IF(A441&lt;='APR and payment'!$E$5,C441-E441,"")</f>
        <v/>
      </c>
      <c r="E441" s="21" t="str">
        <f>IF(A441&lt;='APR and payment'!$E$5,F440*'APR and payment'!$E$6/'APR and payment'!$L$9,"")</f>
        <v/>
      </c>
      <c r="F441" s="21" t="str">
        <f>IF(A441&lt;='APR and payment'!$E$5,F440-D441,"")</f>
        <v/>
      </c>
    </row>
    <row r="442" spans="1:6" x14ac:dyDescent="0.25">
      <c r="A442" s="15">
        <v>439</v>
      </c>
      <c r="B442" s="17" t="str">
        <f>IF(A442&lt;='APR and payment'!$E$5,'Remaining debt'!A442,"")</f>
        <v/>
      </c>
      <c r="C442" s="21" t="str">
        <f>IF(A442&lt;='APR and payment'!$E$5,'APR and payment'!$E$24,"")</f>
        <v/>
      </c>
      <c r="D442" s="21" t="str">
        <f>IF(A442&lt;='APR and payment'!$E$5,C442-E442,"")</f>
        <v/>
      </c>
      <c r="E442" s="21" t="str">
        <f>IF(A442&lt;='APR and payment'!$E$5,F441*'APR and payment'!$E$6/'APR and payment'!$L$9,"")</f>
        <v/>
      </c>
      <c r="F442" s="21" t="str">
        <f>IF(A442&lt;='APR and payment'!$E$5,F441-D442,"")</f>
        <v/>
      </c>
    </row>
    <row r="443" spans="1:6" x14ac:dyDescent="0.25">
      <c r="A443" s="15">
        <v>440</v>
      </c>
      <c r="B443" s="17" t="str">
        <f>IF(A443&lt;='APR and payment'!$E$5,'Remaining debt'!A443,"")</f>
        <v/>
      </c>
      <c r="C443" s="21" t="str">
        <f>IF(A443&lt;='APR and payment'!$E$5,'APR and payment'!$E$24,"")</f>
        <v/>
      </c>
      <c r="D443" s="21" t="str">
        <f>IF(A443&lt;='APR and payment'!$E$5,C443-E443,"")</f>
        <v/>
      </c>
      <c r="E443" s="21" t="str">
        <f>IF(A443&lt;='APR and payment'!$E$5,F442*'APR and payment'!$E$6/'APR and payment'!$L$9,"")</f>
        <v/>
      </c>
      <c r="F443" s="21" t="str">
        <f>IF(A443&lt;='APR and payment'!$E$5,F442-D443,"")</f>
        <v/>
      </c>
    </row>
    <row r="444" spans="1:6" x14ac:dyDescent="0.25">
      <c r="A444" s="15">
        <v>441</v>
      </c>
      <c r="B444" s="17" t="str">
        <f>IF(A444&lt;='APR and payment'!$E$5,'Remaining debt'!A444,"")</f>
        <v/>
      </c>
      <c r="C444" s="21" t="str">
        <f>IF(A444&lt;='APR and payment'!$E$5,'APR and payment'!$E$24,"")</f>
        <v/>
      </c>
      <c r="D444" s="21" t="str">
        <f>IF(A444&lt;='APR and payment'!$E$5,C444-E444,"")</f>
        <v/>
      </c>
      <c r="E444" s="21" t="str">
        <f>IF(A444&lt;='APR and payment'!$E$5,F443*'APR and payment'!$E$6/'APR and payment'!$L$9,"")</f>
        <v/>
      </c>
      <c r="F444" s="21" t="str">
        <f>IF(A444&lt;='APR and payment'!$E$5,F443-D444,"")</f>
        <v/>
      </c>
    </row>
    <row r="445" spans="1:6" x14ac:dyDescent="0.25">
      <c r="A445" s="15">
        <v>442</v>
      </c>
      <c r="B445" s="17" t="str">
        <f>IF(A445&lt;='APR and payment'!$E$5,'Remaining debt'!A445,"")</f>
        <v/>
      </c>
      <c r="C445" s="21" t="str">
        <f>IF(A445&lt;='APR and payment'!$E$5,'APR and payment'!$E$24,"")</f>
        <v/>
      </c>
      <c r="D445" s="21" t="str">
        <f>IF(A445&lt;='APR and payment'!$E$5,C445-E445,"")</f>
        <v/>
      </c>
      <c r="E445" s="21" t="str">
        <f>IF(A445&lt;='APR and payment'!$E$5,F444*'APR and payment'!$E$6/'APR and payment'!$L$9,"")</f>
        <v/>
      </c>
      <c r="F445" s="21" t="str">
        <f>IF(A445&lt;='APR and payment'!$E$5,F444-D445,"")</f>
        <v/>
      </c>
    </row>
    <row r="446" spans="1:6" x14ac:dyDescent="0.25">
      <c r="A446" s="15">
        <v>443</v>
      </c>
      <c r="B446" s="17" t="str">
        <f>IF(A446&lt;='APR and payment'!$E$5,'Remaining debt'!A446,"")</f>
        <v/>
      </c>
      <c r="C446" s="21" t="str">
        <f>IF(A446&lt;='APR and payment'!$E$5,'APR and payment'!$E$24,"")</f>
        <v/>
      </c>
      <c r="D446" s="21" t="str">
        <f>IF(A446&lt;='APR and payment'!$E$5,C446-E446,"")</f>
        <v/>
      </c>
      <c r="E446" s="21" t="str">
        <f>IF(A446&lt;='APR and payment'!$E$5,F445*'APR and payment'!$E$6/'APR and payment'!$L$9,"")</f>
        <v/>
      </c>
      <c r="F446" s="21" t="str">
        <f>IF(A446&lt;='APR and payment'!$E$5,F445-D446,"")</f>
        <v/>
      </c>
    </row>
    <row r="447" spans="1:6" x14ac:dyDescent="0.25">
      <c r="A447" s="15">
        <v>444</v>
      </c>
      <c r="B447" s="17" t="str">
        <f>IF(A447&lt;='APR and payment'!$E$5,'Remaining debt'!A447,"")</f>
        <v/>
      </c>
      <c r="C447" s="21" t="str">
        <f>IF(A447&lt;='APR and payment'!$E$5,'APR and payment'!$E$24,"")</f>
        <v/>
      </c>
      <c r="D447" s="21" t="str">
        <f>IF(A447&lt;='APR and payment'!$E$5,C447-E447,"")</f>
        <v/>
      </c>
      <c r="E447" s="21" t="str">
        <f>IF(A447&lt;='APR and payment'!$E$5,F446*'APR and payment'!$E$6/'APR and payment'!$L$9,"")</f>
        <v/>
      </c>
      <c r="F447" s="21" t="str">
        <f>IF(A447&lt;='APR and payment'!$E$5,F446-D447,"")</f>
        <v/>
      </c>
    </row>
    <row r="448" spans="1:6" x14ac:dyDescent="0.25">
      <c r="A448" s="15">
        <v>445</v>
      </c>
      <c r="B448" s="17" t="str">
        <f>IF(A448&lt;='APR and payment'!$E$5,'Remaining debt'!A448,"")</f>
        <v/>
      </c>
      <c r="C448" s="21" t="str">
        <f>IF(A448&lt;='APR and payment'!$E$5,'APR and payment'!$E$24,"")</f>
        <v/>
      </c>
      <c r="D448" s="21" t="str">
        <f>IF(A448&lt;='APR and payment'!$E$5,C448-E448,"")</f>
        <v/>
      </c>
      <c r="E448" s="21" t="str">
        <f>IF(A448&lt;='APR and payment'!$E$5,F447*'APR and payment'!$E$6/'APR and payment'!$L$9,"")</f>
        <v/>
      </c>
      <c r="F448" s="21" t="str">
        <f>IF(A448&lt;='APR and payment'!$E$5,F447-D448,"")</f>
        <v/>
      </c>
    </row>
    <row r="449" spans="1:6" x14ac:dyDescent="0.25">
      <c r="A449" s="15">
        <v>446</v>
      </c>
      <c r="B449" s="17" t="str">
        <f>IF(A449&lt;='APR and payment'!$E$5,'Remaining debt'!A449,"")</f>
        <v/>
      </c>
      <c r="C449" s="21" t="str">
        <f>IF(A449&lt;='APR and payment'!$E$5,'APR and payment'!$E$24,"")</f>
        <v/>
      </c>
      <c r="D449" s="21" t="str">
        <f>IF(A449&lt;='APR and payment'!$E$5,C449-E449,"")</f>
        <v/>
      </c>
      <c r="E449" s="21" t="str">
        <f>IF(A449&lt;='APR and payment'!$E$5,F448*'APR and payment'!$E$6/'APR and payment'!$L$9,"")</f>
        <v/>
      </c>
      <c r="F449" s="21" t="str">
        <f>IF(A449&lt;='APR and payment'!$E$5,F448-D449,"")</f>
        <v/>
      </c>
    </row>
    <row r="450" spans="1:6" x14ac:dyDescent="0.25">
      <c r="A450" s="15">
        <v>447</v>
      </c>
      <c r="B450" s="17" t="str">
        <f>IF(A450&lt;='APR and payment'!$E$5,'Remaining debt'!A450,"")</f>
        <v/>
      </c>
      <c r="C450" s="21" t="str">
        <f>IF(A450&lt;='APR and payment'!$E$5,'APR and payment'!$E$24,"")</f>
        <v/>
      </c>
      <c r="D450" s="21" t="str">
        <f>IF(A450&lt;='APR and payment'!$E$5,C450-E450,"")</f>
        <v/>
      </c>
      <c r="E450" s="21" t="str">
        <f>IF(A450&lt;='APR and payment'!$E$5,F449*'APR and payment'!$E$6/'APR and payment'!$L$9,"")</f>
        <v/>
      </c>
      <c r="F450" s="21" t="str">
        <f>IF(A450&lt;='APR and payment'!$E$5,F449-D450,"")</f>
        <v/>
      </c>
    </row>
    <row r="451" spans="1:6" x14ac:dyDescent="0.25">
      <c r="A451" s="15">
        <v>448</v>
      </c>
      <c r="B451" s="17" t="str">
        <f>IF(A451&lt;='APR and payment'!$E$5,'Remaining debt'!A451,"")</f>
        <v/>
      </c>
      <c r="C451" s="21" t="str">
        <f>IF(A451&lt;='APR and payment'!$E$5,'APR and payment'!$E$24,"")</f>
        <v/>
      </c>
      <c r="D451" s="21" t="str">
        <f>IF(A451&lt;='APR and payment'!$E$5,C451-E451,"")</f>
        <v/>
      </c>
      <c r="E451" s="21" t="str">
        <f>IF(A451&lt;='APR and payment'!$E$5,F450*'APR and payment'!$E$6/'APR and payment'!$L$9,"")</f>
        <v/>
      </c>
      <c r="F451" s="21" t="str">
        <f>IF(A451&lt;='APR and payment'!$E$5,F450-D451,"")</f>
        <v/>
      </c>
    </row>
    <row r="452" spans="1:6" x14ac:dyDescent="0.25">
      <c r="A452" s="15">
        <v>449</v>
      </c>
      <c r="B452" s="17" t="str">
        <f>IF(A452&lt;='APR and payment'!$E$5,'Remaining debt'!A452,"")</f>
        <v/>
      </c>
      <c r="C452" s="21" t="str">
        <f>IF(A452&lt;='APR and payment'!$E$5,'APR and payment'!$E$24,"")</f>
        <v/>
      </c>
      <c r="D452" s="21" t="str">
        <f>IF(A452&lt;='APR and payment'!$E$5,C452-E452,"")</f>
        <v/>
      </c>
      <c r="E452" s="21" t="str">
        <f>IF(A452&lt;='APR and payment'!$E$5,F451*'APR and payment'!$E$6/'APR and payment'!$L$9,"")</f>
        <v/>
      </c>
      <c r="F452" s="21" t="str">
        <f>IF(A452&lt;='APR and payment'!$E$5,F451-D452,"")</f>
        <v/>
      </c>
    </row>
    <row r="453" spans="1:6" x14ac:dyDescent="0.25">
      <c r="A453" s="15">
        <v>450</v>
      </c>
      <c r="B453" s="17" t="str">
        <f>IF(A453&lt;='APR and payment'!$E$5,'Remaining debt'!A453,"")</f>
        <v/>
      </c>
      <c r="C453" s="21" t="str">
        <f>IF(A453&lt;='APR and payment'!$E$5,'APR and payment'!$E$24,"")</f>
        <v/>
      </c>
      <c r="D453" s="21" t="str">
        <f>IF(A453&lt;='APR and payment'!$E$5,C453-E453,"")</f>
        <v/>
      </c>
      <c r="E453" s="21" t="str">
        <f>IF(A453&lt;='APR and payment'!$E$5,F452*'APR and payment'!$E$6/'APR and payment'!$L$9,"")</f>
        <v/>
      </c>
      <c r="F453" s="21" t="str">
        <f>IF(A453&lt;='APR and payment'!$E$5,F452-D453,"")</f>
        <v/>
      </c>
    </row>
    <row r="454" spans="1:6" x14ac:dyDescent="0.25">
      <c r="A454" s="15">
        <v>451</v>
      </c>
      <c r="B454" s="17" t="str">
        <f>IF(A454&lt;='APR and payment'!$E$5,'Remaining debt'!A454,"")</f>
        <v/>
      </c>
      <c r="C454" s="21" t="str">
        <f>IF(A454&lt;='APR and payment'!$E$5,'APR and payment'!$E$24,"")</f>
        <v/>
      </c>
      <c r="D454" s="21" t="str">
        <f>IF(A454&lt;='APR and payment'!$E$5,C454-E454,"")</f>
        <v/>
      </c>
      <c r="E454" s="21" t="str">
        <f>IF(A454&lt;='APR and payment'!$E$5,F453*'APR and payment'!$E$6/'APR and payment'!$L$9,"")</f>
        <v/>
      </c>
      <c r="F454" s="21" t="str">
        <f>IF(A454&lt;='APR and payment'!$E$5,F453-D454,"")</f>
        <v/>
      </c>
    </row>
    <row r="455" spans="1:6" x14ac:dyDescent="0.25">
      <c r="A455" s="15">
        <v>452</v>
      </c>
      <c r="B455" s="17" t="str">
        <f>IF(A455&lt;='APR and payment'!$E$5,'Remaining debt'!A455,"")</f>
        <v/>
      </c>
      <c r="C455" s="21" t="str">
        <f>IF(A455&lt;='APR and payment'!$E$5,'APR and payment'!$E$24,"")</f>
        <v/>
      </c>
      <c r="D455" s="21" t="str">
        <f>IF(A455&lt;='APR and payment'!$E$5,C455-E455,"")</f>
        <v/>
      </c>
      <c r="E455" s="21" t="str">
        <f>IF(A455&lt;='APR and payment'!$E$5,F454*'APR and payment'!$E$6/'APR and payment'!$L$9,"")</f>
        <v/>
      </c>
      <c r="F455" s="21" t="str">
        <f>IF(A455&lt;='APR and payment'!$E$5,F454-D455,"")</f>
        <v/>
      </c>
    </row>
    <row r="456" spans="1:6" x14ac:dyDescent="0.25">
      <c r="A456" s="15">
        <v>453</v>
      </c>
      <c r="B456" s="17" t="str">
        <f>IF(A456&lt;='APR and payment'!$E$5,'Remaining debt'!A456,"")</f>
        <v/>
      </c>
      <c r="C456" s="21" t="str">
        <f>IF(A456&lt;='APR and payment'!$E$5,'APR and payment'!$E$24,"")</f>
        <v/>
      </c>
      <c r="D456" s="21" t="str">
        <f>IF(A456&lt;='APR and payment'!$E$5,C456-E456,"")</f>
        <v/>
      </c>
      <c r="E456" s="21" t="str">
        <f>IF(A456&lt;='APR and payment'!$E$5,F455*'APR and payment'!$E$6/'APR and payment'!$L$9,"")</f>
        <v/>
      </c>
      <c r="F456" s="21" t="str">
        <f>IF(A456&lt;='APR and payment'!$E$5,F455-D456,"")</f>
        <v/>
      </c>
    </row>
    <row r="457" spans="1:6" x14ac:dyDescent="0.25">
      <c r="A457" s="15">
        <v>454</v>
      </c>
      <c r="B457" s="17" t="str">
        <f>IF(A457&lt;='APR and payment'!$E$5,'Remaining debt'!A457,"")</f>
        <v/>
      </c>
      <c r="C457" s="21" t="str">
        <f>IF(A457&lt;='APR and payment'!$E$5,'APR and payment'!$E$24,"")</f>
        <v/>
      </c>
      <c r="D457" s="21" t="str">
        <f>IF(A457&lt;='APR and payment'!$E$5,C457-E457,"")</f>
        <v/>
      </c>
      <c r="E457" s="21" t="str">
        <f>IF(A457&lt;='APR and payment'!$E$5,F456*'APR and payment'!$E$6/'APR and payment'!$L$9,"")</f>
        <v/>
      </c>
      <c r="F457" s="21" t="str">
        <f>IF(A457&lt;='APR and payment'!$E$5,F456-D457,"")</f>
        <v/>
      </c>
    </row>
    <row r="458" spans="1:6" x14ac:dyDescent="0.25">
      <c r="A458" s="15">
        <v>455</v>
      </c>
      <c r="B458" s="17" t="str">
        <f>IF(A458&lt;='APR and payment'!$E$5,'Remaining debt'!A458,"")</f>
        <v/>
      </c>
      <c r="C458" s="21" t="str">
        <f>IF(A458&lt;='APR and payment'!$E$5,'APR and payment'!$E$24,"")</f>
        <v/>
      </c>
      <c r="D458" s="21" t="str">
        <f>IF(A458&lt;='APR and payment'!$E$5,C458-E458,"")</f>
        <v/>
      </c>
      <c r="E458" s="21" t="str">
        <f>IF(A458&lt;='APR and payment'!$E$5,F457*'APR and payment'!$E$6/'APR and payment'!$L$9,"")</f>
        <v/>
      </c>
      <c r="F458" s="21" t="str">
        <f>IF(A458&lt;='APR and payment'!$E$5,F457-D458,"")</f>
        <v/>
      </c>
    </row>
    <row r="459" spans="1:6" x14ac:dyDescent="0.25">
      <c r="A459" s="15">
        <v>456</v>
      </c>
      <c r="B459" s="17" t="str">
        <f>IF(A459&lt;='APR and payment'!$E$5,'Remaining debt'!A459,"")</f>
        <v/>
      </c>
      <c r="C459" s="21" t="str">
        <f>IF(A459&lt;='APR and payment'!$E$5,'APR and payment'!$E$24,"")</f>
        <v/>
      </c>
      <c r="D459" s="21" t="str">
        <f>IF(A459&lt;='APR and payment'!$E$5,C459-E459,"")</f>
        <v/>
      </c>
      <c r="E459" s="21" t="str">
        <f>IF(A459&lt;='APR and payment'!$E$5,F458*'APR and payment'!$E$6/'APR and payment'!$L$9,"")</f>
        <v/>
      </c>
      <c r="F459" s="21" t="str">
        <f>IF(A459&lt;='APR and payment'!$E$5,F458-D459,"")</f>
        <v/>
      </c>
    </row>
    <row r="460" spans="1:6" x14ac:dyDescent="0.25">
      <c r="A460" s="15">
        <v>457</v>
      </c>
      <c r="B460" s="17" t="str">
        <f>IF(A460&lt;='APR and payment'!$E$5,'Remaining debt'!A460,"")</f>
        <v/>
      </c>
      <c r="C460" s="21" t="str">
        <f>IF(A460&lt;='APR and payment'!$E$5,'APR and payment'!$E$24,"")</f>
        <v/>
      </c>
      <c r="D460" s="21" t="str">
        <f>IF(A460&lt;='APR and payment'!$E$5,C460-E460,"")</f>
        <v/>
      </c>
      <c r="E460" s="21" t="str">
        <f>IF(A460&lt;='APR and payment'!$E$5,F459*'APR and payment'!$E$6/'APR and payment'!$L$9,"")</f>
        <v/>
      </c>
      <c r="F460" s="21" t="str">
        <f>IF(A460&lt;='APR and payment'!$E$5,F459-D460,"")</f>
        <v/>
      </c>
    </row>
    <row r="461" spans="1:6" x14ac:dyDescent="0.25">
      <c r="A461" s="15">
        <v>458</v>
      </c>
      <c r="B461" s="17" t="str">
        <f>IF(A461&lt;='APR and payment'!$E$5,'Remaining debt'!A461,"")</f>
        <v/>
      </c>
      <c r="C461" s="21" t="str">
        <f>IF(A461&lt;='APR and payment'!$E$5,'APR and payment'!$E$24,"")</f>
        <v/>
      </c>
      <c r="D461" s="21" t="str">
        <f>IF(A461&lt;='APR and payment'!$E$5,C461-E461,"")</f>
        <v/>
      </c>
      <c r="E461" s="21" t="str">
        <f>IF(A461&lt;='APR and payment'!$E$5,F460*'APR and payment'!$E$6/'APR and payment'!$L$9,"")</f>
        <v/>
      </c>
      <c r="F461" s="21" t="str">
        <f>IF(A461&lt;='APR and payment'!$E$5,F460-D461,"")</f>
        <v/>
      </c>
    </row>
    <row r="462" spans="1:6" x14ac:dyDescent="0.25">
      <c r="A462" s="15">
        <v>459</v>
      </c>
      <c r="B462" s="17" t="str">
        <f>IF(A462&lt;='APR and payment'!$E$5,'Remaining debt'!A462,"")</f>
        <v/>
      </c>
      <c r="C462" s="21" t="str">
        <f>IF(A462&lt;='APR and payment'!$E$5,'APR and payment'!$E$24,"")</f>
        <v/>
      </c>
      <c r="D462" s="21" t="str">
        <f>IF(A462&lt;='APR and payment'!$E$5,C462-E462,"")</f>
        <v/>
      </c>
      <c r="E462" s="21" t="str">
        <f>IF(A462&lt;='APR and payment'!$E$5,F461*'APR and payment'!$E$6/'APR and payment'!$L$9,"")</f>
        <v/>
      </c>
      <c r="F462" s="21" t="str">
        <f>IF(A462&lt;='APR and payment'!$E$5,F461-D462,"")</f>
        <v/>
      </c>
    </row>
    <row r="463" spans="1:6" x14ac:dyDescent="0.25">
      <c r="A463" s="15">
        <v>460</v>
      </c>
      <c r="B463" s="17" t="str">
        <f>IF(A463&lt;='APR and payment'!$E$5,'Remaining debt'!A463,"")</f>
        <v/>
      </c>
      <c r="C463" s="21" t="str">
        <f>IF(A463&lt;='APR and payment'!$E$5,'APR and payment'!$E$24,"")</f>
        <v/>
      </c>
      <c r="D463" s="21" t="str">
        <f>IF(A463&lt;='APR and payment'!$E$5,C463-E463,"")</f>
        <v/>
      </c>
      <c r="E463" s="21" t="str">
        <f>IF(A463&lt;='APR and payment'!$E$5,F462*'APR and payment'!$E$6/'APR and payment'!$L$9,"")</f>
        <v/>
      </c>
      <c r="F463" s="21" t="str">
        <f>IF(A463&lt;='APR and payment'!$E$5,F462-D463,"")</f>
        <v/>
      </c>
    </row>
    <row r="464" spans="1:6" x14ac:dyDescent="0.25">
      <c r="A464" s="15">
        <v>461</v>
      </c>
      <c r="B464" s="17" t="str">
        <f>IF(A464&lt;='APR and payment'!$E$5,'Remaining debt'!A464,"")</f>
        <v/>
      </c>
      <c r="C464" s="21" t="str">
        <f>IF(A464&lt;='APR and payment'!$E$5,'APR and payment'!$E$24,"")</f>
        <v/>
      </c>
      <c r="D464" s="21" t="str">
        <f>IF(A464&lt;='APR and payment'!$E$5,C464-E464,"")</f>
        <v/>
      </c>
      <c r="E464" s="21" t="str">
        <f>IF(A464&lt;='APR and payment'!$E$5,F463*'APR and payment'!$E$6/'APR and payment'!$L$9,"")</f>
        <v/>
      </c>
      <c r="F464" s="21" t="str">
        <f>IF(A464&lt;='APR and payment'!$E$5,F463-D464,"")</f>
        <v/>
      </c>
    </row>
    <row r="465" spans="1:6" x14ac:dyDescent="0.25">
      <c r="A465" s="15">
        <v>462</v>
      </c>
      <c r="B465" s="17" t="str">
        <f>IF(A465&lt;='APR and payment'!$E$5,'Remaining debt'!A465,"")</f>
        <v/>
      </c>
      <c r="C465" s="21" t="str">
        <f>IF(A465&lt;='APR and payment'!$E$5,'APR and payment'!$E$24,"")</f>
        <v/>
      </c>
      <c r="D465" s="21" t="str">
        <f>IF(A465&lt;='APR and payment'!$E$5,C465-E465,"")</f>
        <v/>
      </c>
      <c r="E465" s="21" t="str">
        <f>IF(A465&lt;='APR and payment'!$E$5,F464*'APR and payment'!$E$6/'APR and payment'!$L$9,"")</f>
        <v/>
      </c>
      <c r="F465" s="21" t="str">
        <f>IF(A465&lt;='APR and payment'!$E$5,F464-D465,"")</f>
        <v/>
      </c>
    </row>
    <row r="466" spans="1:6" x14ac:dyDescent="0.25">
      <c r="A466" s="15">
        <v>463</v>
      </c>
      <c r="B466" s="17" t="str">
        <f>IF(A466&lt;='APR and payment'!$E$5,'Remaining debt'!A466,"")</f>
        <v/>
      </c>
      <c r="C466" s="21" t="str">
        <f>IF(A466&lt;='APR and payment'!$E$5,'APR and payment'!$E$24,"")</f>
        <v/>
      </c>
      <c r="D466" s="21" t="str">
        <f>IF(A466&lt;='APR and payment'!$E$5,C466-E466,"")</f>
        <v/>
      </c>
      <c r="E466" s="21" t="str">
        <f>IF(A466&lt;='APR and payment'!$E$5,F465*'APR and payment'!$E$6/'APR and payment'!$L$9,"")</f>
        <v/>
      </c>
      <c r="F466" s="21" t="str">
        <f>IF(A466&lt;='APR and payment'!$E$5,F465-D466,"")</f>
        <v/>
      </c>
    </row>
    <row r="467" spans="1:6" x14ac:dyDescent="0.25">
      <c r="A467" s="15">
        <v>464</v>
      </c>
      <c r="B467" s="17" t="str">
        <f>IF(A467&lt;='APR and payment'!$E$5,'Remaining debt'!A467,"")</f>
        <v/>
      </c>
      <c r="C467" s="21" t="str">
        <f>IF(A467&lt;='APR and payment'!$E$5,'APR and payment'!$E$24,"")</f>
        <v/>
      </c>
      <c r="D467" s="21" t="str">
        <f>IF(A467&lt;='APR and payment'!$E$5,C467-E467,"")</f>
        <v/>
      </c>
      <c r="E467" s="21" t="str">
        <f>IF(A467&lt;='APR and payment'!$E$5,F466*'APR and payment'!$E$6/'APR and payment'!$L$9,"")</f>
        <v/>
      </c>
      <c r="F467" s="21" t="str">
        <f>IF(A467&lt;='APR and payment'!$E$5,F466-D467,"")</f>
        <v/>
      </c>
    </row>
    <row r="468" spans="1:6" x14ac:dyDescent="0.25">
      <c r="A468" s="15">
        <v>465</v>
      </c>
      <c r="B468" s="17" t="str">
        <f>IF(A468&lt;='APR and payment'!$E$5,'Remaining debt'!A468,"")</f>
        <v/>
      </c>
      <c r="C468" s="21" t="str">
        <f>IF(A468&lt;='APR and payment'!$E$5,'APR and payment'!$E$24,"")</f>
        <v/>
      </c>
      <c r="D468" s="21" t="str">
        <f>IF(A468&lt;='APR and payment'!$E$5,C468-E468,"")</f>
        <v/>
      </c>
      <c r="E468" s="21" t="str">
        <f>IF(A468&lt;='APR and payment'!$E$5,F467*'APR and payment'!$E$6/'APR and payment'!$L$9,"")</f>
        <v/>
      </c>
      <c r="F468" s="21" t="str">
        <f>IF(A468&lt;='APR and payment'!$E$5,F467-D468,"")</f>
        <v/>
      </c>
    </row>
    <row r="469" spans="1:6" x14ac:dyDescent="0.25">
      <c r="A469" s="15">
        <v>466</v>
      </c>
      <c r="B469" s="17" t="str">
        <f>IF(A469&lt;='APR and payment'!$E$5,'Remaining debt'!A469,"")</f>
        <v/>
      </c>
      <c r="C469" s="21" t="str">
        <f>IF(A469&lt;='APR and payment'!$E$5,'APR and payment'!$E$24,"")</f>
        <v/>
      </c>
      <c r="D469" s="21" t="str">
        <f>IF(A469&lt;='APR and payment'!$E$5,C469-E469,"")</f>
        <v/>
      </c>
      <c r="E469" s="21" t="str">
        <f>IF(A469&lt;='APR and payment'!$E$5,F468*'APR and payment'!$E$6/'APR and payment'!$L$9,"")</f>
        <v/>
      </c>
      <c r="F469" s="21" t="str">
        <f>IF(A469&lt;='APR and payment'!$E$5,F468-D469,"")</f>
        <v/>
      </c>
    </row>
    <row r="470" spans="1:6" x14ac:dyDescent="0.25">
      <c r="A470" s="15">
        <v>467</v>
      </c>
      <c r="B470" s="17" t="str">
        <f>IF(A470&lt;='APR and payment'!$E$5,'Remaining debt'!A470,"")</f>
        <v/>
      </c>
      <c r="C470" s="21" t="str">
        <f>IF(A470&lt;='APR and payment'!$E$5,'APR and payment'!$E$24,"")</f>
        <v/>
      </c>
      <c r="D470" s="21" t="str">
        <f>IF(A470&lt;='APR and payment'!$E$5,C470-E470,"")</f>
        <v/>
      </c>
      <c r="E470" s="21" t="str">
        <f>IF(A470&lt;='APR and payment'!$E$5,F469*'APR and payment'!$E$6/'APR and payment'!$L$9,"")</f>
        <v/>
      </c>
      <c r="F470" s="21" t="str">
        <f>IF(A470&lt;='APR and payment'!$E$5,F469-D470,"")</f>
        <v/>
      </c>
    </row>
    <row r="471" spans="1:6" x14ac:dyDescent="0.25">
      <c r="A471" s="15">
        <v>468</v>
      </c>
      <c r="B471" s="17" t="str">
        <f>IF(A471&lt;='APR and payment'!$E$5,'Remaining debt'!A471,"")</f>
        <v/>
      </c>
      <c r="C471" s="21" t="str">
        <f>IF(A471&lt;='APR and payment'!$E$5,'APR and payment'!$E$24,"")</f>
        <v/>
      </c>
      <c r="D471" s="21" t="str">
        <f>IF(A471&lt;='APR and payment'!$E$5,C471-E471,"")</f>
        <v/>
      </c>
      <c r="E471" s="21" t="str">
        <f>IF(A471&lt;='APR and payment'!$E$5,F470*'APR and payment'!$E$6/'APR and payment'!$L$9,"")</f>
        <v/>
      </c>
      <c r="F471" s="21" t="str">
        <f>IF(A471&lt;='APR and payment'!$E$5,F470-D471,"")</f>
        <v/>
      </c>
    </row>
    <row r="472" spans="1:6" x14ac:dyDescent="0.25">
      <c r="A472" s="15">
        <v>469</v>
      </c>
      <c r="B472" s="17" t="str">
        <f>IF(A472&lt;='APR and payment'!$E$5,'Remaining debt'!A472,"")</f>
        <v/>
      </c>
      <c r="C472" s="21" t="str">
        <f>IF(A472&lt;='APR and payment'!$E$5,'APR and payment'!$E$24,"")</f>
        <v/>
      </c>
      <c r="D472" s="21" t="str">
        <f>IF(A472&lt;='APR and payment'!$E$5,C472-E472,"")</f>
        <v/>
      </c>
      <c r="E472" s="21" t="str">
        <f>IF(A472&lt;='APR and payment'!$E$5,F471*'APR and payment'!$E$6/'APR and payment'!$L$9,"")</f>
        <v/>
      </c>
      <c r="F472" s="21" t="str">
        <f>IF(A472&lt;='APR and payment'!$E$5,F471-D472,"")</f>
        <v/>
      </c>
    </row>
    <row r="473" spans="1:6" x14ac:dyDescent="0.25">
      <c r="A473" s="15">
        <v>470</v>
      </c>
      <c r="B473" s="17" t="str">
        <f>IF(A473&lt;='APR and payment'!$E$5,'Remaining debt'!A473,"")</f>
        <v/>
      </c>
      <c r="C473" s="21" t="str">
        <f>IF(A473&lt;='APR and payment'!$E$5,'APR and payment'!$E$24,"")</f>
        <v/>
      </c>
      <c r="D473" s="21" t="str">
        <f>IF(A473&lt;='APR and payment'!$E$5,C473-E473,"")</f>
        <v/>
      </c>
      <c r="E473" s="21" t="str">
        <f>IF(A473&lt;='APR and payment'!$E$5,F472*'APR and payment'!$E$6/'APR and payment'!$L$9,"")</f>
        <v/>
      </c>
      <c r="F473" s="21" t="str">
        <f>IF(A473&lt;='APR and payment'!$E$5,F472-D473,"")</f>
        <v/>
      </c>
    </row>
    <row r="474" spans="1:6" x14ac:dyDescent="0.25">
      <c r="A474" s="15">
        <v>471</v>
      </c>
      <c r="B474" s="17" t="str">
        <f>IF(A474&lt;='APR and payment'!$E$5,'Remaining debt'!A474,"")</f>
        <v/>
      </c>
      <c r="C474" s="21" t="str">
        <f>IF(A474&lt;='APR and payment'!$E$5,'APR and payment'!$E$24,"")</f>
        <v/>
      </c>
      <c r="D474" s="21" t="str">
        <f>IF(A474&lt;='APR and payment'!$E$5,C474-E474,"")</f>
        <v/>
      </c>
      <c r="E474" s="21" t="str">
        <f>IF(A474&lt;='APR and payment'!$E$5,F473*'APR and payment'!$E$6/'APR and payment'!$L$9,"")</f>
        <v/>
      </c>
      <c r="F474" s="21" t="str">
        <f>IF(A474&lt;='APR and payment'!$E$5,F473-D474,"")</f>
        <v/>
      </c>
    </row>
    <row r="475" spans="1:6" x14ac:dyDescent="0.25">
      <c r="A475" s="15">
        <v>472</v>
      </c>
      <c r="B475" s="17" t="str">
        <f>IF(A475&lt;='APR and payment'!$E$5,'Remaining debt'!A475,"")</f>
        <v/>
      </c>
      <c r="C475" s="21" t="str">
        <f>IF(A475&lt;='APR and payment'!$E$5,'APR and payment'!$E$24,"")</f>
        <v/>
      </c>
      <c r="D475" s="21" t="str">
        <f>IF(A475&lt;='APR and payment'!$E$5,C475-E475,"")</f>
        <v/>
      </c>
      <c r="E475" s="21" t="str">
        <f>IF(A475&lt;='APR and payment'!$E$5,F474*'APR and payment'!$E$6/'APR and payment'!$L$9,"")</f>
        <v/>
      </c>
      <c r="F475" s="21" t="str">
        <f>IF(A475&lt;='APR and payment'!$E$5,F474-D475,"")</f>
        <v/>
      </c>
    </row>
    <row r="476" spans="1:6" x14ac:dyDescent="0.25">
      <c r="A476" s="15">
        <v>473</v>
      </c>
      <c r="B476" s="17" t="str">
        <f>IF(A476&lt;='APR and payment'!$E$5,'Remaining debt'!A476,"")</f>
        <v/>
      </c>
      <c r="C476" s="21" t="str">
        <f>IF(A476&lt;='APR and payment'!$E$5,'APR and payment'!$E$24,"")</f>
        <v/>
      </c>
      <c r="D476" s="21" t="str">
        <f>IF(A476&lt;='APR and payment'!$E$5,C476-E476,"")</f>
        <v/>
      </c>
      <c r="E476" s="21" t="str">
        <f>IF(A476&lt;='APR and payment'!$E$5,F475*'APR and payment'!$E$6/'APR and payment'!$L$9,"")</f>
        <v/>
      </c>
      <c r="F476" s="21" t="str">
        <f>IF(A476&lt;='APR and payment'!$E$5,F475-D476,"")</f>
        <v/>
      </c>
    </row>
    <row r="477" spans="1:6" x14ac:dyDescent="0.25">
      <c r="A477" s="15">
        <v>474</v>
      </c>
      <c r="B477" s="17" t="str">
        <f>IF(A477&lt;='APR and payment'!$E$5,'Remaining debt'!A477,"")</f>
        <v/>
      </c>
      <c r="C477" s="21" t="str">
        <f>IF(A477&lt;='APR and payment'!$E$5,'APR and payment'!$E$24,"")</f>
        <v/>
      </c>
      <c r="D477" s="21" t="str">
        <f>IF(A477&lt;='APR and payment'!$E$5,C477-E477,"")</f>
        <v/>
      </c>
      <c r="E477" s="21" t="str">
        <f>IF(A477&lt;='APR and payment'!$E$5,F476*'APR and payment'!$E$6/'APR and payment'!$L$9,"")</f>
        <v/>
      </c>
      <c r="F477" s="21" t="str">
        <f>IF(A477&lt;='APR and payment'!$E$5,F476-D477,"")</f>
        <v/>
      </c>
    </row>
    <row r="478" spans="1:6" x14ac:dyDescent="0.25">
      <c r="A478" s="15">
        <v>475</v>
      </c>
      <c r="B478" s="17" t="str">
        <f>IF(A478&lt;='APR and payment'!$E$5,'Remaining debt'!A478,"")</f>
        <v/>
      </c>
      <c r="C478" s="21" t="str">
        <f>IF(A478&lt;='APR and payment'!$E$5,'APR and payment'!$E$24,"")</f>
        <v/>
      </c>
      <c r="D478" s="21" t="str">
        <f>IF(A478&lt;='APR and payment'!$E$5,C478-E478,"")</f>
        <v/>
      </c>
      <c r="E478" s="21" t="str">
        <f>IF(A478&lt;='APR and payment'!$E$5,F477*'APR and payment'!$E$6/'APR and payment'!$L$9,"")</f>
        <v/>
      </c>
      <c r="F478" s="21" t="str">
        <f>IF(A478&lt;='APR and payment'!$E$5,F477-D478,"")</f>
        <v/>
      </c>
    </row>
    <row r="479" spans="1:6" x14ac:dyDescent="0.25">
      <c r="A479" s="15">
        <v>476</v>
      </c>
      <c r="B479" s="17" t="str">
        <f>IF(A479&lt;='APR and payment'!$E$5,'Remaining debt'!A479,"")</f>
        <v/>
      </c>
      <c r="C479" s="21" t="str">
        <f>IF(A479&lt;='APR and payment'!$E$5,'APR and payment'!$E$24,"")</f>
        <v/>
      </c>
      <c r="D479" s="21" t="str">
        <f>IF(A479&lt;='APR and payment'!$E$5,C479-E479,"")</f>
        <v/>
      </c>
      <c r="E479" s="21" t="str">
        <f>IF(A479&lt;='APR and payment'!$E$5,F478*'APR and payment'!$E$6/'APR and payment'!$L$9,"")</f>
        <v/>
      </c>
      <c r="F479" s="21" t="str">
        <f>IF(A479&lt;='APR and payment'!$E$5,F478-D479,"")</f>
        <v/>
      </c>
    </row>
    <row r="480" spans="1:6" x14ac:dyDescent="0.25">
      <c r="A480" s="15">
        <v>477</v>
      </c>
      <c r="B480" s="17" t="str">
        <f>IF(A480&lt;='APR and payment'!$E$5,'Remaining debt'!A480,"")</f>
        <v/>
      </c>
      <c r="C480" s="21" t="str">
        <f>IF(A480&lt;='APR and payment'!$E$5,'APR and payment'!$E$24,"")</f>
        <v/>
      </c>
      <c r="D480" s="21" t="str">
        <f>IF(A480&lt;='APR and payment'!$E$5,C480-E480,"")</f>
        <v/>
      </c>
      <c r="E480" s="21" t="str">
        <f>IF(A480&lt;='APR and payment'!$E$5,F479*'APR and payment'!$E$6/'APR and payment'!$L$9,"")</f>
        <v/>
      </c>
      <c r="F480" s="21" t="str">
        <f>IF(A480&lt;='APR and payment'!$E$5,F479-D480,"")</f>
        <v/>
      </c>
    </row>
    <row r="481" spans="1:6" x14ac:dyDescent="0.25">
      <c r="A481" s="15">
        <v>478</v>
      </c>
      <c r="B481" s="17" t="str">
        <f>IF(A481&lt;='APR and payment'!$E$5,'Remaining debt'!A481,"")</f>
        <v/>
      </c>
      <c r="C481" s="21" t="str">
        <f>IF(A481&lt;='APR and payment'!$E$5,'APR and payment'!$E$24,"")</f>
        <v/>
      </c>
      <c r="D481" s="21" t="str">
        <f>IF(A481&lt;='APR and payment'!$E$5,C481-E481,"")</f>
        <v/>
      </c>
      <c r="E481" s="21" t="str">
        <f>IF(A481&lt;='APR and payment'!$E$5,F480*'APR and payment'!$E$6/'APR and payment'!$L$9,"")</f>
        <v/>
      </c>
      <c r="F481" s="21" t="str">
        <f>IF(A481&lt;='APR and payment'!$E$5,F480-D481,"")</f>
        <v/>
      </c>
    </row>
    <row r="482" spans="1:6" x14ac:dyDescent="0.25">
      <c r="A482" s="15">
        <v>479</v>
      </c>
      <c r="B482" s="17" t="str">
        <f>IF(A482&lt;='APR and payment'!$E$5,'Remaining debt'!A482,"")</f>
        <v/>
      </c>
      <c r="C482" s="21" t="str">
        <f>IF(A482&lt;='APR and payment'!$E$5,'APR and payment'!$E$24,"")</f>
        <v/>
      </c>
      <c r="D482" s="21" t="str">
        <f>IF(A482&lt;='APR and payment'!$E$5,C482-E482,"")</f>
        <v/>
      </c>
      <c r="E482" s="21" t="str">
        <f>IF(A482&lt;='APR and payment'!$E$5,F481*'APR and payment'!$E$6/'APR and payment'!$L$9,"")</f>
        <v/>
      </c>
      <c r="F482" s="21" t="str">
        <f>IF(A482&lt;='APR and payment'!$E$5,F481-D482,"")</f>
        <v/>
      </c>
    </row>
    <row r="483" spans="1:6" x14ac:dyDescent="0.25">
      <c r="A483" s="15">
        <v>480</v>
      </c>
      <c r="B483" s="17" t="str">
        <f>IF(A483&lt;='APR and payment'!$E$5,'Remaining debt'!A483,"")</f>
        <v/>
      </c>
      <c r="C483" s="21" t="str">
        <f>IF(A483&lt;='APR and payment'!$E$5,'APR and payment'!$E$24,"")</f>
        <v/>
      </c>
      <c r="D483" s="21" t="str">
        <f>IF(A483&lt;='APR and payment'!$E$5,C483-E483,"")</f>
        <v/>
      </c>
      <c r="E483" s="21" t="str">
        <f>IF(A483&lt;='APR and payment'!$E$5,F482*'APR and payment'!$E$6/'APR and payment'!$L$9,"")</f>
        <v/>
      </c>
      <c r="F483" s="21" t="str">
        <f>IF(A483&lt;='APR and payment'!$E$5,F482-D483,"")</f>
        <v/>
      </c>
    </row>
    <row r="484" spans="1:6" x14ac:dyDescent="0.25">
      <c r="A484" s="15">
        <v>481</v>
      </c>
      <c r="B484" s="17" t="str">
        <f>IF(A484&lt;='APR and payment'!$E$5,'Remaining debt'!A484,"")</f>
        <v/>
      </c>
      <c r="C484" s="21" t="str">
        <f>IF(A484&lt;='APR and payment'!$E$5,'APR and payment'!$E$24,"")</f>
        <v/>
      </c>
      <c r="D484" s="21" t="str">
        <f>IF(A484&lt;='APR and payment'!$E$5,C484-E484,"")</f>
        <v/>
      </c>
      <c r="E484" s="21" t="str">
        <f>IF(A484&lt;='APR and payment'!$E$5,F483*'APR and payment'!$E$6/'APR and payment'!$L$9,"")</f>
        <v/>
      </c>
      <c r="F484" s="21" t="str">
        <f>IF(A484&lt;='APR and payment'!$E$5,F483-D484,"")</f>
        <v/>
      </c>
    </row>
    <row r="485" spans="1:6" x14ac:dyDescent="0.25">
      <c r="A485" s="15">
        <v>482</v>
      </c>
      <c r="B485" s="17" t="str">
        <f>IF(A485&lt;='APR and payment'!$E$5,'Remaining debt'!A485,"")</f>
        <v/>
      </c>
      <c r="C485" s="21" t="str">
        <f>IF(A485&lt;='APR and payment'!$E$5,'APR and payment'!$E$24,"")</f>
        <v/>
      </c>
      <c r="D485" s="21" t="str">
        <f>IF(A485&lt;='APR and payment'!$E$5,C485-E485,"")</f>
        <v/>
      </c>
      <c r="E485" s="21" t="str">
        <f>IF(A485&lt;='APR and payment'!$E$5,F484*'APR and payment'!$E$6/'APR and payment'!$L$9,"")</f>
        <v/>
      </c>
      <c r="F485" s="21" t="str">
        <f>IF(A485&lt;='APR and payment'!$E$5,F484-D485,"")</f>
        <v/>
      </c>
    </row>
    <row r="486" spans="1:6" x14ac:dyDescent="0.25">
      <c r="A486" s="15">
        <v>483</v>
      </c>
      <c r="B486" s="17" t="str">
        <f>IF(A486&lt;='APR and payment'!$E$5,'Remaining debt'!A486,"")</f>
        <v/>
      </c>
      <c r="C486" s="21" t="str">
        <f>IF(A486&lt;='APR and payment'!$E$5,'APR and payment'!$E$24,"")</f>
        <v/>
      </c>
      <c r="D486" s="21" t="str">
        <f>IF(A486&lt;='APR and payment'!$E$5,C486-E486,"")</f>
        <v/>
      </c>
      <c r="E486" s="21" t="str">
        <f>IF(A486&lt;='APR and payment'!$E$5,F485*'APR and payment'!$E$6/'APR and payment'!$L$9,"")</f>
        <v/>
      </c>
      <c r="F486" s="21" t="str">
        <f>IF(A486&lt;='APR and payment'!$E$5,F485-D486,"")</f>
        <v/>
      </c>
    </row>
    <row r="487" spans="1:6" x14ac:dyDescent="0.25">
      <c r="A487" s="15">
        <v>484</v>
      </c>
      <c r="B487" s="17" t="str">
        <f>IF(A487&lt;='APR and payment'!$E$5,'Remaining debt'!A487,"")</f>
        <v/>
      </c>
      <c r="C487" s="21" t="str">
        <f>IF(A487&lt;='APR and payment'!$E$5,'APR and payment'!$E$24,"")</f>
        <v/>
      </c>
      <c r="D487" s="21" t="str">
        <f>IF(A487&lt;='APR and payment'!$E$5,C487-E487,"")</f>
        <v/>
      </c>
      <c r="E487" s="21" t="str">
        <f>IF(A487&lt;='APR and payment'!$E$5,F486*'APR and payment'!$E$6/'APR and payment'!$L$9,"")</f>
        <v/>
      </c>
      <c r="F487" s="21" t="str">
        <f>IF(A487&lt;='APR and payment'!$E$5,F486-D487,"")</f>
        <v/>
      </c>
    </row>
    <row r="488" spans="1:6" x14ac:dyDescent="0.25">
      <c r="A488" s="15">
        <v>485</v>
      </c>
      <c r="B488" s="17" t="str">
        <f>IF(A488&lt;='APR and payment'!$E$5,'Remaining debt'!A488,"")</f>
        <v/>
      </c>
      <c r="C488" s="21" t="str">
        <f>IF(A488&lt;='APR and payment'!$E$5,'APR and payment'!$E$24,"")</f>
        <v/>
      </c>
      <c r="D488" s="21" t="str">
        <f>IF(A488&lt;='APR and payment'!$E$5,C488-E488,"")</f>
        <v/>
      </c>
      <c r="E488" s="21" t="str">
        <f>IF(A488&lt;='APR and payment'!$E$5,F487*'APR and payment'!$E$6/'APR and payment'!$L$9,"")</f>
        <v/>
      </c>
      <c r="F488" s="21" t="str">
        <f>IF(A488&lt;='APR and payment'!$E$5,F487-D488,"")</f>
        <v/>
      </c>
    </row>
    <row r="489" spans="1:6" x14ac:dyDescent="0.25">
      <c r="A489" s="15">
        <v>486</v>
      </c>
      <c r="B489" s="17" t="str">
        <f>IF(A489&lt;='APR and payment'!$E$5,'Remaining debt'!A489,"")</f>
        <v/>
      </c>
      <c r="C489" s="21" t="str">
        <f>IF(A489&lt;='APR and payment'!$E$5,'APR and payment'!$E$24,"")</f>
        <v/>
      </c>
      <c r="D489" s="21" t="str">
        <f>IF(A489&lt;='APR and payment'!$E$5,C489-E489,"")</f>
        <v/>
      </c>
      <c r="E489" s="21" t="str">
        <f>IF(A489&lt;='APR and payment'!$E$5,F488*'APR and payment'!$E$6/'APR and payment'!$L$9,"")</f>
        <v/>
      </c>
      <c r="F489" s="21" t="str">
        <f>IF(A489&lt;='APR and payment'!$E$5,F488-D489,"")</f>
        <v/>
      </c>
    </row>
    <row r="490" spans="1:6" x14ac:dyDescent="0.25">
      <c r="A490" s="15">
        <v>487</v>
      </c>
      <c r="B490" s="17" t="str">
        <f>IF(A490&lt;='APR and payment'!$E$5,'Remaining debt'!A490,"")</f>
        <v/>
      </c>
      <c r="C490" s="21" t="str">
        <f>IF(A490&lt;='APR and payment'!$E$5,'APR and payment'!$E$24,"")</f>
        <v/>
      </c>
      <c r="D490" s="21" t="str">
        <f>IF(A490&lt;='APR and payment'!$E$5,C490-E490,"")</f>
        <v/>
      </c>
      <c r="E490" s="21" t="str">
        <f>IF(A490&lt;='APR and payment'!$E$5,F489*'APR and payment'!$E$6/'APR and payment'!$L$9,"")</f>
        <v/>
      </c>
      <c r="F490" s="21" t="str">
        <f>IF(A490&lt;='APR and payment'!$E$5,F489-D490,"")</f>
        <v/>
      </c>
    </row>
    <row r="491" spans="1:6" x14ac:dyDescent="0.25">
      <c r="A491" s="15">
        <v>488</v>
      </c>
      <c r="B491" s="17" t="str">
        <f>IF(A491&lt;='APR and payment'!$E$5,'Remaining debt'!A491,"")</f>
        <v/>
      </c>
      <c r="C491" s="21" t="str">
        <f>IF(A491&lt;='APR and payment'!$E$5,'APR and payment'!$E$24,"")</f>
        <v/>
      </c>
      <c r="D491" s="21" t="str">
        <f>IF(A491&lt;='APR and payment'!$E$5,C491-E491,"")</f>
        <v/>
      </c>
      <c r="E491" s="21" t="str">
        <f>IF(A491&lt;='APR and payment'!$E$5,F490*'APR and payment'!$E$6/'APR and payment'!$L$9,"")</f>
        <v/>
      </c>
      <c r="F491" s="21" t="str">
        <f>IF(A491&lt;='APR and payment'!$E$5,F490-D491,"")</f>
        <v/>
      </c>
    </row>
    <row r="492" spans="1:6" x14ac:dyDescent="0.25">
      <c r="A492" s="15">
        <v>489</v>
      </c>
      <c r="B492" s="17" t="str">
        <f>IF(A492&lt;='APR and payment'!$E$5,'Remaining debt'!A492,"")</f>
        <v/>
      </c>
      <c r="C492" s="21" t="str">
        <f>IF(A492&lt;='APR and payment'!$E$5,'APR and payment'!$E$24,"")</f>
        <v/>
      </c>
      <c r="D492" s="21" t="str">
        <f>IF(A492&lt;='APR and payment'!$E$5,C492-E492,"")</f>
        <v/>
      </c>
      <c r="E492" s="21" t="str">
        <f>IF(A492&lt;='APR and payment'!$E$5,F491*'APR and payment'!$E$6/'APR and payment'!$L$9,"")</f>
        <v/>
      </c>
      <c r="F492" s="21" t="str">
        <f>IF(A492&lt;='APR and payment'!$E$5,F491-D492,"")</f>
        <v/>
      </c>
    </row>
    <row r="493" spans="1:6" x14ac:dyDescent="0.25">
      <c r="A493" s="15">
        <v>490</v>
      </c>
      <c r="B493" s="17" t="str">
        <f>IF(A493&lt;='APR and payment'!$E$5,'Remaining debt'!A493,"")</f>
        <v/>
      </c>
      <c r="C493" s="21" t="str">
        <f>IF(A493&lt;='APR and payment'!$E$5,'APR and payment'!$E$24,"")</f>
        <v/>
      </c>
      <c r="D493" s="21" t="str">
        <f>IF(A493&lt;='APR and payment'!$E$5,C493-E493,"")</f>
        <v/>
      </c>
      <c r="E493" s="21" t="str">
        <f>IF(A493&lt;='APR and payment'!$E$5,F492*'APR and payment'!$E$6/'APR and payment'!$L$9,"")</f>
        <v/>
      </c>
      <c r="F493" s="21" t="str">
        <f>IF(A493&lt;='APR and payment'!$E$5,F492-D493,"")</f>
        <v/>
      </c>
    </row>
    <row r="494" spans="1:6" x14ac:dyDescent="0.25">
      <c r="A494" s="15">
        <v>491</v>
      </c>
      <c r="B494" s="17" t="str">
        <f>IF(A494&lt;='APR and payment'!$E$5,'Remaining debt'!A494,"")</f>
        <v/>
      </c>
      <c r="C494" s="21" t="str">
        <f>IF(A494&lt;='APR and payment'!$E$5,'APR and payment'!$E$24,"")</f>
        <v/>
      </c>
      <c r="D494" s="21" t="str">
        <f>IF(A494&lt;='APR and payment'!$E$5,C494-E494,"")</f>
        <v/>
      </c>
      <c r="E494" s="21" t="str">
        <f>IF(A494&lt;='APR and payment'!$E$5,F493*'APR and payment'!$E$6/'APR and payment'!$L$9,"")</f>
        <v/>
      </c>
      <c r="F494" s="21" t="str">
        <f>IF(A494&lt;='APR and payment'!$E$5,F493-D494,"")</f>
        <v/>
      </c>
    </row>
    <row r="495" spans="1:6" x14ac:dyDescent="0.25">
      <c r="A495" s="15">
        <v>492</v>
      </c>
      <c r="B495" s="17" t="str">
        <f>IF(A495&lt;='APR and payment'!$E$5,'Remaining debt'!A495,"")</f>
        <v/>
      </c>
      <c r="C495" s="21" t="str">
        <f>IF(A495&lt;='APR and payment'!$E$5,'APR and payment'!$E$24,"")</f>
        <v/>
      </c>
      <c r="D495" s="21" t="str">
        <f>IF(A495&lt;='APR and payment'!$E$5,C495-E495,"")</f>
        <v/>
      </c>
      <c r="E495" s="21" t="str">
        <f>IF(A495&lt;='APR and payment'!$E$5,F494*'APR and payment'!$E$6/'APR and payment'!$L$9,"")</f>
        <v/>
      </c>
      <c r="F495" s="21" t="str">
        <f>IF(A495&lt;='APR and payment'!$E$5,F494-D495,"")</f>
        <v/>
      </c>
    </row>
    <row r="496" spans="1:6" x14ac:dyDescent="0.25">
      <c r="A496" s="15">
        <v>493</v>
      </c>
      <c r="B496" s="17" t="str">
        <f>IF(A496&lt;='APR and payment'!$E$5,'Remaining debt'!A496,"")</f>
        <v/>
      </c>
      <c r="C496" s="21" t="str">
        <f>IF(A496&lt;='APR and payment'!$E$5,'APR and payment'!$E$24,"")</f>
        <v/>
      </c>
      <c r="D496" s="21" t="str">
        <f>IF(A496&lt;='APR and payment'!$E$5,C496-E496,"")</f>
        <v/>
      </c>
      <c r="E496" s="21" t="str">
        <f>IF(A496&lt;='APR and payment'!$E$5,F495*'APR and payment'!$E$6/'APR and payment'!$L$9,"")</f>
        <v/>
      </c>
      <c r="F496" s="21" t="str">
        <f>IF(A496&lt;='APR and payment'!$E$5,F495-D496,"")</f>
        <v/>
      </c>
    </row>
    <row r="497" spans="1:6" x14ac:dyDescent="0.25">
      <c r="A497" s="15">
        <v>494</v>
      </c>
      <c r="B497" s="17" t="str">
        <f>IF(A497&lt;='APR and payment'!$E$5,'Remaining debt'!A497,"")</f>
        <v/>
      </c>
      <c r="C497" s="21" t="str">
        <f>IF(A497&lt;='APR and payment'!$E$5,'APR and payment'!$E$24,"")</f>
        <v/>
      </c>
      <c r="D497" s="21" t="str">
        <f>IF(A497&lt;='APR and payment'!$E$5,C497-E497,"")</f>
        <v/>
      </c>
      <c r="E497" s="21" t="str">
        <f>IF(A497&lt;='APR and payment'!$E$5,F496*'APR and payment'!$E$6/'APR and payment'!$L$9,"")</f>
        <v/>
      </c>
      <c r="F497" s="21" t="str">
        <f>IF(A497&lt;='APR and payment'!$E$5,F496-D497,"")</f>
        <v/>
      </c>
    </row>
    <row r="498" spans="1:6" x14ac:dyDescent="0.25">
      <c r="A498" s="15">
        <v>495</v>
      </c>
      <c r="B498" s="17" t="str">
        <f>IF(A498&lt;='APR and payment'!$E$5,'Remaining debt'!A498,"")</f>
        <v/>
      </c>
      <c r="C498" s="21" t="str">
        <f>IF(A498&lt;='APR and payment'!$E$5,'APR and payment'!$E$24,"")</f>
        <v/>
      </c>
      <c r="D498" s="21" t="str">
        <f>IF(A498&lt;='APR and payment'!$E$5,C498-E498,"")</f>
        <v/>
      </c>
      <c r="E498" s="21" t="str">
        <f>IF(A498&lt;='APR and payment'!$E$5,F497*'APR and payment'!$E$6/'APR and payment'!$L$9,"")</f>
        <v/>
      </c>
      <c r="F498" s="21" t="str">
        <f>IF(A498&lt;='APR and payment'!$E$5,F497-D498,"")</f>
        <v/>
      </c>
    </row>
    <row r="499" spans="1:6" x14ac:dyDescent="0.25">
      <c r="A499" s="15">
        <v>496</v>
      </c>
      <c r="B499" s="17" t="str">
        <f>IF(A499&lt;='APR and payment'!$E$5,'Remaining debt'!A499,"")</f>
        <v/>
      </c>
      <c r="C499" s="21" t="str">
        <f>IF(A499&lt;='APR and payment'!$E$5,'APR and payment'!$E$24,"")</f>
        <v/>
      </c>
      <c r="D499" s="21" t="str">
        <f>IF(A499&lt;='APR and payment'!$E$5,C499-E499,"")</f>
        <v/>
      </c>
      <c r="E499" s="21" t="str">
        <f>IF(A499&lt;='APR and payment'!$E$5,F498*'APR and payment'!$E$6/'APR and payment'!$L$9,"")</f>
        <v/>
      </c>
      <c r="F499" s="21" t="str">
        <f>IF(A499&lt;='APR and payment'!$E$5,F498-D499,"")</f>
        <v/>
      </c>
    </row>
    <row r="500" spans="1:6" x14ac:dyDescent="0.25">
      <c r="A500" s="15">
        <v>497</v>
      </c>
      <c r="B500" s="17" t="str">
        <f>IF(A500&lt;='APR and payment'!$E$5,'Remaining debt'!A500,"")</f>
        <v/>
      </c>
      <c r="C500" s="21" t="str">
        <f>IF(A500&lt;='APR and payment'!$E$5,'APR and payment'!$E$24,"")</f>
        <v/>
      </c>
      <c r="D500" s="21" t="str">
        <f>IF(A500&lt;='APR and payment'!$E$5,C500-E500,"")</f>
        <v/>
      </c>
      <c r="E500" s="21" t="str">
        <f>IF(A500&lt;='APR and payment'!$E$5,F499*'APR and payment'!$E$6/'APR and payment'!$L$9,"")</f>
        <v/>
      </c>
      <c r="F500" s="21" t="str">
        <f>IF(A500&lt;='APR and payment'!$E$5,F499-D500,"")</f>
        <v/>
      </c>
    </row>
    <row r="501" spans="1:6" x14ac:dyDescent="0.25">
      <c r="A501" s="15">
        <v>498</v>
      </c>
      <c r="B501" s="17" t="str">
        <f>IF(A501&lt;='APR and payment'!$E$5,'Remaining debt'!A501,"")</f>
        <v/>
      </c>
      <c r="C501" s="21" t="str">
        <f>IF(A501&lt;='APR and payment'!$E$5,'APR and payment'!$E$24,"")</f>
        <v/>
      </c>
      <c r="D501" s="21" t="str">
        <f>IF(A501&lt;='APR and payment'!$E$5,C501-E501,"")</f>
        <v/>
      </c>
      <c r="E501" s="21" t="str">
        <f>IF(A501&lt;='APR and payment'!$E$5,F500*'APR and payment'!$E$6/'APR and payment'!$L$9,"")</f>
        <v/>
      </c>
      <c r="F501" s="21" t="str">
        <f>IF(A501&lt;='APR and payment'!$E$5,F500-D501,"")</f>
        <v/>
      </c>
    </row>
    <row r="502" spans="1:6" x14ac:dyDescent="0.25">
      <c r="A502" s="15">
        <v>499</v>
      </c>
      <c r="B502" s="17" t="str">
        <f>IF(A502&lt;='APR and payment'!$E$5,'Remaining debt'!A502,"")</f>
        <v/>
      </c>
      <c r="C502" s="21" t="str">
        <f>IF(A502&lt;='APR and payment'!$E$5,'APR and payment'!$E$24,"")</f>
        <v/>
      </c>
      <c r="D502" s="21" t="str">
        <f>IF(A502&lt;='APR and payment'!$E$5,C502-E502,"")</f>
        <v/>
      </c>
      <c r="E502" s="21" t="str">
        <f>IF(A502&lt;='APR and payment'!$E$5,F501*'APR and payment'!$E$6/'APR and payment'!$L$9,"")</f>
        <v/>
      </c>
      <c r="F502" s="21" t="str">
        <f>IF(A502&lt;='APR and payment'!$E$5,F501-D502,"")</f>
        <v/>
      </c>
    </row>
    <row r="503" spans="1:6" x14ac:dyDescent="0.25">
      <c r="A503" s="15">
        <v>500</v>
      </c>
      <c r="B503" s="17" t="str">
        <f>IF(A503&lt;='APR and payment'!$E$5,'Remaining debt'!A503,"")</f>
        <v/>
      </c>
      <c r="C503" s="21" t="str">
        <f>IF(A503&lt;='APR and payment'!$E$5,'APR and payment'!$E$24,"")</f>
        <v/>
      </c>
      <c r="D503" s="21" t="str">
        <f>IF(A503&lt;='APR and payment'!$E$5,C503-E503,"")</f>
        <v/>
      </c>
      <c r="E503" s="21" t="str">
        <f>IF(A503&lt;='APR and payment'!$E$5,F502*'APR and payment'!$E$6/'APR and payment'!$L$9,"")</f>
        <v/>
      </c>
      <c r="F503" s="21" t="str">
        <f>IF(A503&lt;='APR and payment'!$E$5,F502-D503,"")</f>
        <v/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Grafy</vt:lpstr>
      </vt:variant>
      <vt:variant>
        <vt:i4>2</vt:i4>
      </vt:variant>
    </vt:vector>
  </HeadingPairs>
  <TitlesOfParts>
    <vt:vector size="4" baseType="lpstr">
      <vt:lpstr>APR and payment</vt:lpstr>
      <vt:lpstr>Remaining debt</vt:lpstr>
      <vt:lpstr>Remaining debt - chart</vt:lpstr>
      <vt:lpstr>Payment breakdown -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Svrčinová</dc:creator>
  <cp:lastModifiedBy>Ing. Nikola Svrčinová</cp:lastModifiedBy>
  <cp:lastPrinted>2021-04-27T10:15:02Z</cp:lastPrinted>
  <dcterms:created xsi:type="dcterms:W3CDTF">2015-06-05T18:19:34Z</dcterms:created>
  <dcterms:modified xsi:type="dcterms:W3CDTF">2026-05-16T07:22:17Z</dcterms:modified>
</cp:coreProperties>
</file>